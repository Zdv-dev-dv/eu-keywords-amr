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documents" sheetId="1" r:id="rId4"/>
    <sheet state="visible" name="Tableau croisé dynamique 3" sheetId="2" r:id="rId5"/>
    <sheet state="visible" name="Matthieu" sheetId="3" r:id="rId6"/>
    <sheet state="visible" name="Maria" sheetId="4" r:id="rId7"/>
    <sheet state="visible" name="Aina" sheetId="5" r:id="rId8"/>
    <sheet state="visible" name="Tiphaine" sheetId="6" r:id="rId9"/>
    <sheet state="visible" name="Kappa" sheetId="7" r:id="rId10"/>
    <sheet state="visible" name="Statistics" sheetId="8" r:id="rId11"/>
    <sheet state="visible" name="Simon" sheetId="9" r:id="rId12"/>
    <sheet state="visible" name="Annotation-old-Maria" sheetId="10" r:id="rId13"/>
  </sheets>
  <definedNames>
    <definedName hidden="1" localSheetId="0" name="_xlnm._FilterDatabase">'List of documents'!$A$1:$AL$1154</definedName>
    <definedName hidden="1" localSheetId="8" name="_xlnm._FilterDatabase">Simon!$A$1:$W$209</definedName>
    <definedName hidden="1" localSheetId="9" name="_xlnm._FilterDatabase">'Annotation-old-Maria'!$A$1:$Z$210</definedName>
    <definedName hidden="1" localSheetId="0" name="Z_F0A040E8_0E0E_4C10_8D20_44DAC627B43C_.wvu.FilterData">'List of documents'!$A$1:$AA$1154</definedName>
    <definedName hidden="1" localSheetId="0" name="Z_040263B7_F20D_4432_A4A5_E83594D7F42C_.wvu.FilterData">'List of documents'!$A$1:$Y$1154</definedName>
    <definedName hidden="1" localSheetId="0" name="Z_E6DA5226_9988_4563_BBF9_ECB0F241FFC7_.wvu.FilterData">'List of documents'!$A$1:$Y$1154</definedName>
    <definedName hidden="1" localSheetId="0" name="Z_47F40A6E_1041_496A_AC55_0EB52BC48796_.wvu.FilterData">'List of documents'!$A$1:$Y$1154</definedName>
    <definedName hidden="1" localSheetId="0" name="Z_E414997F_57C6_4935_861D_38D80D037106_.wvu.FilterData">'List of documents'!$A$1:$Y$1154</definedName>
    <definedName hidden="1" localSheetId="0" name="Z_36B470F2_8894_4B3D_8A61_984D811E35F6_.wvu.FilterData">'List of documents'!$A$1:$AL$1154</definedName>
    <definedName hidden="1" localSheetId="0" name="Z_2A4DB141_A38E_4124_A0B1_00ACEE9B9D1D_.wvu.FilterData">'List of documents'!$A$1:$Y$1154</definedName>
  </definedNames>
  <calcPr/>
  <customWorkbookViews>
    <customWorkbookView activeSheetId="0" maximized="1" windowHeight="0" windowWidth="0" guid="{E6DA5226-9988-4563-BBF9-ECB0F241FFC7}" name="All"/>
    <customWorkbookView activeSheetId="0" maximized="1" windowHeight="0" windowWidth="0" guid="{2A4DB141-A38E-4124-A0B1-00ACEE9B9D1D}" name="Documents crawled and WIP"/>
    <customWorkbookView activeSheetId="0" maximized="1" windowHeight="0" windowWidth="0" guid="{47F40A6E-1041-496A-AC55-0EB52BC48796}" name="Documents left to crawl"/>
    <customWorkbookView activeSheetId="0" maximized="1" windowHeight="0" windowWidth="0" guid="{36B470F2-8894-4B3D-8A61-984D811E35F6}" name="Filtre 3"/>
    <customWorkbookView activeSheetId="0" maximized="1" windowHeight="0" windowWidth="0" guid="{F0A040E8-0E0E-4C10-8D20-44DAC627B43C}" name="Filtre 2"/>
    <customWorkbookView activeSheetId="0" maximized="1" windowHeight="0" windowWidth="0" guid="{E414997F-57C6-4935-861D-38D80D037106}" name="All included"/>
    <customWorkbookView activeSheetId="0" maximized="1" windowHeight="0" windowWidth="0" guid="{040263B7-F20D-4432-A4A5-E83594D7F42C}" name="Filtre 1"/>
  </customWorkbookViews>
  <pivotCaches>
    <pivotCache cacheId="0" r:id="rId14"/>
    <pivotCache cacheId="1" r:id="rId15"/>
  </pivotCaches>
  <extLst>
    <ext uri="GoogleSheetsCustomDataVersion2">
      <go:sheetsCustomData xmlns:go="http://customooxmlschemas.google.com/" r:id="rId16" roundtripDataChecksum="4Rb4rPUXobTZ23H04sGKaDbf5GiL5JFH7YMCMrgskAs="/>
    </ext>
  </extLst>
</workbook>
</file>

<file path=xl/sharedStrings.xml><?xml version="1.0" encoding="utf-8"?>
<sst xmlns="http://schemas.openxmlformats.org/spreadsheetml/2006/main" count="8034" uniqueCount="2501">
  <si>
    <t>Name of the document</t>
  </si>
  <si>
    <t>Institution</t>
  </si>
  <si>
    <t>URL</t>
  </si>
  <si>
    <t>Authors</t>
  </si>
  <si>
    <t>Affiliates</t>
  </si>
  <si>
    <t>Sector</t>
  </si>
  <si>
    <t>Country</t>
  </si>
  <si>
    <t>Date</t>
  </si>
  <si>
    <t>Keywords</t>
  </si>
  <si>
    <t>Exclusion criteria</t>
  </si>
  <si>
    <t>Status</t>
  </si>
  <si>
    <t>Label</t>
  </si>
  <si>
    <t>MapAIE (ours)</t>
  </si>
  <si>
    <t>Jobin</t>
  </si>
  <si>
    <t>Fjeld</t>
  </si>
  <si>
    <t>Tidjon</t>
  </si>
  <si>
    <t>Hagendorff</t>
  </si>
  <si>
    <t>Floridi</t>
  </si>
  <si>
    <t>Zeng (LAIP)</t>
  </si>
  <si>
    <t>Attard-Frost</t>
  </si>
  <si>
    <t>EP</t>
  </si>
  <si>
    <t>Algorithm watch</t>
  </si>
  <si>
    <t>CE</t>
  </si>
  <si>
    <t>Winfield</t>
  </si>
  <si>
    <t>EthicalML GitHub</t>
  </si>
  <si>
    <t>all sources</t>
  </si>
  <si>
    <t>Checked by</t>
  </si>
  <si>
    <t>Random</t>
  </si>
  <si>
    <t>A Unified Framework of Five Principles for AI in Society</t>
  </si>
  <si>
    <t>.</t>
  </si>
  <si>
    <t>https://hdsr.mitpress.mit.edu/pub/l0jsh9d1/release/8</t>
  </si>
  <si>
    <t>Not included</t>
  </si>
  <si>
    <t>meta analysis</t>
  </si>
  <si>
    <t>Maria</t>
  </si>
  <si>
    <t>AI Decolonial Manyfesto</t>
  </si>
  <si>
    <t>https://manyfesto.ai/</t>
  </si>
  <si>
    <t>Aarathi Krishnan, Angie Abdilla, A Jung Moon, Carlos Affonso Souza, Chelle Adamson, Eileen M. Lach, Farah Ghazal, Jessica Fjeld, Jennyfer Taylor, John C. Havens, Malavika Jayaram, Monique Morrow, Nagla Rizk, Paola Ricaurte Quijano, R. Buse Çetin, Raja Chatila, Ravit Dotan, Sabelo Mhlambi, Sara Jordan, Sarita Rosenstock</t>
  </si>
  <si>
    <t>civil society</t>
  </si>
  <si>
    <t>international</t>
  </si>
  <si>
    <t>collective, decolonial, petition</t>
  </si>
  <si>
    <t>not cited</t>
  </si>
  <si>
    <t>Should be included if was cited by anyone</t>
  </si>
  <si>
    <t>Asimov’s three laws of Robotics</t>
  </si>
  <si>
    <t>not accessible</t>
  </si>
  <si>
    <t>AI Index 2022</t>
  </si>
  <si>
    <t>University of Stanford, SRI International, MIT, OpenAI, McKinsey Global Institute, Partnership on AI, Harvard University</t>
  </si>
  <si>
    <t>https://aiindex.stanford.edu/wp-content/uploads/2022/03/2022-AI-Index-Report_Master.pdf</t>
  </si>
  <si>
    <t>academia, private sector</t>
  </si>
  <si>
    <t>USA</t>
  </si>
  <si>
    <t>2022</t>
  </si>
  <si>
    <t>included</t>
  </si>
  <si>
    <t>SPI</t>
  </si>
  <si>
    <t>Simon</t>
  </si>
  <si>
    <t>2030 Digital Compass: the European way for the Digital Decade</t>
  </si>
  <si>
    <t>European Commission</t>
  </si>
  <si>
    <t>https://eur-lex.europa.eu/legal-content/en/TXT/?uri=CELEX%3A52021DC0118</t>
  </si>
  <si>
    <t>international organisation &gt; EU institution</t>
  </si>
  <si>
    <t>09/03/2021</t>
  </si>
  <si>
    <t>Included</t>
  </si>
  <si>
    <t>Global competition and convergence of AI Law</t>
  </si>
  <si>
    <t>Vrije Universiteit Brussel</t>
  </si>
  <si>
    <t>https://osf.io/preprints/socarxiv/j36ke/</t>
  </si>
  <si>
    <t>academia</t>
  </si>
  <si>
    <t>Belgium</t>
  </si>
  <si>
    <t>2021</t>
  </si>
  <si>
    <t>SPI field-specific</t>
  </si>
  <si>
    <t>Six Principles of Artificial Intelligence</t>
  </si>
  <si>
    <t>http://it.people.com.cn/n1/2020/0309/c1009-31622757.html</t>
  </si>
  <si>
    <t>China</t>
  </si>
  <si>
    <t>not in english</t>
  </si>
  <si>
    <t>The #FreeAI Manifesto</t>
  </si>
  <si>
    <t>https://github.com/freeai-manifesto/manifesto</t>
  </si>
  <si>
    <t>Maxim Orlovsky, Andrey Sobol</t>
  </si>
  <si>
    <t>manifest machine-learning, neural-network, decentralized, manifesto, artificial-intelligence, neural-networks, floss, cognitive-science, decentralization, anarchy, anarchism, skynet, transhumanism, anarcho-capitalism, austrian-school-economics</t>
  </si>
  <si>
    <t>Technology rules? The advent of new technologies in the justice system</t>
  </si>
  <si>
    <t>House of Lords, Justice and Home affairs Committee (United Kingdom)</t>
  </si>
  <si>
    <t>https://publications.parliament.uk/pa/ld5802/ldselect/ldjusthom/180/180.pdf</t>
  </si>
  <si>
    <t>national authority</t>
  </si>
  <si>
    <t>UK</t>
  </si>
  <si>
    <t>30/03/2022</t>
  </si>
  <si>
    <t>Algorithmic discrimination in Europe: Challenges and opportunities for gender equality and non-discrimination law</t>
  </si>
  <si>
    <t>European Commission (European network of legal experts in
  gender equality and non-discrimination)</t>
  </si>
  <si>
    <t>https://op.europa.eu/en/publication-detail/-/publication/082f1dbc-821d-11eb-9ac9-01aa75ed71a1</t>
  </si>
  <si>
    <t>EU</t>
  </si>
  <si>
    <t>10/2020</t>
  </si>
  <si>
    <t>SPI, issue-specific</t>
  </si>
  <si>
    <t>Universal Principles of Data Ethics</t>
  </si>
  <si>
    <t>Accenture</t>
  </si>
  <si>
    <r>
      <rPr>
        <color rgb="FF0563C1"/>
        <sz val="11.0"/>
      </rPr>
      <t xml:space="preserve">https://www.accenture.com/t20160629T012639Z__w__/us-en/_acnmedia/PDF-24/Accenture-Universal-Principles-Data-Ethics.pdf new URL </t>
    </r>
    <r>
      <rPr>
        <color rgb="FF1155CC"/>
        <sz val="11.0"/>
        <u/>
      </rPr>
      <t>https://fr.scribd.com/document/450122018/Accenture-Universal-Principles-Data-Ethics#</t>
    </r>
  </si>
  <si>
    <t>not included</t>
  </si>
  <si>
    <t>not ai ethics</t>
  </si>
  <si>
    <t>Tiphaine</t>
  </si>
  <si>
    <t>Responsible AI and robotics. An ethical framework.</t>
  </si>
  <si>
    <t>Accenture UK</t>
  </si>
  <si>
    <t>https://www.accenture.com/gb-en/company-responsible-ai-robotics</t>
  </si>
  <si>
    <t>private sector</t>
  </si>
  <si>
    <t>initial url does not work and couldn't find new url</t>
  </si>
  <si>
    <t>AI Index 2019</t>
  </si>
  <si>
    <t>https://hai.stanford.edu/sites/default/files/ai_index_2019_report.pdf</t>
  </si>
  <si>
    <t>2019</t>
  </si>
  <si>
    <t>Artificial intelligence and the control of COVID-19</t>
  </si>
  <si>
    <t>Council of Europe</t>
  </si>
  <si>
    <t>https://www.coe.int/en/web/artificial-intelligence/ai-and-control-of-covid-19-coronavirus</t>
  </si>
  <si>
    <t>international organisation &gt; IGO</t>
  </si>
  <si>
    <t>2020</t>
  </si>
  <si>
    <t>SPI issue-specific</t>
  </si>
  <si>
    <t>Mel</t>
  </si>
  <si>
    <t>Unified Ethical Frame for Big Data Analysis. IAF Big Data Ethics Initiative, Part A</t>
  </si>
  <si>
    <t>The Information Accountability Foundation</t>
  </si>
  <si>
    <t>https://bigdata.fpf.org/wp-content/uploads/2015/11/IAF-Unified-Ethical-Frame-for-Big-Data-Analysis.pdf</t>
  </si>
  <si>
    <t>03/2015</t>
  </si>
  <si>
    <t>digital</t>
  </si>
  <si>
    <t>Artificial Intelligence</t>
  </si>
  <si>
    <t>Samsung Research</t>
  </si>
  <si>
    <t>https://research.samsung.com/artificial-intelligence</t>
  </si>
  <si>
    <t>South Korea</t>
  </si>
  <si>
    <t>Mapping Regulatory Proposals for AI in Europe</t>
  </si>
  <si>
    <t>AccessNow</t>
  </si>
  <si>
    <t>accessnow.org/wp-content/uploads/2018/11/mapping_regulatory_proposals_for_AI_in_EU.pdf</t>
  </si>
  <si>
    <t>meta-analysis</t>
  </si>
  <si>
    <t>The EURON Roboethics Roadmap</t>
  </si>
  <si>
    <t>The European Robotics Research Network (EURON)</t>
  </si>
  <si>
    <t>http://www.roboethics.org/index_file/Roboethics%20Roadmap%20Rel.1.2.pdf</t>
  </si>
  <si>
    <t>01/2007</t>
  </si>
  <si>
    <t>SPI digital</t>
  </si>
  <si>
    <t>Ethics Canvas</t>
  </si>
  <si>
    <t>Adapt Center</t>
  </si>
  <si>
    <t>https://www.ethicscanvas.org/index.html</t>
  </si>
  <si>
    <t>Ireland</t>
  </si>
  <si>
    <t>Algorithm Data Ethics Label</t>
  </si>
  <si>
    <t>ADEL</t>
  </si>
  <si>
    <t>http://www.adel-label.com/adel/</t>
  </si>
  <si>
    <t>France</t>
  </si>
  <si>
    <t>Understanding Artificial Intelligence and Safety - A guide for the responsible design and implementation of AI systems in the public sector</t>
  </si>
  <si>
    <t>The Alan Turing Institute</t>
  </si>
  <si>
    <t>https://www.turing.ac.uk/sites/default/files/2019-06/understanding_artificial_intelligence_ethics_and_safety.pdf</t>
  </si>
  <si>
    <t>national authority, academia</t>
  </si>
  <si>
    <t>Digital Ethics: A guide for professionals of the Digital Age</t>
  </si>
  <si>
    <t>CIGREF/Syntec Numérique</t>
  </si>
  <si>
    <t>https://www.cigref.fr/wp/wp-content/uploads/2019/02/Cigref-Syntec-Digital-Ethics-Guide-for-Professionals-of-Digital-Age-2018-October-EN.pdf</t>
  </si>
  <si>
    <t>civil society &gt; other</t>
  </si>
  <si>
    <t>10/2018</t>
  </si>
  <si>
    <t>Human Rights, Democracy, and the Rule of Law Assurance Framework for AI Systems: A proposal prepared for the Council of Europe’s Ad hoc Committee on Artificial Intelligence</t>
  </si>
  <si>
    <t>https://rm.coe.int/huderaf-coe-final-1-2752-6741-5300-v-1/1680a3f688</t>
  </si>
  <si>
    <t>Study on AI Governance by Human Rights-Centred Design, Deliberation and Oversight</t>
  </si>
  <si>
    <t>University of Birmingham</t>
  </si>
  <si>
    <t>https://papers.ssrn.com/sol3/papers.cfm?abstract_id=3435011</t>
  </si>
  <si>
    <t>09/08/2019</t>
  </si>
  <si>
    <t>European ethical Charter on the use of Artificial Intelligence in judicial systems and their environment</t>
  </si>
  <si>
    <t>Council of Europe: European Commission for the efficiency of Justice (CEPEJ)</t>
  </si>
  <si>
    <t>https://rm.coe.int/ethical-charter-en-for-publication-4-december-2018/16808f699c</t>
  </si>
  <si>
    <t>04/12/2018</t>
  </si>
  <si>
    <t>field-specific</t>
  </si>
  <si>
    <t>The Road to a Human-Centred Digital Society</t>
  </si>
  <si>
    <t>Centre on AI Technology for Humanking (AiTH) at NUS Business School</t>
  </si>
  <si>
    <t>https://drive.google.com/uc?export=download&amp;id=1aRyqczni56ONA9PVExt2DrrJ1ATGKSu0</t>
  </si>
  <si>
    <t>David De Cremer, Devesh Narayanan, Andreas Deppeler, Mahak Nagpal, Jack McGuire, Jess Zhang</t>
  </si>
  <si>
    <t>National University of Singapore</t>
  </si>
  <si>
    <t>Singapore</t>
  </si>
  <si>
    <t>12/2021</t>
  </si>
  <si>
    <t>AI Roadmap</t>
  </si>
  <si>
    <t>AI Council (United Kingdom)</t>
  </si>
  <si>
    <t>https://assets.publishing.service.gov.uk/media/5ff3bc6e8fa8f53b76ccee23/AI_Council_AI_Roadmap.pdf</t>
  </si>
  <si>
    <t>01/2021</t>
  </si>
  <si>
    <t>Growing the artificial intelligence industry in the UK</t>
  </si>
  <si>
    <t>Department for Digital, Culture, Media &amp; Sport and Department for Business, Energy &amp; Industrial Strategy (United Kingdom)</t>
  </si>
  <si>
    <t>https://www.gov.uk/government/publications/growing-the-artificial-intelligence-industry-in-the-uk</t>
  </si>
  <si>
    <t>15/10/2017</t>
  </si>
  <si>
    <t>AI Now 2017 Report</t>
  </si>
  <si>
    <t>AI Now Institute</t>
  </si>
  <si>
    <t>https://ainowinstitute.org/wp-content/uploads/2023/04/AI_Now_2017_Report.pdf</t>
  </si>
  <si>
    <t>civil society &gt; NGO</t>
  </si>
  <si>
    <t>2017</t>
  </si>
  <si>
    <t>Algorithms in Decision Making</t>
  </si>
  <si>
    <t>Parliament Science and Technology Committee (United Kingdom)</t>
  </si>
  <si>
    <t>https://publications.parliament.uk/pa/cm201719/cmselect/cmsctech/351/351.pdf</t>
  </si>
  <si>
    <t>23/05/2018</t>
  </si>
  <si>
    <t>Thematic Reviews on 'Social Aspects of Digitalisation' (SPC) and 'Digitalisation and Robotisation of Work' (EMCO) - Endorsement of the joint key messages, 14411/18</t>
  </si>
  <si>
    <t>Council of the European Union</t>
  </si>
  <si>
    <t>http://data.consilium.europa.eu/doc/document/ST-14411-2018-INIT/en/pdf</t>
  </si>
  <si>
    <t>19/11/2018</t>
  </si>
  <si>
    <t>SPI (study)</t>
  </si>
  <si>
    <t>Standards for AI Governance: International Standards to Enable Global Coordination in AI Research &amp; Development</t>
  </si>
  <si>
    <t>Future of Humanity Institute, University of Oxford</t>
  </si>
  <si>
    <t>https://www.fhi.ox.ac.uk/wp-content/uploads/Standards_-FHI-Technical-Report.pdf</t>
  </si>
  <si>
    <t>04/2019</t>
  </si>
  <si>
    <t>Preparing the future of AI</t>
  </si>
  <si>
    <t>National Science and Technology Council (US)</t>
  </si>
  <si>
    <t>https://obamawhitehouse.archives.gov/sites/default/files/whitehouse_files/microsites/ostp/NSTC/preparing_for_the_future_of_ai.pdf</t>
  </si>
  <si>
    <t>10/2016</t>
  </si>
  <si>
    <t>AI Now Report 2016. The Social and Economic Implications of Artificial Intelligence Technologies in the Near-Term</t>
  </si>
  <si>
    <t>https://assets.ctfassets.net/8wprhhvnpfc0/3JOy5k4f1YSCQOi8MCCmA2/97010d04fbc7892662ce8b2469dc1601/AI_Now_2016_Report.pdf</t>
  </si>
  <si>
    <t>22/09/2016</t>
  </si>
  <si>
    <t>Overview of National AI-Strategies</t>
  </si>
  <si>
    <t>AISOMA</t>
  </si>
  <si>
    <t>https://www.aisoma.de/wp-content/uploads/2021/01/Overview-of-National-AI-Strategies.pdf</t>
  </si>
  <si>
    <t>Germany</t>
  </si>
  <si>
    <t>A toolkit for centering racial equity throughout data integration</t>
  </si>
  <si>
    <t>AISP</t>
  </si>
  <si>
    <t>https://aisp.upenn.edu/wp-content/uploads/2022/07/AISP-Toolkit_5.27.20.pdf</t>
  </si>
  <si>
    <t>tool</t>
  </si>
  <si>
    <t>G20 AI Principles</t>
  </si>
  <si>
    <t>Ministry of Internal Affairs and Communications</t>
  </si>
  <si>
    <t>https://www.mofa.go.jp/policy/economy/g20_summit/osaka19/pdf/documents/en/annex_08.pdf</t>
  </si>
  <si>
    <t>Japan</t>
  </si>
  <si>
    <t>Principles for the Governance of AI</t>
  </si>
  <si>
    <t>The Future Society Science Law and Society (SLS) Initiative</t>
  </si>
  <si>
    <t>https://thefuturesociety.org/principles-law-and-society-initiative/</t>
  </si>
  <si>
    <t>15/07/2017</t>
  </si>
  <si>
    <t>4 Steps to developing Responsible AI</t>
  </si>
  <si>
    <t>World Economic Forum (WEF)</t>
  </si>
  <si>
    <t>https://www.weforum.org/agenda/2019/06/4-steps-to-developing-responsible-ai/</t>
  </si>
  <si>
    <t>20/06/2019</t>
  </si>
  <si>
    <t>AI and Human Rights</t>
  </si>
  <si>
    <t>All Tech is Human</t>
  </si>
  <si>
    <t>https://alltechishuman.org/ai-human-rights-report</t>
  </si>
  <si>
    <t>Opinion on AI - The consequences of artificial intelligence on the (digital) single market, production, consumption, employment and society’</t>
  </si>
  <si>
    <t>European Economic and Social Committee (EESC)</t>
  </si>
  <si>
    <t>https://eur-lex.europa.eu/legal-content/EN/TXT/PDF/?uri=CELEX:52016IE5369&amp;from=EN</t>
  </si>
  <si>
    <t>31/08/2017</t>
  </si>
  <si>
    <t>How to regulate AI</t>
  </si>
  <si>
    <t>Allen Institute for Artificial Intelligence – AI2 (Oren Etzioni, professor of Computer Science)</t>
  </si>
  <si>
    <t>https://www.nytimes.com/2017/09/01/opinion/artificial-intelligence-regulations-rules.html</t>
  </si>
  <si>
    <t>Human Rights Impact Assessments for AI: Analysis and Recommendations</t>
  </si>
  <si>
    <t>https://www.accessnow.org/cms/assets/uploads/2022/11/Access-Now-Version-Human-Rights-Implications-of-Algorithmic-Impact-Assessments_-Priority-Recommendations-to-Guide-Effective-Development-and-Use.pdf</t>
  </si>
  <si>
    <t>10/2022</t>
  </si>
  <si>
    <t>Report on Artificial intelligence in health care: medical, legal and ethical challenges ahead</t>
  </si>
  <si>
    <t>Council of Europe (Parliamentary Assembly)</t>
  </si>
  <si>
    <t>https://pace.coe.int/files/28737/pdf</t>
  </si>
  <si>
    <t>01/10/2020</t>
  </si>
  <si>
    <t>Recomendations on the inclusion subSaharan Africa in Global AI Ethics</t>
  </si>
  <si>
    <t>Research ICT Africa</t>
  </si>
  <si>
    <t>https://researchictafrica.net/ranitp2019-2-ai-ethics/</t>
  </si>
  <si>
    <t>South Africa</t>
  </si>
  <si>
    <t>02/2019</t>
  </si>
  <si>
    <t>issue-specific</t>
  </si>
  <si>
    <t>Our principles</t>
  </si>
  <si>
    <t>Google</t>
  </si>
  <si>
    <t>https://blog.google/technology/ai/ai-principles/</t>
  </si>
  <si>
    <t>2018</t>
  </si>
  <si>
    <t>tech, principles</t>
  </si>
  <si>
    <t>Unfairness by algorithm: Distilling the Harms of automated decision making</t>
  </si>
  <si>
    <t>Future of Privacy Forum</t>
  </si>
  <si>
    <t>https://fpf.org/wp-content/uploads/2017/12/FPF-Automated-Decision-Making-Harms-and-Mitigation-Charts.pdf</t>
  </si>
  <si>
    <t>12/2017</t>
  </si>
  <si>
    <t>Automated Decision-Making Under the GDPR: Practical Cases from Courts and Data Protection Authorities</t>
  </si>
  <si>
    <t>https://fpf.org/wp-content/uploads/2022/05/FPF-ADM-Report-R2-singles.pdf</t>
  </si>
  <si>
    <t>05/2022</t>
  </si>
  <si>
    <t>SPI digital issue-specific</t>
  </si>
  <si>
    <t>Guidelines on Automated individual decision-making and Profiling for the purposes of Regulation 2016/679</t>
  </si>
  <si>
    <t>Article 29 Working Party</t>
  </si>
  <si>
    <t>https://ec.europa.eu/newsroom/document.cfm?doc_id=47742</t>
  </si>
  <si>
    <t>not AI ethics</t>
  </si>
  <si>
    <t>It’s Time to Do Something: Mitigating the Negative Impacts of Computing Through a Change to the Peer Review Process</t>
  </si>
  <si>
    <t>Association for Computing Machinery - Future of Computing Machinery</t>
  </si>
  <si>
    <t>https://perma.cc/K22T-5DFU</t>
  </si>
  <si>
    <t>Policy Statement on Mandatory Engineered Law Enforcement Access</t>
  </si>
  <si>
    <t>https://www.acm.org/binaries/content/assets/public-policy/usacm/2018-usacm-statement-law-enforcement-access.pdf</t>
  </si>
  <si>
    <t>Big Data and AI Principles in Engineering</t>
  </si>
  <si>
    <t>World Federation of Engineering Organizations (WEFO)</t>
  </si>
  <si>
    <t>http://www.wfeo.org/big-data-and-ai-principles-in-engineering/</t>
  </si>
  <si>
    <t>RFI for AI Services</t>
  </si>
  <si>
    <t>TBS Canada</t>
  </si>
  <si>
    <t>https://buyandsell.gc.ca/cds/public/2018/06/28/05baa93c08b6f2d3000855170f831066/ABES.PROD.PW__EE.B017.E33657.EBSU000.PDF</t>
  </si>
  <si>
    <t>Canada</t>
  </si>
  <si>
    <t>28/06/2018</t>
  </si>
  <si>
    <t>Statement on Internet of Things Privacy and Security</t>
  </si>
  <si>
    <t>https://www.acm.org/binaries/content/assets/public-policy/2017_joint_statement_iotprivacysecurity.pdf</t>
  </si>
  <si>
    <t>ACM Code of Ethics and Professional Conduct</t>
  </si>
  <si>
    <t>Association for Computing Machinery (ACM)</t>
  </si>
  <si>
    <t>https://www.acm.org/code-of-ethics</t>
  </si>
  <si>
    <t>Beyond pilots: sustainable implementation of AI in public services</t>
  </si>
  <si>
    <t>European Commission (Joint Research Centre, AI Watch)</t>
  </si>
  <si>
    <t>https://publications.jrc.ec.europa.eu/repository/bitstream/JRC126665/jrc126665_sustainable_implementation_of_ai_in_public_services_technical-report_v2.pdf</t>
  </si>
  <si>
    <t>Addressing Ethical Dilemmas in AI: Listening to Engineers</t>
  </si>
  <si>
    <t>Association of Nordic Engineers, IEEE, the Data Ethics ThinkDoTank (DataEthics.eu), University of Copenhagen</t>
  </si>
  <si>
    <t>https://standards.ieee.org/initiatives/autonomous-intelligence-systems/ethical-dilemmas-ai-report/</t>
  </si>
  <si>
    <t>Open letter: Civil society call for the introduction of red lines in the upcoming European Commission proposal on Artificial Intelligence</t>
  </si>
  <si>
    <t>European Digital Rights (EDRi)</t>
  </si>
  <si>
    <t>https://edri.org/wp-content/uploads/2021/01/EDRi-open-letter-AI-red-lines.pdf</t>
  </si>
  <si>
    <t>12/01/2021</t>
  </si>
  <si>
    <t>Human Rights and Technology</t>
  </si>
  <si>
    <t>Australian Human Rights Commission</t>
  </si>
  <si>
    <t>https://tech.humanrights.gov.au/sites/default/files/2021-05/AHRC_RightsTech_2021_Final_Report.pdf</t>
  </si>
  <si>
    <t>Australia</t>
  </si>
  <si>
    <t>Governance Principles for a New Generation of Artificial Intelligence: Develop Responsible Artificial Intelligence</t>
  </si>
  <si>
    <t>National New Generation Artificial Intelligence Governance Expert Committee</t>
  </si>
  <si>
    <t>https://www.newamerica.org/cybersecurity-initiative/digichina/blog/translation-chinese-expert-group-offers-governance-principles-responsible-ai/</t>
  </si>
  <si>
    <t>press</t>
  </si>
  <si>
    <t>Recommandation on strategy creation process (AIM AT 2030)</t>
  </si>
  <si>
    <t>Austrian Council For Robotics And Artificial Intelligence</t>
  </si>
  <si>
    <t>https://www.acrai.at/wp-content/uploads/2019/04/190315_Ratsempfehlung_zum_Strategieprozess_AIM_AT_2030.pdf</t>
  </si>
  <si>
    <t>Austria</t>
  </si>
  <si>
    <t>White Paper - Shaping the Future of Austria with Robotics and Artificial Intelligence</t>
  </si>
  <si>
    <t>https://www.bmk.gv.at/dam/jcr:8acef058-7167-4335-880e-9fa341b723c8/aimat_ua.pdf</t>
  </si>
  <si>
    <t>not english</t>
  </si>
  <si>
    <t>Principles for Responsible AI</t>
  </si>
  <si>
    <t>Women leading in AI</t>
  </si>
  <si>
    <t>https://womenleadinginai.org/wp-content/uploads/2019/02/WLiAI-Report-2019.pdf</t>
  </si>
  <si>
    <t>Ivana Bartoletti,Allison Gardner,Reema Patel,Emma Gibson,Liz Stocks,Samara Banno,Sanya Sheikh,Rebecca Geach,Holly Rafique</t>
  </si>
  <si>
    <t>Axon committed to listening and learning so that we can fulfill our mission to protect life together</t>
  </si>
  <si>
    <t>Axon</t>
  </si>
  <si>
    <t>https://www.axon.com/news/technology/axon-committed-to-listening-and-learning</t>
  </si>
  <si>
    <t>The Future of Digital Justice</t>
  </si>
  <si>
    <t>BCG, Bucerius Law School, LegalTech Deutschland</t>
  </si>
  <si>
    <t>https://web-assets.bcg.com/3a/4a/66275bf64d92b78b8fabeb3fe705/22-05-31-the-future-of-digital-justice-bls-bcg-web.pdf</t>
  </si>
  <si>
    <t>Principled Artificial Intelligence</t>
  </si>
  <si>
    <t>Berkman Klein Center (University of Harvard)</t>
  </si>
  <si>
    <t>https://ssrn.com/abstract=3518482</t>
  </si>
  <si>
    <t>Report with recommendations to the Commission on a framework of ethical aspects of artificial intelligence, robotics and related technologies</t>
  </si>
  <si>
    <t>European Parliament</t>
  </si>
  <si>
    <t>https://www.europarl.europa.eu/doceo/document/A-9-2020-0186_EN.pdf</t>
  </si>
  <si>
    <t>08/10/2020</t>
  </si>
  <si>
    <t>SPI, digital</t>
  </si>
  <si>
    <t>Responsible AI Policy Framework</t>
  </si>
  <si>
    <t>ITechLaw</t>
  </si>
  <si>
    <t>https://www.itechlaw.org/publication/responsible-ai-2021-update/</t>
  </si>
  <si>
    <t>Four Principles of Explainable Artificial Intelligence</t>
  </si>
  <si>
    <t>National Institute of Standards and Technology (NIST) (US)</t>
  </si>
  <si>
    <t>https://nvlpubs.nist.gov/nistpubs/ir/2021/NIST.IR.8312.pdf</t>
  </si>
  <si>
    <t>09/2021</t>
  </si>
  <si>
    <t>Guidelines for Big Data Use - Leitlinien für Big Data Einsatz</t>
  </si>
  <si>
    <t>Bitkom</t>
  </si>
  <si>
    <t>https://www.bitkom.org/sites/default/files/file/import/150901-Bitkom-Positionspapier-Big-Data-Leitlinien.pdf</t>
  </si>
  <si>
    <t>Recommendations for the responsible use of AI and automated decisions - Empfehlungen für den verantwortlichen Einsatz von KI und automatisierten Entscheidungen</t>
  </si>
  <si>
    <t>https://www.bitkom.org/Bitkom/Publikationen/Empfehlungen-fuer-den-verantwortlichen-Einsatz-von-KI-und-automatisierten-Entscheidungen-Corporate-Digital-Responsibility-and-Decision-Making.html</t>
  </si>
  <si>
    <t>The right to privacy in the digital age</t>
  </si>
  <si>
    <t>United Nations (OHCHR)</t>
  </si>
  <si>
    <t>https://www.ohchr.org/en/calls-for-input/2021/right-privacy-digital-age-report-2021</t>
  </si>
  <si>
    <t>15/09/2021</t>
  </si>
  <si>
    <t>digital issue-specific</t>
  </si>
  <si>
    <t>Brazilian Strategy for Digital Transformation</t>
  </si>
  <si>
    <t>Brazil’s Ministry of Science, Technology, Innovations and Communications</t>
  </si>
  <si>
    <t>https://www.gov.br/mcti/pt-br/centrais-de-conteudo/comunicados-mcti/estrategia-digital-brasileira/digitalstrategy.pdf</t>
  </si>
  <si>
    <t>Brazil</t>
  </si>
  <si>
    <t>Statement on Accessibility, Usability, and Digital Inclusiveness</t>
  </si>
  <si>
    <t>https://www.acm.org/binaries/content/assets/public-policy/2017_usacm_statement_accessibility.pdf</t>
  </si>
  <si>
    <t>26/09/2017</t>
  </si>
  <si>
    <t>Conclusions from the Conference “Governing the Game Changer"</t>
  </si>
  <si>
    <t>Council of Europe and Finnish Presidency of the Committee of Ministers</t>
  </si>
  <si>
    <t>https://rm.coe.int/conclusions-helsinki-conference-26-27-02-2019/168093bfca</t>
  </si>
  <si>
    <t>27/02/2019</t>
  </si>
  <si>
    <t>AI Quality Seal - KI Gütesiegel</t>
  </si>
  <si>
    <t>Bundesverband KI</t>
  </si>
  <si>
    <t>https://ki-verband.de/ki-guetesiegel-ai-made-in-germany</t>
  </si>
  <si>
    <t>Report on Artificial Intellilgence in a digital age</t>
  </si>
  <si>
    <t>https://www.europarl.europa.eu/doceo/document/TA-9-2022-0140_EN.pdf</t>
  </si>
  <si>
    <t>03/05/2022</t>
  </si>
  <si>
    <t>Hambach Declaration on Artificial Intelligence – Seven data protection obligations - Hambacher Erklärung zur Künstlichen Intelligenz – Sieben datenschutzrechtliche Anforderungen</t>
  </si>
  <si>
    <t>Conference of the Independent Federal and State Data Protection Supervisory Authorities - Datenschutzkonferenz (Germany)</t>
  </si>
  <si>
    <t>https://www.datenschutz.bremen.de/sixcms/media.php/13/Hambacher_Erklaerung_englisch.pdf</t>
  </si>
  <si>
    <t>civil society &gt; state-dependant</t>
  </si>
  <si>
    <t>03/04/2019</t>
  </si>
  <si>
    <t>National Artificial Intelligence Strategy of the Czech Republic</t>
  </si>
  <si>
    <t>Ministry of Industry and Trade of Czech Republic</t>
  </si>
  <si>
    <t>https://www.mpo.cz/assets/en/guidepost/for-the-media/press-releases/2019/5/NAIS_eng_web.pdf.</t>
  </si>
  <si>
    <t>Czech Republic</t>
  </si>
  <si>
    <t>SPI (strategy)</t>
  </si>
  <si>
    <t>Exploratory study on the use of algoritms by government organisations</t>
  </si>
  <si>
    <t>CBS (Statistics Netherlands)</t>
  </si>
  <si>
    <t>https://www.cbs.nl/-/media/_pdf/2018/48/verkennend%20onderzoek%20naar%20het%20gebruik%20van%20algoritmen%20binnen%20overheidsorganisaties.pdf</t>
  </si>
  <si>
    <t>Netherlands</t>
  </si>
  <si>
    <t>Study on the impact of Artificial Intellgience on the infrigement and enforcement of copyrights and designs</t>
  </si>
  <si>
    <t>European Union Intellectual Property Office (EUIPO)</t>
  </si>
  <si>
    <t>https://euipo.europa.eu/tunnel-web/secure/webdav/guest/document_library/observatory/documents/reports/2022_Impact_AI_on_the_Infringement_and_Enforcement_CR_Designs/2022_Impact_AI_on_the_Infringement_and_Enforcement_CR_Designs_FullR_en.pdf</t>
  </si>
  <si>
    <t>03/2022</t>
  </si>
  <si>
    <t>SPI, field-specific</t>
  </si>
  <si>
    <t>Digital Decisions Tool</t>
  </si>
  <si>
    <t>Center for Democracy &amp; technology (CDT)</t>
  </si>
  <si>
    <t>https://www.cdt.info/ddtool/</t>
  </si>
  <si>
    <t>For technologists</t>
  </si>
  <si>
    <t>Center for Humane Technology</t>
  </si>
  <si>
    <t>https://www.humanetech.com/technologists#principles</t>
  </si>
  <si>
    <t>Research Collection: Research Supporting Responsible AI</t>
  </si>
  <si>
    <t>Microsoft</t>
  </si>
  <si>
    <t>https://www.microsoft.com/en-us/research/blog/research-collection-research-supporting-responsible-ai/</t>
  </si>
  <si>
    <t>13/04/2020</t>
  </si>
  <si>
    <t>COVID-19 repository and public attitudes retrospective</t>
  </si>
  <si>
    <t>Centre for Data Ethics and Innovation</t>
  </si>
  <si>
    <t>https://www.gov.uk/government/publications/covid-19-repository-and-public-attitudes-retrospective</t>
  </si>
  <si>
    <t>AI Principles: Recommendations on the Ethical Use of Artificial Intelligence by the Department of Defense</t>
  </si>
  <si>
    <t>Defense Innovation Board</t>
  </si>
  <si>
    <t>https://media.defense.gov/2019/Oct/31/2002204458/-1/-1/0/DIB_AI_PRINCIPLES_PRIMARY_DOCUMENT.PDF</t>
  </si>
  <si>
    <t>31/10/2019</t>
  </si>
  <si>
    <t>Artificial Intelligence and Data Protection: How the GDPR Regulates AI</t>
  </si>
  <si>
    <t>Centre for Information Policy Leadership (CIPL)</t>
  </si>
  <si>
    <t>https://www.huntonprivacyblog.com/wp-content/uploads/sites/28/2020/03/cipl-hunton_andrews_kurth_legal_note_-_how_gdpr_regulates_ai__12_march_2020_-1.pdf</t>
  </si>
  <si>
    <t>The Brussels Effect and Artificial Intelligence: How EU regulation will impact the global AI market</t>
  </si>
  <si>
    <t>Centre for the Governance of AI (GovAI)</t>
  </si>
  <si>
    <t>https://uploads-ssl.webflow.com/614b70a71b9f71c9c240c7a7/630534b77182a3513398500f_Brussels_Effect_GovAI.pdf</t>
  </si>
  <si>
    <t>Special report: Artificial Intelligence - Your questions answered</t>
  </si>
  <si>
    <t>Australian Strategic Policy Institute (ASPI), University of Adelaide, Australian Institute for Machine Learning</t>
  </si>
  <si>
    <t>https://ad-aspi.s3.ap-southeast-2.amazonaws.com/2023-01/SR183%20AI%20Your%20questions%20answered.pdf?VersionId=RDGO41fuPaLXTscqQt0SKCfOkLU0G7.6</t>
  </si>
  <si>
    <t>civil society &gt; other, academia</t>
  </si>
  <si>
    <t>04/2022</t>
  </si>
  <si>
    <t>Mapping de l’écosystème de l’IA dans les pays du Maghreb</t>
  </si>
  <si>
    <t>United Nations Educational Scientific and Cultural Organization (UNESCO)</t>
  </si>
  <si>
    <t>https://fr.unesco.org/sites/default/files/20210526mappingecosystemeiadsmaghreb.pdf</t>
  </si>
  <si>
    <t>Artificial Intelligence as a Service: Legal Responsibilities, Liabilities, and Policy Challenges</t>
  </si>
  <si>
    <t>University of Cambridge</t>
  </si>
  <si>
    <t>https://papers.ssrn.com/sol3/papers.cfm?abstract_id=3824736</t>
  </si>
  <si>
    <t>29/04/2021</t>
  </si>
  <si>
    <t>Facial recognition technology: fundamental rights considerations in the context of law enforcement</t>
  </si>
  <si>
    <t>Fundamental Rights Agency (FRA)</t>
  </si>
  <si>
    <t>https://fra.europa.eu/sites/default/files/fra_uploads/fra-2019-facial-recognition-technology-focus-paper-1_en.pdf</t>
  </si>
  <si>
    <t>international organisation &gt; other</t>
  </si>
  <si>
    <t>21/11/2019</t>
  </si>
  <si>
    <t>SPI (study), field-specific</t>
  </si>
  <si>
    <t>Charter of Digital Networking</t>
  </si>
  <si>
    <t>Charta of digital networking</t>
  </si>
  <si>
    <t>https://charta-digitale-vernetzung.de/app/uploads/2016/11/Charter-of-Digital-Networking.pdf</t>
  </si>
  <si>
    <t>Joint Pledge on Artificial Intelligence Industry Self-Discipline</t>
  </si>
  <si>
    <t>Chinese AI Industry Alliance (AIIA)</t>
  </si>
  <si>
    <t>https://www.newamerica.org/cybersecurity-initiative/digichina/blog/translation-chinese-ai-alliance-drafts-self-discipline-joint-pledge/</t>
  </si>
  <si>
    <t>AI Now 2019 Report</t>
  </si>
  <si>
    <t>https://ainowinstitute.org/wp-content/uploads/2023/04/AI_Now_2019_Report.pdf</t>
  </si>
  <si>
    <t>12/2019</t>
  </si>
  <si>
    <t>Pan-Canadian Artificial Intelligence Strategy</t>
  </si>
  <si>
    <t>CIFAR</t>
  </si>
  <si>
    <t>https://www.cifar.ca/ai/pan-canadian-artificial-intelligence-strategy</t>
  </si>
  <si>
    <t>ADP: Ethics in Artificial Intelligence</t>
  </si>
  <si>
    <t>Always Designing for People</t>
  </si>
  <si>
    <t>https://www.adp.com/-/media/adp/redesign2018/pdf/data-privacy/ai-ethics-statement.pdf?rev=f155df771fea4850b310f17ca407f3f1&amp;hash=73364D9FB41931A7C1887B976538BE5C</t>
  </si>
  <si>
    <t>07/03/2022</t>
  </si>
  <si>
    <t>Recommendations for an AI Strategy in Switzerland</t>
  </si>
  <si>
    <t>Swiss Academy of Technical Sciences (SATW)</t>
  </si>
  <si>
    <t>https://www.satw.ch/fileadmin/user_upload/documents/02_Themen/08_Kuenstliche-Intelligenz/SATW-Swiss_AI_Strategy.pdf</t>
  </si>
  <si>
    <t>Switzerland</t>
  </si>
  <si>
    <t>Declaration of Cities Coalition for Digital Right</t>
  </si>
  <si>
    <t>Cities Coalition for Digital Rights</t>
  </si>
  <si>
    <t>https://citiesfordigitalrights.org/assets/Declaration_Cities_for_Digital_Rights.pdf</t>
  </si>
  <si>
    <t>The Ethics of Code: Developing AI for Business with Five Core Principles</t>
  </si>
  <si>
    <t>Sage</t>
  </si>
  <si>
    <t>https://www.sage.com/investors/-/media/files/company/documents/pdf/business%20builders/latest%20news/business%20builders%20ethics%20of%20code.pdf</t>
  </si>
  <si>
    <t>Robotics Research Ethics - Ethique de la Recherche en Robotique</t>
  </si>
  <si>
    <t>Commission de réflexion sur l’Éthique de la Recherche en sciences et technologies du Numérique d’Allistene (CERNA - France)</t>
  </si>
  <si>
    <t>http://cerna-ethics-allistene.org/digitalAssets/38/38704_Avis_robotique_livret.pdf</t>
  </si>
  <si>
    <t>OP Financial Group’s ethical guidelines for artificial intelligence</t>
  </si>
  <si>
    <t>OP Group</t>
  </si>
  <si>
    <t>https://www.op.fi/documents/20556/63695/Teko%C3%A4lyn+eettiset+periaatteet+EN/870b1f83-37bb-6013-f2b5-976d6d49aa85</t>
  </si>
  <si>
    <t>Finland</t>
  </si>
  <si>
    <t>Comparing European and Canadian AI Regulation</t>
  </si>
  <si>
    <t>Commission du droit de l'Ontario</t>
  </si>
  <si>
    <t>https://www.lco-cdo.org/wp-content/uploads/2021/12/Comparing-European-and-Canadian-AI-Regulation-Final-November-2021.pdf</t>
  </si>
  <si>
    <t>Big Data and Health - Data sovereignty as informational freedom design - Big Data und Gesundheit – Datensouveränität als informationelle Freiheitsgestaltung</t>
  </si>
  <si>
    <t>The German Ethics Council</t>
  </si>
  <si>
    <t>https://www.ethikrat.org/fileadmin/Publikationen/Stellungnahmen/englisch/opinion-big-data-and-health-summary.pdf</t>
  </si>
  <si>
    <t>30/11/2017</t>
  </si>
  <si>
    <t>digital field-specific</t>
  </si>
  <si>
    <t>Data preprocessing techniques for classification without discrimination</t>
  </si>
  <si>
    <t>Eindhoven University of Technology</t>
  </si>
  <si>
    <t>https://link.springer.com/article/10.1007/s10115-011-0463-8</t>
  </si>
  <si>
    <t>03/12/2011</t>
  </si>
  <si>
    <t>SPI, techno-specific, issue-specific</t>
  </si>
  <si>
    <t>Caméras dites "Intellligentes" ou "augmentées" dans l'espace public - Position sur les conditions de déploiement</t>
  </si>
  <si>
    <t>Commission nationale informatique et libertés (CNIL - France)</t>
  </si>
  <si>
    <t>https://www.cnil.fr/sites/default/files/atoms/files/cameras-intelligentes-augmentees_position_cnil.pdf</t>
  </si>
  <si>
    <t>How can humans keep the upper hand? Report on the ethical matters raised by algorithms and artificial intelligence - Comment permettre à l’Homme de garder la main ? Rapport sur les enjeux éthiques des algorithmes et de l’intelligence artificielle</t>
  </si>
  <si>
    <t>https://www.cnil.fr/sites/default/files/atoms/files/cnil_rapport_ai_gb_web.pdf</t>
  </si>
  <si>
    <t>Self-assessment guide for artificial intelligence (AI) systems</t>
  </si>
  <si>
    <t>https://www.cnil.fr/en/self-assessment-guide-artificial-intelligence-ai-systems</t>
  </si>
  <si>
    <t>Policy and investment recommendations for trustworthy Artificial Intelligence</t>
  </si>
  <si>
    <t>European Commission (AI HLEG)</t>
  </si>
  <si>
    <t>https://ec.europa.eu/newsroom/dae/document.cfm?doc_id=60343</t>
  </si>
  <si>
    <t>26/06/2019</t>
  </si>
  <si>
    <t>National Artificial Intelligence Initiative Act - NAIIA (in National Defense Authorization Act - NDAA)</t>
  </si>
  <si>
    <t>Congress (US)</t>
  </si>
  <si>
    <t>https://www.congress.gov/bill/116th-congress/house-bill/6216/text</t>
  </si>
  <si>
    <t>binding</t>
  </si>
  <si>
    <t>Intelligence artificielle et action publique : Construire la confiance, servir la performance</t>
  </si>
  <si>
    <t>Conseil d'Etat (France)</t>
  </si>
  <si>
    <t>https://www.conseil-etat.fr/Media/actualites/documents/2022/11-novembre/etude-ia-nouvelle-version</t>
  </si>
  <si>
    <t>Rapport sur les Legaltechs du domaine de la jurimétrie et Charte sur la transparence et l’éthique de l’utilisation des données judiciaires</t>
  </si>
  <si>
    <t>Conseil National des Barreaux (CNB)</t>
  </si>
  <si>
    <t>https://www.cnb.avocat.fr/fr/actualites/preconisations-dactions-pour-les-legaltechs-du-domaine-de-la-jurimetrie</t>
  </si>
  <si>
    <t>Humains &amp; Machines : quelles interactions au travail ?</t>
  </si>
  <si>
    <t>Conseil National du Numérique (CNN - France)</t>
  </si>
  <si>
    <t>https://cnnumerique.fr/files/uploads/2022/HumainsMachines/CNNum_Humains_machines_Quelles_interactions_au_travail_2022.pdf</t>
  </si>
  <si>
    <t>Artificial Intelligence for Children - Toolkit</t>
  </si>
  <si>
    <t>https://www3.weforum.org/docs/WEF_Artificial_Intelligence_for_Children_2022.pdf</t>
  </si>
  <si>
    <t>Trustworthy Use of Artifical Intelligence</t>
  </si>
  <si>
    <t xml:space="preserve">Fraunhofer Institute for Intelligent Analysis and Information Systems IAIS </t>
  </si>
  <si>
    <t>https://www.ki.nrw/wp-content/uploads/2020/03/Whitepaper_Thrustworthy_AI.pdf</t>
  </si>
  <si>
    <t>Algorithms: preventing automated discrimination</t>
  </si>
  <si>
    <t>Défenseur des droits (in partnership with CNIL)</t>
  </si>
  <si>
    <t>https://www.defenseurdesdroits.fr/sites/default/files/2023-07/ddd_rapport_algorithmes_2020_EN_20200531.pdf</t>
  </si>
  <si>
    <t>05/2020</t>
  </si>
  <si>
    <t>Guidelines for Human-AI Interaction</t>
  </si>
  <si>
    <t>https://www.microsoft.com/en-us/research/uploads/prod/2019/01/Guidelines-for-Human-AI-Interaction-camera-ready.pdf</t>
  </si>
  <si>
    <t>02/05/2019</t>
  </si>
  <si>
    <t>Progress report</t>
  </si>
  <si>
    <t>Council of Europe (CAHAI)</t>
  </si>
  <si>
    <t>https://search.coe.int/cm/Pages/result_details.aspx?ObjectID=09000016809ed062</t>
  </si>
  <si>
    <t>From Principles to Practice: An interdisciplinary framework to operationalise AI ethics</t>
  </si>
  <si>
    <t>AIEI Group</t>
  </si>
  <si>
    <t>https://www.ai-ethics-impact.org/resource/blob/1961130/c6db9894ee73aefa489d6249f5ee2b9f/aieig---report---download-hb-data.pdf</t>
  </si>
  <si>
    <t>Strengthening international cooperation on AI, Progress report</t>
  </si>
  <si>
    <t>Brookings, Centre for European Policy Studies</t>
  </si>
  <si>
    <t>https://www.brookings.edu/wp-content/uploads/2021/10/Strengthening-International-Cooperation-AI_Oct21.pdf</t>
  </si>
  <si>
    <t>10/2021</t>
  </si>
  <si>
    <t>Ethics Guidelines for Trustworthy AI</t>
  </si>
  <si>
    <t>https://www.aepd.es/sites/default/files/2019-12/ai-ethics-guidelines.pdf</t>
  </si>
  <si>
    <t>08/04/2019</t>
  </si>
  <si>
    <t>Working Paper on Privacy and Artificial Intelligence</t>
  </si>
  <si>
    <t>International Working Group on Data Protection on Telecommunications</t>
  </si>
  <si>
    <t>https://www.datenschutz-berlin.de/fileadmin/user_upload/pdf/publikationen/berlin-group/2018/2018-IWGDPT-Working_Paper_Artificial_Intelligence.pdf</t>
  </si>
  <si>
    <t>30/11/2018</t>
  </si>
  <si>
    <t>Final remarks of the thematic session on AI and criminal law, The case of automated vehicles</t>
  </si>
  <si>
    <t>Council of Europe (CDPC)</t>
  </si>
  <si>
    <t>https://rm.coe.int/cdpc-2018-18-draft-programme-thematic-session-artificial-intelligence-/16808e64ab</t>
  </si>
  <si>
    <t>Saudi Arabia National AI Strategy</t>
  </si>
  <si>
    <t>The Saudi Data and Artificial Intelligence Authority</t>
  </si>
  <si>
    <t>https://kawa-news.com/en/saudi-arabia-unveils-national-ai-strategy/.</t>
  </si>
  <si>
    <t>Saudi Arabia</t>
  </si>
  <si>
    <t>WHO Guidance: Ethics and governance of artificial intelligence for health</t>
  </si>
  <si>
    <t>World Health Organization (WHO)</t>
  </si>
  <si>
    <t>https://iris.who.int/bitstream/handle/10665/341996/9789240029200-eng.pdf?sequence=1</t>
  </si>
  <si>
    <t>Input on the European Commission White Paper “On Artificial Intelligence – A European approach to excellence and trust”</t>
  </si>
  <si>
    <t>University of Stanford</t>
  </si>
  <si>
    <t>https://hai.stanford.edu/sites/default/files/2020-07/HAI_WhitePaper_v4B.pdf</t>
  </si>
  <si>
    <t>15/06/2020</t>
  </si>
  <si>
    <t>The Ethics of Artifical Intelligence</t>
  </si>
  <si>
    <t>Machine Intelligence Research Institute</t>
  </si>
  <si>
    <t>https://intelligence.org/files/EthicsofAI.pdf</t>
  </si>
  <si>
    <t>2014</t>
  </si>
  <si>
    <t>Conclusions of the Expert Seminar on E-relevance of Culture in the age of AI</t>
  </si>
  <si>
    <t>Council of Europe and Croatian Presidency of the Committee of Ministers</t>
  </si>
  <si>
    <t>https://rm.coe.int/e-relevance-of-culture-in-the-age-of-ai-expert-seminar-on-culture-crea/168091e688</t>
  </si>
  <si>
    <t>13/10/2018</t>
  </si>
  <si>
    <t>Guidelines of the Committee of Ministers of the Council of Europe on online dispute resolution mechanisms in civil and administrative court proceedings</t>
  </si>
  <si>
    <t>Council of Europe (Committee of Ministers)</t>
  </si>
  <si>
    <t>https://search.coe.int/cm/Pages/result_details.aspx?ObjectId=0900001680a2cf96</t>
  </si>
  <si>
    <t>Guidelines of the Committee of Ministers of the Council of Europe on upholding equality and protecting against discrimination and hate during the Covid-19 pandemic and similar crises in the future</t>
  </si>
  <si>
    <t>https://edoc.coe.int/en/module/ec_addformat/download?cle=b430bedaf544d495473ae9767afc7111&amp;k=c3e8ae10658de1d4a47cbcf479c3c201</t>
  </si>
  <si>
    <t>Guidelines to respect, protect and fulfil the rights of the child in the digital environment</t>
  </si>
  <si>
    <t>https://rm.coe.int/guidelines-to-respect-protect-and-fulfil-the-rights-of-the-child-in-th/16808d881a</t>
  </si>
  <si>
    <t>Recommendation of the Committee of Ministers to member States on the roles and responsibilities of internet intermediaries</t>
  </si>
  <si>
    <t>https://search.coe.int/cm/Pages/result_details.aspx?ObjectID=0900001680790e14</t>
  </si>
  <si>
    <t>Recommendation on Big Data for culture, literacy and democracy</t>
  </si>
  <si>
    <t>https://rm.coe.int/1680750d68</t>
  </si>
  <si>
    <t>Governing Artificial Intelligence. Upholding Human Rights &amp; Dignity</t>
  </si>
  <si>
    <t>Data &amp; Society</t>
  </si>
  <si>
    <t>https://datasociety.net/wp-content/uploads/2018/10/DataSociety_Governing_Artificial_Intelligence_Upholding_Human_Rights.pdf</t>
  </si>
  <si>
    <t>Review into Bias in Algorithmic Decision-making</t>
  </si>
  <si>
    <t>https://assets.publishing.service.gov.uk/media/60142096d3bf7f70ba377b20/Review_into_bias_in_algorithmic_decision-making.pdf</t>
  </si>
  <si>
    <t>11/2020</t>
  </si>
  <si>
    <t>Big data, artificial intelligence, machine learning and data protection</t>
  </si>
  <si>
    <t>Information Commissioner's Office</t>
  </si>
  <si>
    <t>https://ico.org.uk/media/for-organisations/documents/2013559/big-data-ai-ml-and-data-protection.pdf</t>
  </si>
  <si>
    <t>04/09/2017</t>
  </si>
  <si>
    <t>Guidelines on the protection of individuals with regard to the processing of personal data in a world of Big Data</t>
  </si>
  <si>
    <t>Council of Europe (Consultative Committee of the Convention 108)</t>
  </si>
  <si>
    <t>https://rm.coe.int/16806ebe7a</t>
  </si>
  <si>
    <t>A governance framework for algorithmic accountability and transparency</t>
  </si>
  <si>
    <t>http://www.europarl.europa.eu/RegData/etudes/STUD/2019/624262/EPRS_STU(2019)624262_EN.pdf</t>
  </si>
  <si>
    <t>Joint Report on Digital Technologies and Elections</t>
  </si>
  <si>
    <t>Council of Europe (DG1 and Venice Commission)</t>
  </si>
  <si>
    <t>https://www.venice.coe.int/webforms/documents/?pdf=CDL-AD(2019)016-e</t>
  </si>
  <si>
    <t>Report on Information Disorder Toward an interdisciplinary framework for research and policy making</t>
  </si>
  <si>
    <t>Council of Europe (DG1)</t>
  </si>
  <si>
    <t>https://rm.coe.int/information-disorder-toward-an-interdisciplinary-framework-for-researc/168076277c</t>
  </si>
  <si>
    <t>Ethical by Design: Ethics Best Practices for Natural Language Processing</t>
  </si>
  <si>
    <t>Thomson Reuters</t>
  </si>
  <si>
    <t>https://aclanthology.org/W17-1604.pdf</t>
  </si>
  <si>
    <t>04/2017</t>
  </si>
  <si>
    <t>SPI techno-specific</t>
  </si>
  <si>
    <t>Ethics: a vital part of responsible AI deployment</t>
  </si>
  <si>
    <t>Orange</t>
  </si>
  <si>
    <t>https://www.orange-business.com/en/blogs/ethics-vital-part-responsible-ai-deployment</t>
  </si>
  <si>
    <t>Trust in Artificial Intelligence: A Five Countries Study</t>
  </si>
  <si>
    <t>KPMG, University of Queensland</t>
  </si>
  <si>
    <t>https://assets.kpmg.com/content/dam/kpmg/au/pdf/2021/trust-in-ai-multiple-countries.pdf</t>
  </si>
  <si>
    <t>private sector, academia</t>
  </si>
  <si>
    <t>03/2021</t>
  </si>
  <si>
    <t>Digital Roadmap Austria</t>
  </si>
  <si>
    <t>Federal Chancellery, Federal Ministry for Digital and Economic Affairs (Austria)</t>
  </si>
  <si>
    <t>https://www.digitalaustria.gv.at/dam/jcr:9b934433-f8e7-452f-bc86-cea60b214839/BMF%20Nationaler%20Fahrplan%202023-final-28112023-barrierefrei_EN_Korr.pdf</t>
  </si>
  <si>
    <t>27/11/2023</t>
  </si>
  <si>
    <t>A Code of Ethics for the Human Robot Interaction</t>
  </si>
  <si>
    <t>University of Notre Dame</t>
  </si>
  <si>
    <t>https://www3.nd.edu/~dhoward1/a-code-of-ethics-for-the-human-robot-interaction-profession-riek-howard.pdf</t>
  </si>
  <si>
    <t>National strategies on Artificial Intelligence: A European perspective, 2021 edition</t>
  </si>
  <si>
    <t>https://publications.jrc.ec.europa.eu/repository/bitstream/JRC122684/ai_watch_report_national_ai_strategies.pdf</t>
  </si>
  <si>
    <t>Uncovered, The Discoverability of Public Interest Content Online</t>
  </si>
  <si>
    <t>Council of Europe (MSI-REF)</t>
  </si>
  <si>
    <t>https://rm.coe.int/publication-content-prioritisation-report/1680a07a57</t>
  </si>
  <si>
    <t>maybe</t>
  </si>
  <si>
    <t>Recommendation of the Parliamentary Assembly of the Council of Europe about Mass Surveillance - Recommendation 2067(2015)</t>
  </si>
  <si>
    <t>https://pace.coe.int/en/files/21694/html</t>
  </si>
  <si>
    <t>not ai, not ai ethics</t>
  </si>
  <si>
    <t>Responsible AI – Key Themes, Concerns &amp; Recommendations for European Research and Innovation Summary of Consultation with Multidisciplinary Experts</t>
  </si>
  <si>
    <t>HUB4NGI</t>
  </si>
  <si>
    <t>https://ec.europa.eu/futurium/en/system/files/ged/responsible_ai_consultation_-_public_recommendations_v1.0.pdf</t>
  </si>
  <si>
    <t>06/2018</t>
  </si>
  <si>
    <t>Report “Democracy hacked how to respond”</t>
  </si>
  <si>
    <t>http://assembly.coe.int/nw/xml/XRef/Xref-XML2HTML-EN.asp?fileid=28598&amp;lang=en</t>
  </si>
  <si>
    <t>Report on ‘The brain-computer interface: new rights or new threats to fundamental freedoms?’</t>
  </si>
  <si>
    <t>https://pace.coe.int/files/28722/pdf</t>
  </si>
  <si>
    <t>draft</t>
  </si>
  <si>
    <t>Report on “artificial intelligence and labour markets: friend or foe?”</t>
  </si>
  <si>
    <t>https://pace.coe.int/files/28738/pdf</t>
  </si>
  <si>
    <t>Trustworthy AI in health. Background paper for the G20 AI Dialogue, Digital Economy Task Force</t>
  </si>
  <si>
    <t>Organisation for Economic Co-operation and Development (OECD)</t>
  </si>
  <si>
    <t>https://www.oecd.org/health/trustworthy-artificial-intelligence-in-health.pdf</t>
  </si>
  <si>
    <t>Europe’s approach to artificial intelligence: how AI strategy is evolving</t>
  </si>
  <si>
    <t>https://www.accessnow.org/wp-content/uploads/2020/12/Europes-approach-to-AI-strategy-is-evolving.pdf</t>
  </si>
  <si>
    <t>12/2020</t>
  </si>
  <si>
    <t>Dutch Artificial Intelligence Manifesto</t>
  </si>
  <si>
    <t>Special Interest Group on Artificial Intelligence (SIGAI), ICT Platform Netherlands (IPN)</t>
  </si>
  <si>
    <t>http://ii.tudelft.nl/bnvki/wp-content/uploads/2018/09/Dutch-AI-Manifesto.pdf</t>
  </si>
  <si>
    <t>A guide to good practice for digital and data-driven health technologies</t>
  </si>
  <si>
    <t>UK Department of Health &amp; Social Care</t>
  </si>
  <si>
    <t>https://www.gov.uk/government/publications/code-of-conduct-for-data-driven-health-and-care-technology/initial-code-of-conduct-for-data-driven-health-and-care-technology</t>
  </si>
  <si>
    <t>19/01/2021</t>
  </si>
  <si>
    <t>Artificial Intelligence and public services</t>
  </si>
  <si>
    <t>https://www.europarl.europa.eu/RegData/etudes/BRIE/2021/662936/IPOL_BRI(2021)662936_EN.pdf</t>
  </si>
  <si>
    <t>07/2021</t>
  </si>
  <si>
    <t>Principles for a fundamental rights-compliant use of digital technologies in electoral processes</t>
  </si>
  <si>
    <t>Council of Europe (Venice Commission)</t>
  </si>
  <si>
    <t>https://www.venice.coe.int/webforms/documents/?pdf=CDL-AD(2020)037-e</t>
  </si>
  <si>
    <t>Statement on Computing and Network Security</t>
  </si>
  <si>
    <t>https://www.acm.org/binaries/content/assets/public-policy/2017_usacm_statement_computingandnetworksecurity.pdf</t>
  </si>
  <si>
    <t>23/05/2017</t>
  </si>
  <si>
    <t>Responsible Development of AI</t>
  </si>
  <si>
    <t>https://ai.google/static/documents/responsible-development-of-ai.pdf</t>
  </si>
  <si>
    <t>Trustworthy AI in Aotearoa</t>
  </si>
  <si>
    <t>AI Forum</t>
  </si>
  <si>
    <t>https://data.govt.nz/assets/data-ethics/algorithm/Trustworthy-AI-in-Aotearoa-March-2020.pdf</t>
  </si>
  <si>
    <t>New Zealand</t>
  </si>
  <si>
    <t>03/2020</t>
  </si>
  <si>
    <t>Intel’s AI Privacy Policy White Paper. Protecting individuals’ privacy and data in the artificial intelligence world</t>
  </si>
  <si>
    <t>Intel Corporation</t>
  </si>
  <si>
    <t>https://community.intel.com/legacyfs/online/files/Intels-AI-Privacy-Policy-White-Paper-2018.pdf</t>
  </si>
  <si>
    <t>22/10/2018</t>
  </si>
  <si>
    <t>Multilateral initiatives for upholding human rights in digital technologies: A task for the UN or for liberal democracies?</t>
  </si>
  <si>
    <t>https://www.europarl.europa.eu/RegData/etudes/BRIE/2022/729376/EPRS_BRI(2022)729376_EN.pdf</t>
  </si>
  <si>
    <t>Conclusions of the European Council Meeting</t>
  </si>
  <si>
    <t>http://www.consilium.europa.eu/media/21620/19-euco-final-conclusions-en.pdf</t>
  </si>
  <si>
    <t>not ai</t>
  </si>
  <si>
    <t>Ethical Framework for Artificial Intelligence in Colombia</t>
  </si>
  <si>
    <t>Presidential advisory for economic affairs and digital transformation (Colombia)</t>
  </si>
  <si>
    <t>https://mycloud.coe.int/s/FFFMLg884J6W3na</t>
  </si>
  <si>
    <t>Colombia</t>
  </si>
  <si>
    <t>08/2020</t>
  </si>
  <si>
    <t>Gender Equality, Youth and Digitalisation - Presidency Conclusions</t>
  </si>
  <si>
    <t>https://www.consilium.europa.eu/media/37363/gender-equality_text-adopted.pdf</t>
  </si>
  <si>
    <t>not prescriptive (comments on other texts)</t>
  </si>
  <si>
    <t>Presidency conclusions - The Charter of Fundamental Rights in the context of Artificial Intelligence and Digital Change</t>
  </si>
  <si>
    <t>https://www.consilium.europa.eu/media/46496/st11481-en20.pdf</t>
  </si>
  <si>
    <t>Joint Statement on Artificial Intelligence and Human Rights</t>
  </si>
  <si>
    <t>Freedom Online Coalition</t>
  </si>
  <si>
    <t>https://freedomonlinecoalition.com/wp-content/uploads/2021/06/FOC-Joint-Statement-on-Artificial-Intelligence-and-Human-Rights.pdf</t>
  </si>
  <si>
    <t>06/2021</t>
  </si>
  <si>
    <t>La diffusion des données décisionnelles et la jurisprudence : Quelle jurisprudence à l'ère des données ouvertes ?</t>
  </si>
  <si>
    <t>Cour de cassation (France)</t>
  </si>
  <si>
    <t>https://www.courdecassation.fr/files/files/Publications/Divers/Rapport%20open%20data/Rapport_La_Diffusion_des_donn%C3%A9es_d%C3%A9cisionnelles_et_la_jurisprudence.pdf</t>
  </si>
  <si>
    <t>Critical Engineering Working Manifesto</t>
  </si>
  <si>
    <t>Critical Engineering Working Group</t>
  </si>
  <si>
    <t>https://criticalengineering.org/en</t>
  </si>
  <si>
    <t>ACT Project - Projet AJC (Autonomisation des acteurs judiciaires par la Cyberjustice)</t>
  </si>
  <si>
    <t>Cyberjustice Laboratory</t>
  </si>
  <si>
    <t>https://www.ajcact.org</t>
  </si>
  <si>
    <t>not a text</t>
  </si>
  <si>
    <t>SAP’s guiding principles for artificial intelligence</t>
  </si>
  <si>
    <t>SAP</t>
  </si>
  <si>
    <t>https://www.sap.com/documents/2018/09/940c6047-1c7d-0010-87a3-c30de2ffd8ff.html</t>
  </si>
  <si>
    <t>09/2018</t>
  </si>
  <si>
    <t>What Future for European Robotics? JRC Conference and Workshop Report</t>
  </si>
  <si>
    <t>European Commission (Joint Research Centre)</t>
  </si>
  <si>
    <t>https://publications.jrc.ec.europa.eu/repository/bitstream/JRC125343/what-future-for-european-robotics.pdf</t>
  </si>
  <si>
    <t>29/01/2021</t>
  </si>
  <si>
    <t>SPI, field-specific, issue-specific</t>
  </si>
  <si>
    <t>Study on the Human Rights Dimensions of Automated Data Processing techniques</t>
  </si>
  <si>
    <t>Council of Europe (MSI-NET)</t>
  </si>
  <si>
    <t>https://rm.coe.int/algorithms-and-human-rights-en-rev/16807956b5</t>
  </si>
  <si>
    <t>03/2018</t>
  </si>
  <si>
    <t>The AI Manifesto</t>
  </si>
  <si>
    <t>BlackBerry</t>
  </si>
  <si>
    <t>https://blogs.blackberry.com/en/2019/09/the-ai-manifesto</t>
  </si>
  <si>
    <t>09/11/2019</t>
  </si>
  <si>
    <t>Assessment List for Trustworthy Artificial Intelligence (ALTAI) for self-assessment</t>
  </si>
  <si>
    <t>https://ec.europa.eu/newsroom/dae/document.cfm?doc_id=68342</t>
  </si>
  <si>
    <t>17/07/2020</t>
  </si>
  <si>
    <t>Serment d’Hippocrate pour Data Scientist</t>
  </si>
  <si>
    <t>DataforGood</t>
  </si>
  <si>
    <t>https://dataforgood.fr/projects/sermenthippocrate/</t>
  </si>
  <si>
    <t>not in english, not accessible</t>
  </si>
  <si>
    <t>Responsible AI for Empowered Teams</t>
  </si>
  <si>
    <t>Dataiku</t>
  </si>
  <si>
    <t>https://pages.dataiku.com/white-paper-responsible-ai-myths?utm_id=14648494480--127992688035--545776075822--ethical%20ai&amp;utm_source=emea-adwords&amp;utm_medium=paid-search&amp;utm_campaign=CONTENT%20Responsible%20AI%20Myths%20vs%20Reality&amp;gclid=CjwKCAiA7IGcBhA8EiwAFfUDsX1aCtwtfikx-sgtn1Qyt22TtN5cXvgWsLrben7RhzJxi0rMv6IEbRoCfTAQAvD_BwE</t>
  </si>
  <si>
    <t>DeepMind Ethics &amp; Society Principles, Safety &amp; Ethics</t>
  </si>
  <si>
    <t>DeepMind</t>
  </si>
  <si>
    <t>https://www.deepmind.com/about/ethics-and-society, https://www.deepmind.com/safety-and-ethics</t>
  </si>
  <si>
    <t>A way forward for the D9 in the age of AI: An industry view</t>
  </si>
  <si>
    <t>Digital Future for Europe coalition</t>
  </si>
  <si>
    <t>https://www.publicfirst.co.uk/wp-content/uploads/2019/05/A-way-forward-for-the-D9-in-the-age-of-AI-v4.pdf</t>
  </si>
  <si>
    <t>05/2019</t>
  </si>
  <si>
    <t>Harmonising artificial intelligence: The role of standards in the EU AI Regulation</t>
  </si>
  <si>
    <t>University of Oxford, Oxford Internet Institute</t>
  </si>
  <si>
    <t>https://www.oii.ox.ac.uk/news-events/reports/harmonising-artificial-intelligence/</t>
  </si>
  <si>
    <t>Draft Information Sharing Code of Practice</t>
  </si>
  <si>
    <t>Department for Digital, Culture, Media &amp; Sport (United Kingdom)</t>
  </si>
  <si>
    <t>https://www.gov.uk/government/uploads/system/uploads/attachment_data/file/709519/2018-05_PSD_Debt_and_Fraud_Draft_Information_Sharing_Code_of_Practice.pdf</t>
  </si>
  <si>
    <t>Coordinated Plan on Artificial Intelligence 2021 Review</t>
  </si>
  <si>
    <t>https://digital-strategy.ec.europa.eu/en/library/coordinated-plan-artificial-intelligence-2021-review</t>
  </si>
  <si>
    <t>21/04/2021</t>
  </si>
  <si>
    <t>New national innovation centre to put UK at forefront of big data</t>
  </si>
  <si>
    <t>https://www.gov.uk/government/news/new-national-innovation-centre-to-put-uk-at-forefront-of-big-data</t>
  </si>
  <si>
    <t>Policy Recommendations on Augmented Intelligence in Health Care H-480.940</t>
  </si>
  <si>
    <t>American Medical Association (AMA)</t>
  </si>
  <si>
    <t>https://policysearch.ama-assn.org/policyfinder/detail/augmented%20intelligence?uri=%2FAMADoc%2FHOD.xml-H-480.940.xml</t>
  </si>
  <si>
    <t>Comprehensive European industrial policy on artificial intelligence and robotics</t>
  </si>
  <si>
    <t>https://www.europarl.europa.eu/doceo/document/TA-8-2019-0081_EN.html</t>
  </si>
  <si>
    <t>12/02/2019</t>
  </si>
  <si>
    <t>SPI (policy)</t>
  </si>
  <si>
    <t>Identification and assessment of existing and draft EU legislation in the digital field</t>
  </si>
  <si>
    <t>https://www.europarl.europa.eu/RegData/etudes/STUD/2022/703345/IPOL_STU(2022)703345_EN.pdf</t>
  </si>
  <si>
    <t>01/2022</t>
  </si>
  <si>
    <t>AI Governance: A Research Agenda</t>
  </si>
  <si>
    <t>Centre for the Governance of AI, Future of Humanity Institute, University of Oxford</t>
  </si>
  <si>
    <t>https://www.fhi.ox.ac.uk/wp-content/uploads/GovAI-Agenda.pdf</t>
  </si>
  <si>
    <t>27/09/2018</t>
  </si>
  <si>
    <t>Policy paper on A Sector Deal between government and the Artificial Intelligence sector</t>
  </si>
  <si>
    <t>https://www.gov.uk/government/publications/artificial-intelligence-sector-deal</t>
  </si>
  <si>
    <t>policy</t>
  </si>
  <si>
    <t>Recommendations for the Federal Government’s Strategy on Artificial Intelligence</t>
  </si>
  <si>
    <t>Data Ethics Commission (Germany)</t>
  </si>
  <si>
    <t>https://www.bmi.bund.de/SharedDocs/downloads/EN/themen/it-digital-policy/recommendations-data-ethics-commission.pdf;jsessionid=F3332ECDBF9E5FFDB93910C64986F0D9.2_cid295?__blob=publicationFile&amp;v=4</t>
  </si>
  <si>
    <t>09/10/2018</t>
  </si>
  <si>
    <t>AI road map to improve PH productivity</t>
  </si>
  <si>
    <t>The Philippine government</t>
  </si>
  <si>
    <t>https://www.pna.gov.ph/articles/1075265.</t>
  </si>
  <si>
    <t>Philippines</t>
  </si>
  <si>
    <t>17/07/2019</t>
  </si>
  <si>
    <t>Action Plan for AI and Cybersecurity</t>
  </si>
  <si>
    <t>Department of Economy, Science and Innovation (Flanders, Belgium)</t>
  </si>
  <si>
    <t>https://www.ewi-vlaanderen.be/sites/default/files/quaternota_aan_de_vlaamse_regering_-_vlaams_beleidsplan_artificiele_intelligentie.pdf</t>
  </si>
  <si>
    <t>Towards Trustworthy AI: Malta Ethical AI Framework for public consultation</t>
  </si>
  <si>
    <t>Parliamentary Secretariat for Financial Services, DIgital Economy and Innovation (Malta)</t>
  </si>
  <si>
    <t>https://malta.ai/wp-content/uploads/2019/08/Malta_Towards_Ethical_and_Trustworthy_AI.pdf</t>
  </si>
  <si>
    <t>Malta</t>
  </si>
  <si>
    <t>08/2019</t>
  </si>
  <si>
    <t>Harmonious Artificial Intelligence Principles</t>
  </si>
  <si>
    <t>Research Center for Brain-inspired Intelligence, Institute of Automation, Chinese Academy of Sciences</t>
  </si>
  <si>
    <t>http://harmonious-ai.org/</t>
  </si>
  <si>
    <t>National Conception of Informatisation of public sector of the Slovak Republic</t>
  </si>
  <si>
    <t>Deputy Prime Minister of the Slovak Republic for Investment and Informatics</t>
  </si>
  <si>
    <t>http://www.informatizacia.sk/narodna-koncepcia-informatizacie-verejnej-spravy--2016-/22662c</t>
  </si>
  <si>
    <t>Slovakia</t>
  </si>
  <si>
    <t>Strategic Priority the Open Data</t>
  </si>
  <si>
    <t>http://www.informatizacia.sk/strategicke-priority-erf/24190c</t>
  </si>
  <si>
    <t>European industrial policy on artificial intelligence and robotics</t>
  </si>
  <si>
    <t>http://www.europarl.europa.eu/doceo/document/TA-8-2019-0081_EN.pdf</t>
  </si>
  <si>
    <t>Ethically Aligned Design. A Vision for Prioritizing Human Well-being with Autonomous and Intelligent Systems, version 2</t>
  </si>
  <si>
    <t>Institute of Electrical and Electronics Engineers (IEEE), The IEEE Global Initiative on Ethics of Autonomous and Intelligent Systems</t>
  </si>
  <si>
    <t>https://standards.ieee.org/wp-content/uploads/import/documents/other/ead_v2.pdf</t>
  </si>
  <si>
    <t>Using artificial intelligence in the workplace: What are the main ethical risks?</t>
  </si>
  <si>
    <t>https://www.oecd-ilibrary.org/docserver/840a2d9f-en.pdf?expires=1700910639&amp;id=id&amp;accname=guest&amp;checksum=B51C7549ABDB00F26FD7F4D8546E78D4</t>
  </si>
  <si>
    <t>05/07/2022</t>
  </si>
  <si>
    <t>Principles for Digital Development</t>
  </si>
  <si>
    <t>Digital Impact Alliance (DIAL)</t>
  </si>
  <si>
    <t>https://digitalprinciples.org/</t>
  </si>
  <si>
    <t>Deon - An Ethics Checklist for data scientists</t>
  </si>
  <si>
    <t>DrivenData</t>
  </si>
  <si>
    <t>https://deon.drivendata.org/</t>
  </si>
  <si>
    <t>Report on intellectual property rights for the development of artificial intelligence technologies</t>
  </si>
  <si>
    <t>https://www.europarl.europa.eu/doceo/document/A-9-2020-0176_EN.pdf</t>
  </si>
  <si>
    <t>02/10/2020</t>
  </si>
  <si>
    <t>National Artificial Intelligence Strategy</t>
  </si>
  <si>
    <t>Department of Business, Enterprise and Innovation (DBEI) of Ireland</t>
  </si>
  <si>
    <t>https://enterprise.gov.ie/en/publications/national-ai-strategy.html</t>
  </si>
  <si>
    <t>08/07/2021</t>
  </si>
  <si>
    <t>Holberton Turing Oath</t>
  </si>
  <si>
    <t>The Holberton-Turing Oath</t>
  </si>
  <si>
    <t>https://github.com/Holberton-Turing/oath/blob/master/The_Holberthon-Turing_Oath.md</t>
  </si>
  <si>
    <t>16/06/2018</t>
  </si>
  <si>
    <t>Algorithm Charter for Aotearoa New Zealand</t>
  </si>
  <si>
    <t>New Zealand Government; Stats NZ</t>
  </si>
  <si>
    <t>https://data.govt.nz/assets/data-ethics/algorithm/Algorithm-Charter-2020_Final-English-1.pdf</t>
  </si>
  <si>
    <t>07/2020</t>
  </si>
  <si>
    <t>AI, the global landscape of ethics guidelines</t>
  </si>
  <si>
    <t>ETH Zurich</t>
  </si>
  <si>
    <t>https://arxiv.org/ftp/arxiv/papers/1906/1906.11668.pdf</t>
  </si>
  <si>
    <t>The global landscape of AI ethics guidelines</t>
  </si>
  <si>
    <t>https://www.nature.com/articles/s42256-019-0088-2</t>
  </si>
  <si>
    <t>Guidelines for the responsible use of artificial intelligence and other digital technologies in human resources - Richtlinien für den verantwortungsvollen Einsatz von Künstlicher Intelligenz und weiteren digitalen Technologien in der Personalarbeit</t>
  </si>
  <si>
    <t>Ethics council HR Tech - Ethikbeirat HR Tech</t>
  </si>
  <si>
    <t>https://www.ethikbeirat-hrtech.de/wp-content/uploads/2019/09/Ethikbeirat_und_Richtlinien_Konsultationsfassung_final.pdf</t>
  </si>
  <si>
    <t>Guidelines for Artificial Intelligence</t>
  </si>
  <si>
    <t>Deutsche Telekom</t>
  </si>
  <si>
    <t>https://www.telekom.com/en/company/digital-responsibility/details/artificial-intelligence-ai-guideline-524366</t>
  </si>
  <si>
    <t>24/04/2018</t>
  </si>
  <si>
    <t>Road to the Adoption of Artificial Intelligence by the Public Sector</t>
  </si>
  <si>
    <t>https://op.europa.eu/fr/publication-detail/-/publication/34251428-dc12-11ec-a534-01aa75ed71a1</t>
  </si>
  <si>
    <t>A Proposal for Identifying and Managing Bias in Artificial Intelligence</t>
  </si>
  <si>
    <t>https://nvlpubs.nist.gov/nistpubs/SpecialPublications/NIST.SP.1270-draft.pdf</t>
  </si>
  <si>
    <t>SPI (study), issue-specific</t>
  </si>
  <si>
    <t>A multi-dimensional approach to disinformation</t>
  </si>
  <si>
    <t>https://op.europa.eu/en/publication-detail/-/publication/6ef4df8b-4cea-11e8-be1d-01aa75ed71a1/language-en</t>
  </si>
  <si>
    <t>Protecting Fundamental Rights in the Digital Age - 2021 Annual Report on the Application of the EU Charter of Fundamental Rights</t>
  </si>
  <si>
    <t>https://commission.europa.eu/system/files/2021-12/1_1_179442_ann_rep_en_0.pdf new url https://ec.europa.eu/commission/presscorner/detail/en/ip_21_6699</t>
  </si>
  <si>
    <t>Ethical Principles for Artificial Intelligence and Data Analytics</t>
  </si>
  <si>
    <t>Software &amp; Information Industry Association (SIIA), Public Policy Division</t>
  </si>
  <si>
    <t>https://history.siia.net/Portals/0/pdf/Policy/Ethical%20Principles%20for%20Artificial%20Intelligence%20and%20Data%20Analytics%20SIIA%20Issue%20Brief.pdf?ver=2017-11-06-160346-990</t>
  </si>
  <si>
    <t>private sector, national authority</t>
  </si>
  <si>
    <t>Artificial Intelligence: A european perspective</t>
  </si>
  <si>
    <t>https://publications.jrc.ec.europa.eu/repository/handle/JRC113826</t>
  </si>
  <si>
    <t>03/12/2018</t>
  </si>
  <si>
    <t>Responsible AI – Maturing from theory to practice</t>
  </si>
  <si>
    <t>PriceWaterhouseCoopers (PWC)</t>
  </si>
  <si>
    <t>https://www.pwc.com/gx/en/issues/data-and-analytics/artificial-intelligence/what-is-responsible-ai/pwc-responsible-ai-maturing-from-theory-to-practice.pdf</t>
  </si>
  <si>
    <t>EDPS calls for closer alignment between consumer and data protection rules in the EU</t>
  </si>
  <si>
    <t>European Data Protection Supervisor (EDPS)</t>
  </si>
  <si>
    <t>https://edps.europa.eu/node/4907</t>
  </si>
  <si>
    <t>Final Report on Big Data</t>
  </si>
  <si>
    <t>ESMA (European Securities and Markets Authority), EBA (European Banking Authority), EIOPA (European Insurance and Occupational Pensions Authority) and the Joint Committtee of the European Supervisory Authorities, Joint Committee</t>
  </si>
  <si>
    <t>https://www.esma.europa.eu/sites/default/files/library/jc-2018-04_joint_committee_final_report_on_big_data.pdf</t>
  </si>
  <si>
    <t>Code of Practice on Disinformation</t>
  </si>
  <si>
    <t>https://digital-strategy.ec.europa.eu/en/news/code-practice-disinformation</t>
  </si>
  <si>
    <t>Data for the Benefit of the People</t>
  </si>
  <si>
    <t>Danish Expert Group on Data Ethics - Ekspertgruppen om DATAETIK</t>
  </si>
  <si>
    <t>https://cis-india.org/internet-governance/files/data-for-the-benefit-of-people</t>
  </si>
  <si>
    <t>Denmark</t>
  </si>
  <si>
    <t>11/2018</t>
  </si>
  <si>
    <t>Communication on the Digital Education Action Plan</t>
  </si>
  <si>
    <t>https://education.ec.europa.eu/focus-topics/digital-education/action-plan</t>
  </si>
  <si>
    <t>National strategies on Artificial Intelligence: A European perspective, 2022 edition</t>
  </si>
  <si>
    <t>AI4Belgium: AI National Strategy</t>
  </si>
  <si>
    <t>AI4Belgium Coalition</t>
  </si>
  <si>
    <t>https://www.ai4belgium.be/wp-content/uploads/2019/04/report_en.pdf</t>
  </si>
  <si>
    <t>Declaration on cooperation on AI</t>
  </si>
  <si>
    <t>https://ec.europa.eu/jrc/communities/en/community/digitranscope/document/eu-declaration-cooperation-artificial-intelligence#:~:text=Declaration%20signed%20at%20Digital%20Day%20on%2010th%20April%202018.&amp;text=This%20Declaration%20builds%20on%20the,of%20a%20Digital%20Single%20Market.</t>
  </si>
  <si>
    <t>Democracy and digitalisation</t>
  </si>
  <si>
    <t>https://op.europa.eu/o/opportal-service/download-handler?identifier=651a6438-7357-11ec-9136-01aa75ed71a1&amp;format=pdf&amp;language=en&amp;productionSystem=cellar&amp;part=</t>
  </si>
  <si>
    <t>Digital Finance Strategy for the EU</t>
  </si>
  <si>
    <t>https://eur-lex.europa.eu/legal-content/EN/TXT/HTML/?uri=CELEX:52020DC0591&amp;from=EN</t>
  </si>
  <si>
    <t>Making the most of the EU’s innovative potential: An intellectual property action plan to support the EU’s recovery and resilience</t>
  </si>
  <si>
    <t>https://ec.europa.eu/docsroom/documents/43845</t>
  </si>
  <si>
    <t>Proposal for a Regulation on a European approach for Artificial Intelligence (AI Act)</t>
  </si>
  <si>
    <t>https://digital-strategy.ec.europa.eu/en/library/proposal-regulation-european-approach-artificial-intelligence</t>
  </si>
  <si>
    <t>not prescriptive (binding)</t>
  </si>
  <si>
    <t>Report of COMEST on Robotics Ethics</t>
  </si>
  <si>
    <t>COMEST/UNESCO</t>
  </si>
  <si>
    <t>https://unesdoc.unesco.org/ark:/48223/pf0000253952</t>
  </si>
  <si>
    <t>14/09/2017</t>
  </si>
  <si>
    <t>Prolegomena to a White Paper on an Ethical Framework for a Good AI Society</t>
  </si>
  <si>
    <t>Oxford Internet Institute</t>
  </si>
  <si>
    <t>https://papers.ssrn.com/sol3/papers.cfm?abstract_id=3198732</t>
  </si>
  <si>
    <t>14/07/2018</t>
  </si>
  <si>
    <t>Preparing for the future of Artificial Intelligence</t>
  </si>
  <si>
    <t>Executive Office of the President; National Science and Technology Council; Committee on Technology</t>
  </si>
  <si>
    <t>Resolution with recommendations to the Commission on Civil Law Rules on Robotics</t>
  </si>
  <si>
    <t>http://www.europarl.europa.eu/sides/getDoc.do?pubRef=-//EP//TEXT+TA+P8-TA-2017-0051+0+DOC+XML+V0//EN</t>
  </si>
  <si>
    <t>16/02/2017</t>
  </si>
  <si>
    <t>Rome Call for AI Ethics</t>
  </si>
  <si>
    <t>RenAIssance Foundation</t>
  </si>
  <si>
    <t>https://www.romecall.org/wp-content/uploads/2022/03/RomeCall_Paper_web.pdf</t>
  </si>
  <si>
    <t>Vatican</t>
  </si>
  <si>
    <t>28/02/2020</t>
  </si>
  <si>
    <t>Towards an AI Strategy in Mexico. Harnessing the AI Revolution</t>
  </si>
  <si>
    <t>British Embassy Mexico City</t>
  </si>
  <si>
    <t>https://7da2ca8d-b80d-4593-a0ab-5272e2b9c6c5.filesusr.com/ugd/7be025_e726c582191c49d2b8b6517a590151f6.pdf</t>
  </si>
  <si>
    <t>Big Data and Security Policies: Serving Security, Protecting Freedom</t>
  </si>
  <si>
    <t>The Netherlands Scientific Council for Government Policy</t>
  </si>
  <si>
    <t>https://english.wrr.nl/binaries/wrr-eng/documenten/policy-briefs/2017/01/31/big-data-and-security-policies-serving-security-protecting-freedom/WRR_PB6_BigDataAndSecurityPolicies.pdf</t>
  </si>
  <si>
    <t>Advisory Statement on Human Ethics in Artificial Intelligence and Big Data Research</t>
  </si>
  <si>
    <t>National Research Council Canada</t>
  </si>
  <si>
    <t>https://nrc.canada.ca/en/corporate/values-ethics/research-involving-human-participants/advisory-statement-human-ethics-artificial-intelligence-big-data-research-2017</t>
  </si>
  <si>
    <t>Everyday Ethics for Artificial Intelligence. A practical guide for designers &amp; developers</t>
  </si>
  <si>
    <t>IBM</t>
  </si>
  <si>
    <t>https://www.ibm.com/watson/assets/duo/pdf/everydayethics.pdf</t>
  </si>
  <si>
    <t>Adam Cutler, Milena Pribić</t>
  </si>
  <si>
    <t>AI for the public sector: Report of the “4 th Peer Learning Workshop on the use and impact of AI in public services”, 28 October 2021</t>
  </si>
  <si>
    <t>https://publications.jrc.ec.europa.eu/repository/bitstream/JRC127944/JRC127944_01.pdf</t>
  </si>
  <si>
    <t>Initial Code of Conduct for Data-Driven Health and Care Technology</t>
  </si>
  <si>
    <t>Department of Health &amp; Social Care</t>
  </si>
  <si>
    <t>Study on the use of innovative technologies in the justice field</t>
  </si>
  <si>
    <t>https://op.europa.eu/en/publication-detail/-/publication/4fb8e194-f634-11ea-991b-01aa75ed71a1</t>
  </si>
  <si>
    <t>09/2020</t>
  </si>
  <si>
    <t>2022 AI Principles Progress Update</t>
  </si>
  <si>
    <t>https://ai.google/static/documents/ai-principles-2022-progress-update.pdf</t>
  </si>
  <si>
    <t>Civil Rights Principles for the Era of Big Data</t>
  </si>
  <si>
    <t>Leadership Conference on Civil and Human Rights</t>
  </si>
  <si>
    <t>https://civilrights.org/2014/02/27/civil-rights-principles-era-big-data/</t>
  </si>
  <si>
    <t>27/02/2014</t>
  </si>
  <si>
    <t>Policy Briefing: Algorithmic Impact Assessments</t>
  </si>
  <si>
    <t>Institute for the Future of Work</t>
  </si>
  <si>
    <t>https://global-uploads.webflow.com/5f57d40eb1c2ef22d8a8ca7e/62349d0fc097275eec2a930c_IFOW-AIA%20Policy%20Paper%20(v8-18.03.22).pdf</t>
  </si>
  <si>
    <t>11/2021</t>
  </si>
  <si>
    <t>Human rights in the robot age Challenges arising from the use of robotics, artificial intelligence, and virtual and augmented reality</t>
  </si>
  <si>
    <t>The Rathenau Instituut</t>
  </si>
  <si>
    <t>https://www.rathenau.nl/sites/default/files/2018-02/Human%20Rights%20in%20the%20Robot%20Age-Rathenau%20Instituut-2017.pdf</t>
  </si>
  <si>
    <t>digital techno-specific</t>
  </si>
  <si>
    <t>Bias in algorithms: Artificial intelligence and discrimination</t>
  </si>
  <si>
    <t>https://fra.europa.eu/sites/default/files/fra_uploads/fra-2022-bias-in-algorithms_en.pdf</t>
  </si>
  <si>
    <t>08/12/2022</t>
  </si>
  <si>
    <t>Governing data and artificial intelligence for all: model for sustainable and just data governance</t>
  </si>
  <si>
    <t>https://www.europarl.europa.eu/RegData/etudes/STUD/2022/729533/EPRS_STU(2022)729533_EN.pdf</t>
  </si>
  <si>
    <t>07/2022</t>
  </si>
  <si>
    <t>Liability for Artificial Intelligence and other emerging digital technologies</t>
  </si>
  <si>
    <t>European Commission (Expert group on liability and new technologies)</t>
  </si>
  <si>
    <t>https://ec.europa.eu/newsroom/dae/document.cfm?doc_id=63199</t>
  </si>
  <si>
    <t>Glossary of human-centric artificial intelligence</t>
  </si>
  <si>
    <t>https://publications.jrc.ec.europa.eu/repository/bitstream/JRC129614/JRC129614_01.pdf</t>
  </si>
  <si>
    <t>not prescriptive (tool)</t>
  </si>
  <si>
    <t>Taking an ethical approach to artificial intelligence.</t>
  </si>
  <si>
    <t>Adobe</t>
  </si>
  <si>
    <t>https://www.adobe.com/about-adobe/aiethics.html</t>
  </si>
  <si>
    <t>Report on Artificial Intelligence and Human Society (Unofficial translation)</t>
  </si>
  <si>
    <t>Advisory Board on Artificial Intelligence and Human Society (initiative of the Minister of State for Science and Technology Policy)</t>
  </si>
  <si>
    <t>https://www8.cao.go.jp/cstp/tyousakai/ai/summary/aisociety_en.pdf</t>
  </si>
  <si>
    <t>24/03/2017</t>
  </si>
  <si>
    <t>The Effects of AI on the Working Lives of Women</t>
  </si>
  <si>
    <t>United Nations Educational Scientific and Cultural Organization (UNESCO), Organisation for Economic Co-operation and Development (OECD), Inter-American Development Bank (IDB)</t>
  </si>
  <si>
    <t>https://unesdoc.unesco.org/ark:/48223/pf0000380861</t>
  </si>
  <si>
    <t>international organisation &gt; IGO, private sector</t>
  </si>
  <si>
    <t>SPI issue specific</t>
  </si>
  <si>
    <t>A Method for Ethical AI in Defence</t>
  </si>
  <si>
    <t>Department of Defence (Australia)</t>
  </si>
  <si>
    <t>https://www.dst.defence.gov.au/sites/default/files/publications/documents/A%20Method%20for%20Ethical%20AI%20in%20Defence.pdf</t>
  </si>
  <si>
    <t>Opinion 3/2018 on online manipulation and personal data</t>
  </si>
  <si>
    <t>https://edps.europa.eu/sites/edp/files/publication/18-03-19_online_manipulation_en.pdf</t>
  </si>
  <si>
    <t>not AI</t>
  </si>
  <si>
    <t>International Charter for Inclusive AI</t>
  </si>
  <si>
    <t>Orange; Arborus</t>
  </si>
  <si>
    <t>https://charteia.arborus.org/en/</t>
  </si>
  <si>
    <t>Adopted Opinion Investing in a smart, innovative and sustainable industry</t>
  </si>
  <si>
    <t>https://www.eesc.europa.eu/en/our-work/opinions-information-reports/opinions/investing-smart-innovative-and-sustainable-industry-referral</t>
  </si>
  <si>
    <t>Adopted Opinion on Building a European Data Economy</t>
  </si>
  <si>
    <t>https://webapi2016.eesc.europa.eu/v1/documents/EESC-2017-00654-00-00-AC-TRA-en.docx/content</t>
  </si>
  <si>
    <t>OpenAI Charter</t>
  </si>
  <si>
    <t>OpenAI</t>
  </si>
  <si>
    <t>https://openai.com/charter/</t>
  </si>
  <si>
    <t>09/04/2018</t>
  </si>
  <si>
    <t>Governance of Artificial Intelligence in Finance</t>
  </si>
  <si>
    <t>Autorité de contrôle prudentiel et de résolution (ACPR - France)</t>
  </si>
  <si>
    <t>https://acpr.banque-france.fr/sites/default/files/medias/documents/20200612_ai_governance_finance.pdf</t>
  </si>
  <si>
    <t>06/2022</t>
  </si>
  <si>
    <t>Model Rules on Impact Assessment of Algorithmic Decision-Making Systems Used by Public Administration</t>
  </si>
  <si>
    <t>European Law Institute (ELI)</t>
  </si>
  <si>
    <t>https://www.europeanlawinstitute.eu/fileadmin/user_upload/p_eli/Publications/ELI_Model_Rules_on_Impact_Assessment_of_ADMSs_Used_by_Public_Administration.pdf</t>
  </si>
  <si>
    <t>Safeguarding human rights in the era of artificial intelligence</t>
  </si>
  <si>
    <t>Council of Europe (Commissioner for Human Rights)</t>
  </si>
  <si>
    <t>https://www.coe.int/en/web/commissioner/-/safeguarding-human-rights-in-the-era-of-artificial-intelligence?inheritRedirect=true</t>
  </si>
  <si>
    <t>03/07/2018</t>
  </si>
  <si>
    <t>Report on The Age of Digital Interdependence</t>
  </si>
  <si>
    <t>United Nations, UN Secretary-General’s High-level Panel on Digital Cooperation</t>
  </si>
  <si>
    <t>https://www.un.org/en/pdfs/DigitalCooperation-report-for%20web.pdf</t>
  </si>
  <si>
    <t>“ARCC”: An Ethical Framework for Artificial Intelligence</t>
  </si>
  <si>
    <t>Tencent Research Institute</t>
  </si>
  <si>
    <t>https://www.tisi.org/13747</t>
  </si>
  <si>
    <t>09/04/2020</t>
  </si>
  <si>
    <t>Responsible use of AI for public policy: Data science toolkit</t>
  </si>
  <si>
    <t>Inter-American Development Bank</t>
  </si>
  <si>
    <t>https://publications.iadb.org/publications/english/document/Responsible-use-of-AI-for-public-policy-Data-science-toolkit.pdf</t>
  </si>
  <si>
    <t>Responsible use of Artificial Intelligence (AI) - Guiding Principles</t>
  </si>
  <si>
    <t>Treasury Board (Canada)</t>
  </si>
  <si>
    <t>https://www.canada.ca/en/government/system/digital-government/modern-emerging-technologies/responsible-use-ai.html#toc1</t>
  </si>
  <si>
    <t>Study on Understanding algorithmic decision-making</t>
  </si>
  <si>
    <t>https://www.europarl.europa.eu/RegData/etudes/STUD/2019/624261/EPRS_STU(2019)624261_EN.pdf</t>
  </si>
  <si>
    <t>03/2019</t>
  </si>
  <si>
    <t>SPI, techno-specific</t>
  </si>
  <si>
    <t>Five guiding principles for responsible use of AI in healthcare and healthy living</t>
  </si>
  <si>
    <t>Philips</t>
  </si>
  <si>
    <t>https://www.philips.com/a-w/about/news/archive/blogs/innovation-matters/2020/20200121-five-guiding-principles-for-responsible-use-of-ai-in-healthcare-and-healthy-living.html</t>
  </si>
  <si>
    <t>21/01/2020</t>
  </si>
  <si>
    <t>Ethical issues arising from the police use of live facial recognition technology</t>
  </si>
  <si>
    <t>Biometrics and Forensics Ethics Group (BFEG)</t>
  </si>
  <si>
    <t>https://assets.publishing.service.gov.uk/government/uploads/system/uploads/attachment_data/file/781745/Facial_Recognition_Briefing_BFEG_February_2019.pdf</t>
  </si>
  <si>
    <t>SPI techno-specific field-specific</t>
  </si>
  <si>
    <t>Governance Guidelines for Implementation of AI Principles</t>
  </si>
  <si>
    <t>Ministry of Economy, Trade and Industry (Japan)</t>
  </si>
  <si>
    <t>https://www.meti.go.jp/shingikai/mono_info_service/ai_shakai_jisso/pdf/20220128_2.pdf</t>
  </si>
  <si>
    <t>28/01/2022</t>
  </si>
  <si>
    <t>Algorithmic decision making for the benefit of consumers. Position paper executive summary</t>
  </si>
  <si>
    <t>Federation of German Consumer Organisations</t>
  </si>
  <si>
    <t>https://www.vzbv.de/sites/default/files/downloads/2019/07/19/19-06-25_vzbv_positions_adm_control_summary_en.pdf</t>
  </si>
  <si>
    <t>Artificial intelligence: questions of interpretation and application of international law in so far as the EU is affected in the areas of civil and military uses and of state authority outside the scope of criminal justice</t>
  </si>
  <si>
    <t>https://www.europarl.europa.eu/doceo/document/TA-9-2021-0009_EN.pdf</t>
  </si>
  <si>
    <t>The Leadership Conference on Civil and Human Rights</t>
  </si>
  <si>
    <t>AI needs an ethical compass. This tool can help</t>
  </si>
  <si>
    <t>IDEO</t>
  </si>
  <si>
    <t>https://www.ideo.com/blog/ai-needs-an-ethical-compass-this-tool-can-help</t>
  </si>
  <si>
    <t>Plans to develop a National Artificial Intelligence Framework</t>
  </si>
  <si>
    <t>Prime Minister of Malaysia</t>
  </si>
  <si>
    <t>https://opengovasia.com/plans-for-cloud-first-strategy-and-national-ai-framework-revealed-at-29th-msc-malaysia-implementation-council-meeting/.</t>
  </si>
  <si>
    <t>Malaysia</t>
  </si>
  <si>
    <t>28/10/2017</t>
  </si>
  <si>
    <t>How can humans keep the upper hand? Report on the ethical matters raised by AI algorithms</t>
  </si>
  <si>
    <t>French Data Protection Authority (CNIL)</t>
  </si>
  <si>
    <t>Victor Demiaux, Yacine Si Abdallah</t>
  </si>
  <si>
    <t>Ethique et Numerique</t>
  </si>
  <si>
    <t>Artificial intelligence: the promises and the threats</t>
  </si>
  <si>
    <t>https://unesdoc.unesco.org/ark:/48223/pf0000265211</t>
  </si>
  <si>
    <t>study</t>
  </si>
  <si>
    <t>Humans and Societies at the Age of Artificial Intelligence</t>
  </si>
  <si>
    <t>European Commission (DG for Education, Youth, Sport and Culture)</t>
  </si>
  <si>
    <t>https://op.europa.eu/en/publication-detail/-/publication/a72ac1a9-98e2-11eb-b85c-01aa75ed71a1/language-en</t>
  </si>
  <si>
    <t>04/2021</t>
  </si>
  <si>
    <t>Draft report on artificial intelligence in a digital age</t>
  </si>
  <si>
    <t>https://www.europarl.europa.eu/doceo/document/AIDA-PR-680928_EN.pdf</t>
  </si>
  <si>
    <t>A Framework for the Ethical use of advanced Data Science Methodes in the Humanitarian Sector</t>
  </si>
  <si>
    <t>The Humanitarian Data Science and Ethics Group</t>
  </si>
  <si>
    <t>https://5f2cd2ba-741c-4b29-ae47-00a8291b1d3c.filesusr.com/ugd/d1cf5c_6af8feb771194453817d62c92cee2a21.pdf</t>
  </si>
  <si>
    <t>01/04/2020</t>
  </si>
  <si>
    <t>EU Legislation in Progress - AI Act</t>
  </si>
  <si>
    <t>https://www.europarl.europa.eu/RegData/etudes/BRIE/2021/698792/EPRS_BRI(2021)698792_EN.pdf</t>
  </si>
  <si>
    <t>summary of AI Act</t>
  </si>
  <si>
    <t>AI Now</t>
  </si>
  <si>
    <t>https://ainowinstitute.org/wp-content/uploads/2023/04/AI-Now-2023-Landscape-Report-FINAL.pdf</t>
  </si>
  <si>
    <t>11/04/2023</t>
  </si>
  <si>
    <t>Digital Decisions</t>
  </si>
  <si>
    <t>Center for Democracy &amp; Technology</t>
  </si>
  <si>
    <t>https://cdt.org/wp-content/uploads/2015/04/Digital-Decisions-Project-Description.pdf</t>
  </si>
  <si>
    <t>04/2015</t>
  </si>
  <si>
    <t>Guiding Principles for Automated Decision-Making in the EU</t>
  </si>
  <si>
    <t>https://www.europeanlawinstitute.eu/fileadmin/user_upload/p_eli/Publications/ELI_Innovation_Paper_on_Guiding_Principles_for_ADM_in_the_EU.pdf</t>
  </si>
  <si>
    <t>Digital automation and the future of work</t>
  </si>
  <si>
    <t>https://www.europarl.europa.eu/RegData/etudes/STUD/2021/656311/EPRS_STU(2021)656311_EN.pdf</t>
  </si>
  <si>
    <t>Improving working conditions using Artificial Intelligence</t>
  </si>
  <si>
    <t>http://www.europarl.europa.eu/RegData/etudes/STUD/2021/662911/IPOL_STU(2021)662911_EN.pdf</t>
  </si>
  <si>
    <t>Initial Appraisal of a European Commission Impact Assessment</t>
  </si>
  <si>
    <t>https://op.europa.eu/fr/publication-detail/-/publication/c721f802-9ce7-11e7-b92d-01aa75ed71a1/language-en</t>
  </si>
  <si>
    <t>Report with recommendations to the Commission on Civil liability regime for artificial intelligence</t>
  </si>
  <si>
    <t>https://www.europarl.europa.eu/doceo/document/A-9-2020-0178_EN.pdf</t>
  </si>
  <si>
    <t>05/10/2020</t>
  </si>
  <si>
    <t>Singapore’s Approach to AI Governance</t>
  </si>
  <si>
    <t>Personal Data Protection Commission Singapore</t>
  </si>
  <si>
    <t>https://www.pdpc.gov.sg/Help-and-Resources/2020/01/Model-AI-Governance-Framework</t>
  </si>
  <si>
    <t>01/2020</t>
  </si>
  <si>
    <t>Assessing Technology Readiness Levels for Artificial Intelligence</t>
  </si>
  <si>
    <t>https://publications.jrc.ec.europa.eu/repository/bitstream/JRC122014/jrc122014_ai_watch_assessing_technology_readiness_levels_for_artificial_intelligence-1.pdf</t>
  </si>
  <si>
    <t>Establishing a pro-innovation approach to regulating AI: An overview of the UK’s emerging approach</t>
  </si>
  <si>
    <t>https://www.gov.uk/government/publications/establishing-a-pro-innovation-approach-to-regulating-ai/establishing-a-pro-innovation-approach-to-regulating-ai-policy-statement</t>
  </si>
  <si>
    <t>18/07/2022</t>
  </si>
  <si>
    <t>Recommendation, Unboxing artificial intelligence: 10 steps to protect human rights</t>
  </si>
  <si>
    <t>https://rm.coe.int/unboxing-artificial-intelligence-10-steps-to-protect-human-rights-reco/1680946e64</t>
  </si>
  <si>
    <t>Artificial Intelligence: opportunities, risks and recommendations for the financial sector</t>
  </si>
  <si>
    <t>Commission de Surveillance du Secteur Financier</t>
  </si>
  <si>
    <t>https://www.cssf.lu/en/Document/white-paper-artificial-intelligence-opportunities-risks-and-recommendations-for-the-financial-sector/</t>
  </si>
  <si>
    <t>Luxembourg</t>
  </si>
  <si>
    <t>21/12/2018</t>
  </si>
  <si>
    <t>Declaration by the Committee of Ministers on the manipulative capabilities of algorithmic processes</t>
  </si>
  <si>
    <t>https://search.coe.int/cm/pages/result_details.aspx?ObjectId=090000168092dd4b</t>
  </si>
  <si>
    <t>13/02/2019</t>
  </si>
  <si>
    <t>Resolution on artificial intelligence in criminal matters law and its use by the police and judicial authorities in criminal matters</t>
  </si>
  <si>
    <t>https://www.europarl.europa.eu/doceo/document/TA-9-2021-0405_EN.html</t>
  </si>
  <si>
    <t>Resolution on Fundamental rights implications of big data: privacy, data protection, non-discrimination, security and law-enforcement</t>
  </si>
  <si>
    <t>http://www.europarl.europa.eu/sides/getDoc.do?pubRef=-//EP//TEXT+TA+P8-TA-2017-0076+0+DOC+XML+V0//EN</t>
  </si>
  <si>
    <t>Report on the need for democratic governance of artificial intelligence</t>
  </si>
  <si>
    <t>https://pace.coe.int/files/28742/pdf</t>
  </si>
  <si>
    <t>24/09/2020</t>
  </si>
  <si>
    <t>Algorithms and Economic Justice: A Taxonomy of Harms and a Path Forward for the Federal Trade Commission</t>
  </si>
  <si>
    <t>Yale Law School</t>
  </si>
  <si>
    <t>https://yjolt.org/sites/default/files/23_yale_j.l._tech._special_issue_1.pdf</t>
  </si>
  <si>
    <t>08/2021</t>
  </si>
  <si>
    <t>SImon</t>
  </si>
  <si>
    <t>A Proposed Model Artificial Intelligence Governance Framework</t>
  </si>
  <si>
    <t>Personal Data Commission Singapore</t>
  </si>
  <si>
    <t>https://www.pdpc.gov.sg/-/media/files/pdpc/pdf-files/resource-for-organisation/ai/sgmodelaigovframework2.ashx</t>
  </si>
  <si>
    <t>Study on the implications of advanced digital technologies (including AI systems) for the concept of responsibility within a human rights framework</t>
  </si>
  <si>
    <t>Council of Europe (MSI-AUT)</t>
  </si>
  <si>
    <t>https://rm.coe.int/responsability-and-ai-en/168097d9c5</t>
  </si>
  <si>
    <t>09/2019</t>
  </si>
  <si>
    <t>European Artificial Intelligence (AI) leadership, the path for an integrated vision</t>
  </si>
  <si>
    <t>https://www.europarl.europa.eu/RegData/etudes/STUD/2018/626074/IPOL_STU(2018)626074_EN.pdf</t>
  </si>
  <si>
    <t>Seeking Ground Rules for AI</t>
  </si>
  <si>
    <t>The New York Times</t>
  </si>
  <si>
    <t>https://www.nytimes.com/2019/03/01/business/ethical-ai-recommendations.html</t>
  </si>
  <si>
    <t>02/03/2019</t>
  </si>
  <si>
    <t>AI Cybersecurity Challenges</t>
  </si>
  <si>
    <t>European Union Agency for Cybersecurity (ENISA)</t>
  </si>
  <si>
    <t>https://www.enisa.europa.eu/publications/artificial-intelligence-cybersecurity-challenges/@@download/fullReport</t>
  </si>
  <si>
    <t>Artificial Intelligence Needs Assessment - Survey In Africa</t>
  </si>
  <si>
    <t>https://unesdoc.unesco.org/ark:/48223/pf0000375322</t>
  </si>
  <si>
    <t>Malicious Use and Abuse of Artificial Intelligence</t>
  </si>
  <si>
    <t>EUROPOL</t>
  </si>
  <si>
    <t>https://www.europol.europa.eu/publications-documents/malicious-uses-and-abuses-of-artificial-intelligence direct download link https://www.europol.europa.eu/cms/sites/default/files/documents/malicious_uses_and_abuses_of_artificial_intelligence_europol.pdf</t>
  </si>
  <si>
    <t>Testing and Auditing of AI Systems</t>
  </si>
  <si>
    <t>ExamAI</t>
  </si>
  <si>
    <t>https://testing-ai.gi.de/english</t>
  </si>
  <si>
    <t>Advancing accountability in AI - Governing and managing risks throughout the lifecycle for trustworthy AI</t>
  </si>
  <si>
    <t>https://www.oecd-ilibrary.org/deliver/2448f04b-en.pdf?itemId=%2Fcontent%2Fpaper%2F2448f04b-en&amp;mimeType=pdf</t>
  </si>
  <si>
    <t>02/2023</t>
  </si>
  <si>
    <t>AI Taiwan Action Plan</t>
  </si>
  <si>
    <t>Executive Yuan (Taiwan)</t>
  </si>
  <si>
    <t>https://english.ey.gov.tw/News3/9E5540D592A5FECD/1dec0902-e02a-49c6-870d-e77208481667</t>
  </si>
  <si>
    <t>Taiwan</t>
  </si>
  <si>
    <t>not prescriptive</t>
  </si>
  <si>
    <t>Automating Injustice: The Use of Artificial Intelligence &amp; Automated Decision-Making Systems in Criminal Justice in Europe</t>
  </si>
  <si>
    <t>Fair Trials</t>
  </si>
  <si>
    <t>https://www.fairtrials.org/automating-injustice</t>
  </si>
  <si>
    <t>Building Ethics into Privacy Frameworks for Big Data and AI</t>
  </si>
  <si>
    <t>IAPP</t>
  </si>
  <si>
    <t>https://iapp.org/media/pdf/resource_center/building_ethics_into_privacy_frameworks_white_paper.pdf</t>
  </si>
  <si>
    <t>AI Ethics Resources</t>
  </si>
  <si>
    <t>Fast.ai</t>
  </si>
  <si>
    <t>https://www.fast.ai/2018/09/24/ai-ethics-resources/</t>
  </si>
  <si>
    <t>Big Data and Competition - Big Data und Wettbewerb</t>
  </si>
  <si>
    <t>Federal Cartel Office - Bundeskartellamt (Germany)</t>
  </si>
  <si>
    <t>http://www.bundeskartellamt.de/SharedDocs/Publikation/DE/Schriftenreihe_Digitales/Schriftenreihe_Digitales_1.pdf?__blob=publicationFile&amp;v=3</t>
  </si>
  <si>
    <t>Tenets</t>
  </si>
  <si>
    <t>Partnership on AI</t>
  </si>
  <si>
    <t>https://partnershiponai.org/about/#:~:text=Our%20Tenets&amp;text=We%20will%20educate%20and%20listen,work%2C%20and%20address%20their%20questions.&amp;text=We%20are%20committed%20to%20open,and%20legal%20implications%20of%20AI.</t>
  </si>
  <si>
    <t>2016</t>
  </si>
  <si>
    <t>Key points of the Federal Government for a strategy artificial intelligence</t>
  </si>
  <si>
    <t>Federal Government (Germany)</t>
  </si>
  <si>
    <t>https://www.bmwi.de/Redaktion/DE/Downloads/E/eckpunktepapier-ki.pdf?__blob=publicationFile&amp;v=10</t>
  </si>
  <si>
    <t>not in english, not prescriptive</t>
  </si>
  <si>
    <t>National Strategy for Artificial Intelligence - Nationale Strategie für Künstliche Intelligenz</t>
  </si>
  <si>
    <t>https://www.ki-strategie-deutschland.de/home.html?file=files/downloads/Nationale_KI-Strategie_engl.pdf</t>
  </si>
  <si>
    <t>not prescriptive (strategy)</t>
  </si>
  <si>
    <t>Artificial Intelligence Mission Austria 2030</t>
  </si>
  <si>
    <t>Federal Ministry for Transport, Innovation and Technology, Federal Ministry for Digital and Economic Affairs (Austria)</t>
  </si>
  <si>
    <t>Assessing Big Data</t>
  </si>
  <si>
    <t>Federal Ministry of Education and Research (Germany) - ABIDA</t>
  </si>
  <si>
    <t>https://www.abida.de/en</t>
  </si>
  <si>
    <t>not accessible (project website)</t>
  </si>
  <si>
    <t>AI Principles</t>
  </si>
  <si>
    <t>Future of Life Institute</t>
  </si>
  <si>
    <t>https://futureoflife.org/open-letter/ai-principles/</t>
  </si>
  <si>
    <t>11/08/2017</t>
  </si>
  <si>
    <t>Regulating AI in Europe: four problems and four solutions</t>
  </si>
  <si>
    <t>Ada Lovelace Institute</t>
  </si>
  <si>
    <t>https://www.adalovelaceinstitute.org/wp-content/uploads/2022/03/Expert-opinion-Lilian-Edwards-Regulating-AI-in-Europe.pdf</t>
  </si>
  <si>
    <t>Coordinated plan on AI</t>
  </si>
  <si>
    <t>https://ec.europa.eu/newsroom/dae/document.cfm?doc_id=56018</t>
  </si>
  <si>
    <t>07/12/2018</t>
  </si>
  <si>
    <t>AI for Humanity</t>
  </si>
  <si>
    <t>https://www.aiforhumanity.fr/en/</t>
  </si>
  <si>
    <t>Guidance on AI and data protection</t>
  </si>
  <si>
    <t>Information Commissioner Office</t>
  </si>
  <si>
    <t>https://ico.org.uk/media2/ga4lfb5d/guidance-on-ai-and-data-protection-all-2-0-38.pdf</t>
  </si>
  <si>
    <t>15/03/2023</t>
  </si>
  <si>
    <t>AI Watch: AI Standardisation Landscape - State of play and link to the EC proposal for an AI regulatory framework</t>
  </si>
  <si>
    <t>https://publications.jrc.ec.europa.eu/repository/bitstream/JRC125952/ai_watch_task_9_standardization_activity_mapping_v5.1.3.pdf</t>
  </si>
  <si>
    <t>COMEST Report on Robotics</t>
  </si>
  <si>
    <t>Principle of Artificial Intelligence Ethics for the intelliagence community</t>
  </si>
  <si>
    <t>Office of the Director of National Intelligence</t>
  </si>
  <si>
    <t>https://www.intelligence.gov/principles-of-artificial-intelligence-ethics-for-the-intelligence-community</t>
  </si>
  <si>
    <t>French Presidency Statement on “Digital Challenges for Justice in Europe”</t>
  </si>
  <si>
    <t>French Presidency of the Committee of Ministers</t>
  </si>
  <si>
    <t>https://rm.coe.int/final-declaration-of-the-french-presidency-conference-of-mj-coe-15-oct/168098383f</t>
  </si>
  <si>
    <t>Law, Technology and Innovation</t>
  </si>
  <si>
    <t>DTIBR (Centro de pesquisa em direito, tecnologia e inovaçao), Expert Editora Digital</t>
  </si>
  <si>
    <t>https://joelgomez.abogado.digital/2021-law-technology-and-innovation-v-ii/</t>
  </si>
  <si>
    <t>11/02/2021</t>
  </si>
  <si>
    <t>Towards regulation of AI Systems</t>
  </si>
  <si>
    <t>https://rm.coe.int/prems-107320-gbr-2018-compli-cahai-couv-texte-a4-bat-web/1680a0c17a</t>
  </si>
  <si>
    <t>Social Principles of Human-Centric AI</t>
  </si>
  <si>
    <t>Cabinet Office (Japan)</t>
  </si>
  <si>
    <t>https://www.cas.go.jp/jp/seisaku/jinkouchinou/pdf/humancentricai.pdf</t>
  </si>
  <si>
    <t>The New Frontier: Artificial intelligence at work</t>
  </si>
  <si>
    <t>https://global-uploads.webflow.com/5f57d40eb1c2ef22d8a8ca7e/62459a045de6afc1d9973bf4_The%20New%20Frontier%20-%20Artificial%20Intelligence%20at%20Work%5B4%5D.pdf</t>
  </si>
  <si>
    <t>White Paper on AI - A European approach to excellence and trust</t>
  </si>
  <si>
    <t>https://commission.europa.eu/system/files/2020-02/commission-white-paper-artificial-intelligence-feb2020_en.pdf</t>
  </si>
  <si>
    <t>19/02/2020</t>
  </si>
  <si>
    <t>Declaration by the Committee of Ministers on the risks of computer-assisted or artificial-intelligence-enabled decision making in the field of the social safety net</t>
  </si>
  <si>
    <t>https://search.coe.int/cm/Pages/result_details.aspx?ObjectId=0900001680a1cb98</t>
  </si>
  <si>
    <t>17/03/2021</t>
  </si>
  <si>
    <t>SPI digital field-specific</t>
  </si>
  <si>
    <t>Data quality and artificial intelligence – mitigating bias and error to protect fundamental rights</t>
  </si>
  <si>
    <t>https://fra.europa.eu/sites/default/files/fra_uploads/fra-2019-data-quality-and-ai_en.pdf</t>
  </si>
  <si>
    <t>07/06/2019</t>
  </si>
  <si>
    <t>SPI (study), field-specific, issue-specific</t>
  </si>
  <si>
    <t>Principles of robotics: regulating robots in the real world</t>
  </si>
  <si>
    <t>Engineering and Physical Sciences Research Council UK (EPSRC)</t>
  </si>
  <si>
    <t>https://www.tandfonline.com/doi/epdf/10.1080/09540091.2016.1271400?needAccess=true&amp;role=button</t>
  </si>
  <si>
    <t>Margaret Bodena, Joanna Brysonb, Darwin Caldwellc, Kerstin Dautenhahnd, Lilian Edwardse, Sarah Kemberf, Paul Newmang, Vivienne Parryh, Geoff Pegmani, Tom Roddenj, Tom Sorrellk, Mick Wallisl, Blay Whitbyaand, Alan Winfield</t>
  </si>
  <si>
    <t>09/10/2016</t>
  </si>
  <si>
    <t>Robot ethics, principles of robotics, responsible innovation</t>
  </si>
  <si>
    <t>The Future Computed – Artificial intelligence and its role in society</t>
  </si>
  <si>
    <t>https://news.microsoft.com/cloudforgood/_media/downloads/the-future-computed-english.pdf</t>
  </si>
  <si>
    <t>Artificial intelligence and employment</t>
  </si>
  <si>
    <t>https://www.oecd-ilibrary.org/deliver/c2c1d276-en.pdf?itemId=%2Fcontent%2Fpaper%2Fc2c1d276-en&amp;mimeType=pdf</t>
  </si>
  <si>
    <t>17/12/2021</t>
  </si>
  <si>
    <t>Ethical Aspects of Autonomous and Intelligent Systems</t>
  </si>
  <si>
    <t>Institute of Electrical and Electronics Engineers (IEEE)</t>
  </si>
  <si>
    <t>http://globalpolicy.ieee.org/wp-content/uploads/2019/06/IEEE19002.pdf</t>
  </si>
  <si>
    <t>24/06/2019</t>
  </si>
  <si>
    <t>SPI, digital, techno-specific</t>
  </si>
  <si>
    <t>G20 Ministerial Statement on Trade and Digital Economy</t>
  </si>
  <si>
    <t>G20</t>
  </si>
  <si>
    <t>https://www.mofa.go.jp/files/000486596.pdf</t>
  </si>
  <si>
    <t>How to prevent Discriminatory Outcomes in Machine Learning</t>
  </si>
  <si>
    <t>http://www3.weforum.org/docs/WEF_40065_White_Paper_How_to_Prevent_Discriminatory_Outcomes_in_Machine_Learning.pdf</t>
  </si>
  <si>
    <t>Ethical Guidelines of the German Informatics Society</t>
  </si>
  <si>
    <t>German Informatics Society - Gesellschaft für Informatik</t>
  </si>
  <si>
    <t>https://gi.de/ethicalguidelines</t>
  </si>
  <si>
    <t>Conclusions from the Conference "Human Rights in the Era of AI - Europe as international Standard Setter for Artificial Intelligence"</t>
  </si>
  <si>
    <t>German Presidency of the Committee of Ministers</t>
  </si>
  <si>
    <t>https://germanycoe.de/storage/documents/Conference_Conclusions.pdf</t>
  </si>
  <si>
    <t>The GNI Principles on Freedom of Expression and Privacy</t>
  </si>
  <si>
    <t>Global Network Initiative</t>
  </si>
  <si>
    <t>https://globalnetworkinitiative.org/wp-content/uploads/2018/04/GNI-Principles-on-Freedom-of-Expression-and-Privacy.pdf</t>
  </si>
  <si>
    <t>Montréal Declaration for a Responsible Development of Artificial Intelligence</t>
  </si>
  <si>
    <t>Université de Montréal</t>
  </si>
  <si>
    <t>https://declarationmontreal-iaresponsable.com/wp-content/uploads/2023/04/UdeM_Decl-IA-Resp_LA-Declaration-ENG_WEB_09-07-19.pdf</t>
  </si>
  <si>
    <t>Université de Montréal, Centre de Recherche en Ethique, LAB VILLE PROSPECTIVE, IVADO, SAT, Mila, ICRA Programme IA et société, Design société, polIEtHics, CIRANO, Québec, Université Laval, Musée de la Civilisation, CERIUM, Centre de Recherche en données massives de l'Université Laval, Canada, Centre Culturel Canadien Paris, Maison des étudiants canadiens</t>
  </si>
  <si>
    <t>Globalpolicy.ai: Achieving impact through intergovernmental co-operation on artificial intelligence</t>
  </si>
  <si>
    <t>Globalpolicy.ai</t>
  </si>
  <si>
    <t>http://globalpolicy.ai</t>
  </si>
  <si>
    <t>An external advisory council to help advance the responsible development of AI</t>
  </si>
  <si>
    <t>https://www.blog.google/technology/ai/external-advisory-council-help-advance-responsible-development-ai/</t>
  </si>
  <si>
    <t>Analysis of current global AI developments with a focus on Europe</t>
  </si>
  <si>
    <t>Konrad-Adenauer-Stiftung</t>
  </si>
  <si>
    <t>https://www.kas.de/documents/252038/7995358/Analysis+of+current+global+AI+developments+with+a+focus+on+Europe.pdf/da00b869-cc82-03e4-a45d-b74357fdd9c1?version=1.0&amp;t=1606820629157</t>
  </si>
  <si>
    <t>AI Principles of Telefónica</t>
  </si>
  <si>
    <t>Telefonica Executive Committee</t>
  </si>
  <si>
    <t>https://www.telefonica.com/wp-content/uploads/sites/7/2021/11/principios-ai-eng-2018.pdf</t>
  </si>
  <si>
    <t>Spain</t>
  </si>
  <si>
    <t>AI National Strategy</t>
  </si>
  <si>
    <t>Government CIO Office, Ministry of Economic Affairs and Communications (Estonia)</t>
  </si>
  <si>
    <t>https://f98cc689-5814-47ec-86b3-db505a7c3978.filesusr.com/ugd/7df26f_27a618cb80a648c38be427194affa2f3.pdf</t>
  </si>
  <si>
    <t>Estonia</t>
  </si>
  <si>
    <t>07/2019</t>
  </si>
  <si>
    <t>Ministry of Local Government and Modernisation (Norway)</t>
  </si>
  <si>
    <t>https://www.regjeringen.no/contentassets/1febbbb2c4fd4b7d92c67ddd353b6ae8/en-gb/pdfs/ki-strategi_en.pdf</t>
  </si>
  <si>
    <t>Norway</t>
  </si>
  <si>
    <t>Safety First for Automated Driving – Proposed technical standards for the development of Automated Driving</t>
  </si>
  <si>
    <t>Aptiv, Audi, BMW, Daimler and other automotive companies</t>
  </si>
  <si>
    <t>https://www.heise.de/downloads/18/2/7/0/8/1/7/0/safety-first-for-automated-driving.pdf</t>
  </si>
  <si>
    <t>People + AI Guidebook</t>
  </si>
  <si>
    <t>Google - People + AI Research (PAIR)</t>
  </si>
  <si>
    <t>https://pair.withgoogle.com/</t>
  </si>
  <si>
    <t>Towards a Standard for Identifying and Managing Bias in Artificial Intelligence Managing Bias in Artificial Intelligence</t>
  </si>
  <si>
    <t>https://tsapps.nist.gov/publication/get_pdf.cfm?pub_id=934464</t>
  </si>
  <si>
    <t>A Guide to using AI in the Public Sector and a Selection of Use-cases</t>
  </si>
  <si>
    <t>Government Digital Service and Office for Artificial Intelligence (United Kingdom)</t>
  </si>
  <si>
    <t>https://www.gov.uk/government/collections/a-guide-to-using-artificial-intelligence-in-the-public-sector</t>
  </si>
  <si>
    <t>not prescriptive, list of reports</t>
  </si>
  <si>
    <t>2019-2021 Strategic Plan</t>
  </si>
  <si>
    <t>Government ICT Authority (Israel)</t>
  </si>
  <si>
    <t>https://www.gov.il/BlobFolder/generalpage/strategic_plan_19/en/STRATIGY-%20ICT%20AUTHORITY%20-%20ENGLISH.pdf.</t>
  </si>
  <si>
    <t>Israel</t>
  </si>
  <si>
    <t>Trust Manifesto</t>
  </si>
  <si>
    <t>ArmAI</t>
  </si>
  <si>
    <t>https://www.arm.com/blogs/blueprint/wp-content/uploads/2019/11/Arm-AI-Trust-Manifesto-2019.pdf</t>
  </si>
  <si>
    <t>06/11/2019</t>
  </si>
  <si>
    <t>tech, manifesto</t>
  </si>
  <si>
    <t>AI: Here for Good, A National Artificial Intelligence Strategy for Ireland</t>
  </si>
  <si>
    <t>Government of Ireland</t>
  </si>
  <si>
    <t>https://enterprise.gov.ie/en/Publications/Publication-files/National-AI-Strategy.pdf</t>
  </si>
  <si>
    <t>Mid- to Long-Term Master Plan in Preparation for the Intelligent Information Society</t>
  </si>
  <si>
    <t>Government of the Republic of Korea</t>
  </si>
  <si>
    <t>https://k-erc.eu/wp-content/uploads/2017/12/Master-Plan-for-the-intelligent-information-society.pdf</t>
  </si>
  <si>
    <t>Artificial Intelligence Strategy</t>
  </si>
  <si>
    <t>Government of the Republic of Lithuania</t>
  </si>
  <si>
    <t>http://kurklt.lt/wp-content/uploads/2018/09/StrategyIndesignpdf.pdf</t>
  </si>
  <si>
    <t>Lithuania</t>
  </si>
  <si>
    <t>The National Reform Programme for 2018</t>
  </si>
  <si>
    <t>https://commission.europa.eu/document/download/ff57e883-cbd7-41dc-81f4-40dc025257e7_en?filename=2018-european-semester-national-reform-programme-lithuania-en.pdf</t>
  </si>
  <si>
    <t>National orientation for artificial intelligence - Nationell inriktning för artificiell intelligens</t>
  </si>
  <si>
    <t>Government offices - Regeringskansliet (Sweden)</t>
  </si>
  <si>
    <t>https://www.northsweden.eu/media/2789/2018ai_webb.pdf</t>
  </si>
  <si>
    <t>Sweden</t>
  </si>
  <si>
    <t>National Approach to Artificial Intelligence</t>
  </si>
  <si>
    <t>Government Offices (Sweden)</t>
  </si>
  <si>
    <t>https://www.government.se/491fa7/contentassets/fe2ba005fb49433587574c513a837fac/national-approach-to-artificial-intelligence.pdf</t>
  </si>
  <si>
    <t>Draft Research Code of Practice and Draft Accreditation Criteria</t>
  </si>
  <si>
    <t>Government Statistics Authority (United Kingdom)</t>
  </si>
  <si>
    <t>https://www.gov.uk/government/uploads/system/uploads/attachment_data/file/709514/2018-05-16_Research_Code_of_Practice_and_Accreditation_Criteria.pdf</t>
  </si>
  <si>
    <t>Draft Statistics Statement of Principles and Draft Code of Practice on changes to data systems</t>
  </si>
  <si>
    <t>https://www.gov.uk/government/uploads/system/uploads/attachment_data/file/709515/2018-05-16_Statistics_Statement-of-Principles_and_CoP_Data_Systems.pdf</t>
  </si>
  <si>
    <t>‘Principled’ artificial intelligence could improve justice</t>
  </si>
  <si>
    <t>H5 (Nicolas Economou)</t>
  </si>
  <si>
    <t>https://www.abajournal.com/legalrebels/article/a_principled_artificial_intelligence_could_improve_justice</t>
  </si>
  <si>
    <t>RANZCR Ethical Principles for AI in Medicine - Consultation</t>
  </si>
  <si>
    <t>Royal Australian and New Zealand College of Radiologists</t>
  </si>
  <si>
    <t>https://www.ranzcr.com/college/document-library/ethical-principles-for-ai-in-medicine</t>
  </si>
  <si>
    <t>09/2023</t>
  </si>
  <si>
    <t>Data protection and Big Data - Datenschutz und Big Data</t>
  </si>
  <si>
    <t>Handelsblatt Research Institute</t>
  </si>
  <si>
    <t>https://www.umweltdialog.de/de-wAssets/docs/2014-Dokumente-zu-Artikeln/leitfaden_unternehmen.pdf</t>
  </si>
  <si>
    <t>Industrial Strategy: Building a Britain fit for the future</t>
  </si>
  <si>
    <t>HM Government (United Kingdom)</t>
  </si>
  <si>
    <t>https://assets.publishing.service.gov.uk/government/uploads/system/uploads/attachment_data/file/664563/industrial-strategy-white-paper-web-ready-version.pdf</t>
  </si>
  <si>
    <t>10 ethische Leitlinien für die Digitalisierung von Unternehmen (10 ethical guidelines for the digitalisation of companies)</t>
  </si>
  <si>
    <t>Hochschule der Medien</t>
  </si>
  <si>
    <t>https://www.hdm-stuttgart.de/digitale-ethik/digitalkompetenz/ethische_unternehmensleitlinien;%20https://www.hdm-stuttgart.de/grimm/material/ethische_unternehmensleitlinien/material/UN_Regeln_booklet</t>
  </si>
  <si>
    <t>Data Ethics Framework</t>
  </si>
  <si>
    <t>Central Digital &amp; Data Office</t>
  </si>
  <si>
    <t>https://www.gov.uk/government/publications/data-ethics-framework/data-ethics-framework-2020</t>
  </si>
  <si>
    <t>16/09/2020</t>
  </si>
  <si>
    <t>The Malicious Use of Artificial Intelligence: Forecasting, Prevention, and Mitigation</t>
  </si>
  <si>
    <t>Future of Humanity Institute; University of Oxford; Centre for the Study of Existential Risk; University of Cambridge; Center for a New American Security; Electronic Frontier Foundation; OpenAI</t>
  </si>
  <si>
    <t>https://arxiv.org/pdf/1802.07228.pdf</t>
  </si>
  <si>
    <t>academia, civil society &gt; other, private sector</t>
  </si>
  <si>
    <t>02/2018</t>
  </si>
  <si>
    <t>Declaration of the Ethical Principles for AI</t>
  </si>
  <si>
    <t>IA Lalam</t>
  </si>
  <si>
    <t>https://ia-latam.com/etica-ia-latam/</t>
  </si>
  <si>
    <t>Principios de IA de la OCDE</t>
  </si>
  <si>
    <t>IA2030Mx</t>
  </si>
  <si>
    <t>https://www.ia2030.mx/principios-ia</t>
  </si>
  <si>
    <t>Mexico</t>
  </si>
  <si>
    <t>Strategic Action Plan for Artificial Intelligence</t>
  </si>
  <si>
    <t>Ministry of Economic Affairs and Climate Policy (Netherlands)</t>
  </si>
  <si>
    <t>https://knowledge4policy.ec.europa.eu/sites/default/files/netherlands-ai-strategy-report.pdf</t>
  </si>
  <si>
    <t>Principles to Promote Fairness, Ethics, Accountability and Transparency (FEAT) in the Use of Artificial Intelligence and Data Analytics in Singapore’s Financial Sector</t>
  </si>
  <si>
    <t>Monetary Authority of Singapore</t>
  </si>
  <si>
    <t>https://www.mas.gov.sg/-/media/MAS/News-and-Publications/Monographs-and-Information-Papers/FEAT-Principles-Updated-7-Feb-19.pdf</t>
  </si>
  <si>
    <t>AI Ethics</t>
  </si>
  <si>
    <t>https://www.ibm.com/artificial-intelligence/ethics</t>
  </si>
  <si>
    <t>tech, principles, Cybersecurity, Data Responsibility, New Collar Jobs, THINK Policy</t>
  </si>
  <si>
    <t>Not cited</t>
  </si>
  <si>
    <t>Li Yanhong's Four Principles of AI Ethics</t>
  </si>
  <si>
    <t>https://www.fonow.com/view/208592.html</t>
  </si>
  <si>
    <t>The FLY AI Report: Demystifying and Accelerating AI in Aviation/ATM</t>
  </si>
  <si>
    <t>EUROCONTROL</t>
  </si>
  <si>
    <t>https://www.eurocontrol.int/sites/default/files/2020-03/eurocontrol-fly-ai-report-032020.pdf</t>
  </si>
  <si>
    <t>05/03/2020</t>
  </si>
  <si>
    <t>Transparency and Trust in the Cognitive Era</t>
  </si>
  <si>
    <t>https://www.ibm.com/blogs/think/2017/01/ibm-cognitive-principles/</t>
  </si>
  <si>
    <t>Trusted AI (AI Explainability 360 Open Source Toolkit)</t>
  </si>
  <si>
    <t>https://www.research.ibm.com/artificial-intelligence/trusted-ai/</t>
  </si>
  <si>
    <t>Ethics policy</t>
  </si>
  <si>
    <t>Icelandic Institute for Intelligent Machines (IIIM)</t>
  </si>
  <si>
    <t>http://www.iiim.is/ethics-policy/</t>
  </si>
  <si>
    <t>Iceland</t>
  </si>
  <si>
    <t>Building an AI World: Report on National and Regional AI Strategies</t>
  </si>
  <si>
    <t>https://cifar.ca/wp-content/uploads/2020/05/buildinganaiworld_eng.pdf</t>
  </si>
  <si>
    <t>Ethical Design Manifesto</t>
  </si>
  <si>
    <t>ind.ie</t>
  </si>
  <si>
    <t>https://ind.ie/ethical-design/</t>
  </si>
  <si>
    <t>Use of Biometric Data and Technologies</t>
  </si>
  <si>
    <t>Independent Advisory Group (IAG) on the Use of Biometric Data (Scotland)</t>
  </si>
  <si>
    <t>https://www2.gov.scot/About/Review/biometric-data new url https://www.gov.scot/publications/report-independent-advisory-group-use-biometric-data-scotland/</t>
  </si>
  <si>
    <t>Ethics and Human Rights</t>
  </si>
  <si>
    <t>India Government</t>
  </si>
  <si>
    <t>https://indiaai.gov.in/research-reports/responsible-ai-part-1-principles-for-responsible-ai</t>
  </si>
  <si>
    <t>India</t>
  </si>
  <si>
    <t>2020 Handbook on AI and International Law</t>
  </si>
  <si>
    <t>Indian Society of Artificial Intelligence and Law (ISAIL)</t>
  </si>
  <si>
    <t>https://issuu.com/indiansocietyai/docs/2020_handbook_on_artificial_intelligence_and_inter</t>
  </si>
  <si>
    <t>Artificil intelligence in the audiovisual sector</t>
  </si>
  <si>
    <t>Council of Europe (European Audiovisual Observatory)</t>
  </si>
  <si>
    <t>https://rm.coe.int/iris-special-2-2020en-artificial-intelligence-in-the-audiovisual-secto/1680a11e0b</t>
  </si>
  <si>
    <t>Guidance on the AI auditing framework</t>
  </si>
  <si>
    <t>https://ico.org.uk/media/2617219/guidance-on-the-ai-auditing-framework-draft-for-consultation.pdf</t>
  </si>
  <si>
    <t>not final</t>
  </si>
  <si>
    <t>Ethics Framework</t>
  </si>
  <si>
    <t>Digital Catapult</t>
  </si>
  <si>
    <t>https://www.digicatapult.org.uk/wp-content/uploads/2023/06/DC_AI_Ethics_Framework-2021.pdf</t>
  </si>
  <si>
    <t>Big Data and the insurance sector</t>
  </si>
  <si>
    <t>Information Commissioner’s Office (ICO - United Kingdom)</t>
  </si>
  <si>
    <t>https://ico.org.uk/about-the-ico/news-and-events/news-and-blogs/2017/03/blog-big-data-and-the-insurance-sector/</t>
  </si>
  <si>
    <t>Guidance on political campaigning</t>
  </si>
  <si>
    <t>Information Commissioner’s Office (United Kingdom)</t>
  </si>
  <si>
    <t>https://ico.org.uk/media/for-organisations/documents/1589/promotion_of_a_political_party.pdf</t>
  </si>
  <si>
    <t>Toward a G20 Framework for Artificial Intelligence in the Workplace</t>
  </si>
  <si>
    <t>CIGI Gentre for International Governance Innovation</t>
  </si>
  <si>
    <t>https://www.cigionline.org/documents/1454/Paper%20No.178.pdf</t>
  </si>
  <si>
    <t>07/2018</t>
  </si>
  <si>
    <t>Manifesto for Data Practices</t>
  </si>
  <si>
    <t>The Linux Foundation</t>
  </si>
  <si>
    <t>https://datapractices.org/manifesto/</t>
  </si>
  <si>
    <t>Information on processing and access to geolocation data</t>
  </si>
  <si>
    <t>Inspector General for the Protection of Personal Data (Poland)</t>
  </si>
  <si>
    <t>http://www.giodo.gov.pl/pl/1520297/10068</t>
  </si>
  <si>
    <t>Poland</t>
  </si>
  <si>
    <t>Draft AI R&amp;D Guidelines for International Discussions</t>
  </si>
  <si>
    <t>Institute for Information and Communications Policy (IICP), The Conference toward AI Network Society</t>
  </si>
  <si>
    <t>https://www.soumu.go.jp/main_content/000507517.pdf</t>
  </si>
  <si>
    <t>Draft AI Utilization Principles</t>
  </si>
  <si>
    <t>https://www.soumu.go.jp/main_content/000581310.pdf</t>
  </si>
  <si>
    <t>Artificial intelligence in road transport - Cost of non-Europe report</t>
  </si>
  <si>
    <t>https://www.europarl.europa.eu/RegData/etudes/STUD/2021/654212/EPRS_STU(2021)654212_EN.pdf</t>
  </si>
  <si>
    <t>The Toronto Declaration: Protecting the right to equality and non-discrimination in machine learning systems</t>
  </si>
  <si>
    <t>Access Now ; Amnesty International</t>
  </si>
  <si>
    <t>https://www.torontodeclaration.org/declaration-text/english/</t>
  </si>
  <si>
    <t>Anna Bacciarelli, Joe Westby, Fanny Hidvegi, Estelle Massé, Drew Mitnick</t>
  </si>
  <si>
    <t>Access Now, AI Now Institute at New York University, AfroLeadership, AlgorithmWatch, Amnesty International, Article 19, Big Brother Watch, Business &amp; Human Rights Resource Centre, Electronic Frontiers Australia, Embassy of the Republic of Užupis to Munich, Fourth Estate Public Benefit Corporation, Future Advocacy, GLAAD, Homo Digitalis, Human Rights Watch, Internet Policy Observatory Pakistan and Artificial Intelligence Pakistan, Paradigm Initiative Nigeria, Privacy Salon, SonTusDatos – Artículo 12, A.C., ThingsCon, Web Foundation, Wikimedia Foundation, WITNESS, Women@theTable, Center for Human Rights Science at Carnegie Mellon University, eQuality Project at University of Ottawa, Samuelson-Glushko Canadian Internet Policy &amp; Public Interest Clinic (CIPPIC) at University of Ottawa, ArCompany, Element AI, Mathias Risse, Faculty Director, The Carr Center for Human Rights Policy at Harvard, Vivek Krishnamurthy, Harvard Law School / Berkman Klein Center for Internet &amp; Society at Harvard, John C Havens, Executive Director, The IEEE Global Initiative on Ethics of Autonomous and Intelligent Systems, Raheena Dahya, Lawyer (Canada and England), Steven Feldstein, Associate Professor at Boise State University, Douwe Korff, Emeritus Professor of International Law at London Metropolitan University</t>
  </si>
  <si>
    <t>16/05/2018</t>
  </si>
  <si>
    <t>Ethical OS Framework. A guide to anticipating the future impact of today’s technology</t>
  </si>
  <si>
    <t>Institute for the Future, Omidyar Networks Tech and Society Solutions Lab</t>
  </si>
  <si>
    <t>https://ethicalos.org/wp-content/uploads/2018/08/Ethical-OS-Toolkit-2.pdf</t>
  </si>
  <si>
    <t>Jane McGonigal, Raina Kumra, Eshanthi Ranasinghe, Yoav Schlesinger, Randolph Wiggins</t>
  </si>
  <si>
    <t>Digital Intelligence</t>
  </si>
  <si>
    <t>academia, civil society</t>
  </si>
  <si>
    <t>Perspectives on Issues in AI Governance</t>
  </si>
  <si>
    <t>https://ai.google/static/documents/perspectives-on-issues-in-ai-governance.pdf</t>
  </si>
  <si>
    <t>Big Data: New Challenges for Law and Ethics, International scientific conference</t>
  </si>
  <si>
    <t>Institute of Criminology at the Faculty of Law of Ljubljana</t>
  </si>
  <si>
    <t>https://big-data-ljubljana-2017.weebly.com/uploads/1/1/9/1/1191873/big-data-2017-print.pdf</t>
  </si>
  <si>
    <t>Slovenia</t>
  </si>
  <si>
    <t>Maria, Simon, Tiphaine</t>
  </si>
  <si>
    <t>Defining Artificial Intelligence : towards an operational definition and taxonomy of artificial intelligence</t>
  </si>
  <si>
    <t>https://op.europa.eu/o/opportal-service/download-handler?identifier=6cc0f1b6-59dd-11ea-8b81-01aa75ed71a1&amp;format=pdf&amp;language=en&amp;productionSystem=cellar&amp;part=</t>
  </si>
  <si>
    <t>IEEE P7000 Standards Projects</t>
  </si>
  <si>
    <t>https://ethicsinaction.ieee.org/#set-the-standard</t>
  </si>
  <si>
    <t>Ethics by Design: An organizational approach to responsible use of technology</t>
  </si>
  <si>
    <t>World Economic Forum (WEF), Deloitte and the Markkula Center for Applied Ethics at Santa Clara University</t>
  </si>
  <si>
    <t>https://www3.weforum.org/docs/WEF_Ethics_by_Design_2020.pdf</t>
  </si>
  <si>
    <t>civil society &gt; NGO, academic, private sector</t>
  </si>
  <si>
    <t>Artificial Intelligence Work: Four perspectives on economics, employment, knowledge and ethics - Tekoälyajan työ: neljä näkökulmaa talouteen, työllisyyteen, osaamiseen ja etiikkaan</t>
  </si>
  <si>
    <t>Ministry of Economic Affairs and Employment (Finland)</t>
  </si>
  <si>
    <t>https://julkaisut.valtioneuvosto.fi/bitstream/handle/10024/160980/TEMjul_21_2018_Work_in_the_age.pdf</t>
  </si>
  <si>
    <t>10/09/2018</t>
  </si>
  <si>
    <t>Artificial intelligence in Healthcare</t>
  </si>
  <si>
    <t>Academy of Medical Royal Colleges</t>
  </si>
  <si>
    <t>https://www.aomrc.org.uk/wp-content/uploads/2019/01/Artificial_intelligence_in_healthcare_0119.pdf</t>
  </si>
  <si>
    <t>01/2019</t>
  </si>
  <si>
    <t>A Moral Framework for Understanding of Fair ML through Economic Models of Equality of Opportunity</t>
  </si>
  <si>
    <t>https://arxiv.org/abs/1809.03400</t>
  </si>
  <si>
    <t>27/11/2018</t>
  </si>
  <si>
    <t>IA Ethics Self-Assessment for Actors of the Entrepreneurial Ecosystem</t>
  </si>
  <si>
    <t>https://publications.iadb.org/publications/english/document/Ethical-Assessment-of-AI-for-Actors-within-the-Entrepreneurial-Ecosystem-Application-Guide.pdf</t>
  </si>
  <si>
    <t>The Ethical Framework for AI in Education</t>
  </si>
  <si>
    <t>The Insitute for Ethical AI in Education</t>
  </si>
  <si>
    <t>https://www.buckingham.ac.uk/wp-content/uploads/2021/03/The-Institute-for-Ethical-AI-in-Education-The-Ethical-Framework-for-AI-in-Education.pdf</t>
  </si>
  <si>
    <t>Responsible use of AI for public policy: Project formulation manual</t>
  </si>
  <si>
    <t>https://publications.iadb.org/publications/english/document/Responsible-use-of-AI-for-public-policy-Project-formulation-manual.pdf</t>
  </si>
  <si>
    <t>Privacy, Data and Technology: Human Rights Challenges in the Digital Age</t>
  </si>
  <si>
    <t>New Zealand Human Rights Commission</t>
  </si>
  <si>
    <t>https://www.hrc.co.nz/files/5715/2575/3415/Privacy_Data_Technology_-_Human_Rights_Challenges_in_the_Digital_Age_FINAL.pdf</t>
  </si>
  <si>
    <t>05/2018</t>
  </si>
  <si>
    <t>SPI(strategy)</t>
  </si>
  <si>
    <t>Vienna Manifesto on Digital Humanism</t>
  </si>
  <si>
    <t>TU Wien</t>
  </si>
  <si>
    <t>https://dighum.ec.tuwien.ac.at/dighum-manifesto/</t>
  </si>
  <si>
    <t>Statement on Algorithmic Transparency and Accountability</t>
  </si>
  <si>
    <t>https://www.acm.org/binaries/content/assets/public-policy/2017_usacm_statement_algorithms.pdf</t>
  </si>
  <si>
    <t>12/01/2017</t>
  </si>
  <si>
    <t>Global opinion and expectations about AI</t>
  </si>
  <si>
    <t>Ipsos</t>
  </si>
  <si>
    <t>https://www.ipsos.com/sites/default/files/ct/news/documents/2022-01/Global-opinions-and-expectations-about-AI-2022.pdf</t>
  </si>
  <si>
    <t>not prescriptive (study), not accessible</t>
  </si>
  <si>
    <t>Standardization in the area of Artificial Intelligence (ISO/IEC JTC 1/SC 42)</t>
  </si>
  <si>
    <t>ISO</t>
  </si>
  <si>
    <t>https://www.iso.org/committee/6794475.html</t>
  </si>
  <si>
    <t>not prescriptive (impact assessment)</t>
  </si>
  <si>
    <t>Strategic Program on Artificiel Intelligence 2022-2024</t>
  </si>
  <si>
    <t>Italian Government</t>
  </si>
  <si>
    <t>https://assets.innovazione.gov.it/1637777513-strategic-program-aiweb.pdf</t>
  </si>
  <si>
    <t>Italy</t>
  </si>
  <si>
    <t>Action Plan for a Sustainable Planet in the Digital Age</t>
  </si>
  <si>
    <t>United Nations, Secretary General's Envoy on Technology</t>
  </si>
  <si>
    <t>https://wedocs.unep.org/bitstream/handle/20.500.11822/38482/CODES_ActionPlan.pdf</t>
  </si>
  <si>
    <t>AI Strategy 2019 – AI for Everyone: People, Industries, Regions and Governments</t>
  </si>
  <si>
    <t>Japanese Government</t>
  </si>
  <si>
    <t>https://www8.cao.go.jp/cstp/english/outline_strategy_2022.pdf</t>
  </si>
  <si>
    <t>not in english (translation)</t>
  </si>
  <si>
    <t>The Japanese Society for Artificial Intelligence Ethical Guidelines</t>
  </si>
  <si>
    <t>Japanese Society for Artificial Intelligence</t>
  </si>
  <si>
    <t>http://ai-elsi.org/wp-content/uploads/2017/05/JSAI-Ethical-Guidelines-1.pdf</t>
  </si>
  <si>
    <t>For a meaningful Artificial Intelligence. Towards a French and European strategy</t>
  </si>
  <si>
    <t>Mission Villani</t>
  </si>
  <si>
    <t>https://www.jaist.ac.jp/~bao/AI/OtherAIstrategies/MissionVillani_Report_ENG-VF.pdf</t>
  </si>
  <si>
    <t>03/03/2018</t>
  </si>
  <si>
    <t>Blockchain &amp; Artificial Intelligence task force</t>
  </si>
  <si>
    <t>Kenyan Government</t>
  </si>
  <si>
    <t>https://kenyanwallstreet.com/kenya-govt-unveils-11-member-blockchain-ai-taskforce-headed-by-bitange-ndemo/</t>
  </si>
  <si>
    <t>Kenya</t>
  </si>
  <si>
    <t>9 Theses on opportunities and risks, democratic legitimation and constitutional control in the algorithmization of administration - 9 Thesen zu Chancen und Risiken, demokratischer Legitimation und rechtsstaatlicher Kontrolle bei der Algorithmisierung der Verwaltung</t>
  </si>
  <si>
    <t>KI + VERWALTUNG</t>
  </si>
  <si>
    <t>https://www.zukunft-der-verwaltungsgerichtsbarkeit.de/media/pages/ki-und-verwaltung/709898829-1580462498/9-theses-en.pdf</t>
  </si>
  <si>
    <t>Hambacher Erklärung zur Künstlichen Intelligenz – Sieben datenschutzrechtliche Anforderungen (Hambach Declaration on Artificial Intelligence – seven requirements for data protection)</t>
  </si>
  <si>
    <t>Konferenz der unabhängigen Datenschutzaufsichtsbehörden des Bundes und der Länder (Conference of the independent data protection supervisory authorites in Germany)</t>
  </si>
  <si>
    <t>https://www.datenschutz.rlp.de/fileadmin/lfdi/Konferenzdokumente/Datenschutz/DSK/Entschliessungen/097_Hambacher_Erklaerung.pdf</t>
  </si>
  <si>
    <t>Murphy and Wood’s three laws of Responsible Robotics</t>
  </si>
  <si>
    <t>https://www.inf.ufrgs.br/~prestes/Courses/Robotics/beyond%20asimov.pdf</t>
  </si>
  <si>
    <t>2009</t>
  </si>
  <si>
    <t>Comparison of National Strategies to Promote Artificial Intelligence - Part 1</t>
  </si>
  <si>
    <t>https://www.kas.de/documents/252038/4521287/Comparison+of+National+Strategies+to+Promote+Artificial+Intelligence+Part+1.pdf/397fb700-0c6f-88b6-46be-2d50d7942b83?version=1.1&amp;t=1560500570070</t>
  </si>
  <si>
    <t>Comparison of National Strategies to Promote Artificial Intelligence - Part 2</t>
  </si>
  <si>
    <t>https://www.kas.de/documents/252038/4521287/Comparison+of+National+Strategies+to+Promote+Artificial+Intelligence+Part+2.pdf/4c6f3a0d-beaa-09f3-1db4-c66467739653?version=1.1&amp;t=1560500520623</t>
  </si>
  <si>
    <t>Auditing the quality of datasets used in algorithmic decision-making systems</t>
  </si>
  <si>
    <t>https://www.europarl.europa.eu/RegData/etudes/STUD/2022/729541/EPRS_STU(2022)729541_EN.pdf</t>
  </si>
  <si>
    <t>How the EU Can Achieve Legally Trustworthy AI: A Response to the European Commission’s Proposal for an Artificial Intelligence Act</t>
  </si>
  <si>
    <t>KU Leuven, University of Birmingham, University of Edimburgh</t>
  </si>
  <si>
    <t>https://papers.ssrn.com/sol3/papers.cfm?abstract_id=3899991</t>
  </si>
  <si>
    <t>Pacte pour une intelligence artificielle égalitaire entre les femmes et les hommes</t>
  </si>
  <si>
    <t>Laboratoire de l'égalité</t>
  </si>
  <si>
    <t>https://www.laboratoiredelegalite.org/le-pacte-pour-une-intelligence-artificielle-egalitaire-entre-les-femmes-et-les-hommes/</t>
  </si>
  <si>
    <t>Certification of processes for AI</t>
  </si>
  <si>
    <t>Laboratoire National de métrologie et d'Essai (LNE - France)</t>
  </si>
  <si>
    <t>https://www.lne.fr/en/service/certification/certification-processes-ai</t>
  </si>
  <si>
    <t>Study on the relevance and impact of artificial intelligence for company law and corporate governance</t>
  </si>
  <si>
    <t>https://op.europa.eu/en/publication-detail/-/publication/13e6a212-6181-11ec-9c6c-01aa75ed71a1/language-en</t>
  </si>
  <si>
    <t>SPI, digital, field-specific</t>
  </si>
  <si>
    <t>UAE Strategy for AI</t>
  </si>
  <si>
    <t>United Arab Emirates Government</t>
  </si>
  <si>
    <t>UAE</t>
  </si>
  <si>
    <t>The impact of Artificial Intelligence on learning, teaching, and education</t>
  </si>
  <si>
    <t>https://op.europa.eu/o/opportal-service/download-handler?identifier=5cb8eee3-e888-11e8-b690-01aa75ed71a1&amp;format=pdf&amp;language=en&amp;productionSystem=cellar&amp;part=</t>
  </si>
  <si>
    <t>AI Certification Programme</t>
  </si>
  <si>
    <t>Malta Digital Innovation Authority</t>
  </si>
  <si>
    <t>https://mdia.gov.mt/wp-content/uploads/2020/07/itas-sandbox-consultation-document-v1.0.pdf</t>
  </si>
  <si>
    <t>Ethical Toolkit for Engineering/Design Practice</t>
  </si>
  <si>
    <t>Markkula Center</t>
  </si>
  <si>
    <t>https://www.scu.edu/ethics-in-technology-practice/ethical-toolkit/</t>
  </si>
  <si>
    <t>MIT Schwarzman College of Computing Task Force Working Group on Social Implications and Responsibilities of Computing Final Report</t>
  </si>
  <si>
    <t>Massachusetts Institute of Technology</t>
  </si>
  <si>
    <t>http://web.mit.edu/comptfreport/sirc.pdf</t>
  </si>
  <si>
    <t>The State of AI 2022</t>
  </si>
  <si>
    <t>Mc Kinsey</t>
  </si>
  <si>
    <t>https://www.mckinsey.com/capabilities/quantumblack/our-insights/the-state-of-ai-in-2022-and-a-half-decade-in-review</t>
  </si>
  <si>
    <t>National AI Strategy</t>
  </si>
  <si>
    <t>Department for Digital, Culture, Media &amp; Sport and Department for Business, Energy &amp; Industrial Strategy - Office for AI (United Kingdom)</t>
  </si>
  <si>
    <t>https://www.gov.uk/government/publications/national-ai-strategy/national-ai-strategy-html-version</t>
  </si>
  <si>
    <t>18/12/2022</t>
  </si>
  <si>
    <t>Artificial Intelligence: open questions about gender inclusion</t>
  </si>
  <si>
    <t>W20</t>
  </si>
  <si>
    <t>https://webfoundation.org/docs/2018/06/AI-Gender.pdf</t>
  </si>
  <si>
    <t>Joint insurance industry point of view paper: We need rules of the road for responsible AI and data science</t>
  </si>
  <si>
    <t>https://query.prod.cms.rt.microsoft.com/cms/api/am/binary/RWFKCm</t>
  </si>
  <si>
    <t>New Generation AI Governance Principles – Developing Responsible AI</t>
  </si>
  <si>
    <t>National New Generation AI Promotion Office / National New Generation Artificial Intelligence Governance Committee</t>
  </si>
  <si>
    <t>http://chinainnovationfunding.eu/dt_testimonials/publication-of-the-new-generation-ai-governance-principles-developing-responsible-ai/ new url https://www.chinadaily.com.cn/a/201906/17/WS5d07486ba3103dbf14328ab7.html</t>
  </si>
  <si>
    <t>Towards Responsible Artificial Intelligence Innovation - Second Interpol-UNICRI Report on AI for law enforcement</t>
  </si>
  <si>
    <t>United Nations (UNICRI), Interpol</t>
  </si>
  <si>
    <t>http://www.unicri.it/sites/default/files/2020-07/UNICRI-INTERPOL_Report_Towards_Responsible_AI_Innovation_0.pdf</t>
  </si>
  <si>
    <t>Introducing Stanford's Human-Centered AI Initiative</t>
  </si>
  <si>
    <t>Stanford University Human-Centered Artificial Intelligence</t>
  </si>
  <si>
    <t>https://hai.stanford.edu/news/introducing-stanfords-human-centered-ai-initiative</t>
  </si>
  <si>
    <t>18/10/2018</t>
  </si>
  <si>
    <t>Recommendations on Updating the National Artificial Intelligence Research and Development Strategic Plan</t>
  </si>
  <si>
    <t>University of Stanford, Stanford Institute for Human-centered AI</t>
  </si>
  <si>
    <t>https://hai.stanford.edu/sites/default/files/2022-03/White%20Paper%20-%20Recommendations%20on%20Updating%20the%20National%20AI%20R%26D%20Strategy.pdf</t>
  </si>
  <si>
    <t>Inclusive Design</t>
  </si>
  <si>
    <t>Microsoft Design</t>
  </si>
  <si>
    <t>https://www.microsoft.com/design/inclusive/</t>
  </si>
  <si>
    <t>Indonesia National Strategy on AI (Stranas KA)</t>
  </si>
  <si>
    <t>Minister of Research and Technology of Indonesia</t>
  </si>
  <si>
    <t>https://ai-innovation.id/server/static/ebook/stranas-ka.pdf.</t>
  </si>
  <si>
    <t>Indonesia</t>
  </si>
  <si>
    <t>Livre blanc de la sécurité intérieure</t>
  </si>
  <si>
    <t>Ministère de l'intérieur (France)</t>
  </si>
  <si>
    <t>https://www.interieur.gouv.fr/Actualites/L-actu-du-Ministere/Livre-blanc-de-la-securite-interieure?utm_source=POLITICO.EU&amp;utm_campaign=4a2811137a-EMAIL_CAMPAIGN_2020_12_02_09_59&amp;utm_medium=email&amp;utm_term=0_10959edeb5-4a2811137a-190482161</t>
  </si>
  <si>
    <t>Charter of Digital Rights</t>
  </si>
  <si>
    <t>Ministerio de asuntos economicos y transformacion digital (Spain)</t>
  </si>
  <si>
    <t>https://portal.mineco.gob.es/RecursosArticulo/mineco/ministerio/participacion_publica/audiencia/ficheros/Charter%20of%20Digital%20Rights.pdf</t>
  </si>
  <si>
    <t>Artificial Intelligence: Problems and Solutions - 2018</t>
  </si>
  <si>
    <t>Ministry of Defense of the Russian Federation</t>
  </si>
  <si>
    <t>http://mil.ru/conferences/is-intellekt.htm.</t>
  </si>
  <si>
    <t>Russia</t>
  </si>
  <si>
    <t>AI Strategy of Ukraine</t>
  </si>
  <si>
    <t>Ministry of Digital Transformation (Ukraine)</t>
  </si>
  <si>
    <t>https://thedigital.gov.ua/news/mikhaylo-fedorov-rozvivayuchi-sferu-shtuchnogo-intelektu-mi-zabezpechuemo-konkurentospromozhnist-ukraini-na-mizhnarodnomu-rinku?fbclid=IwAR0HilGr0J-yptpdAO1J6EhmFv50LcsloiwjJba--inpyawI-mnpQToWK68</t>
  </si>
  <si>
    <t>Ukraine</t>
  </si>
  <si>
    <t>AI Development Policy in Poland</t>
  </si>
  <si>
    <t>Ministry of Digitisation (Poland)</t>
  </si>
  <si>
    <t>https://www.gov.pl/attachment/a8ea194c-d0ce-404e-a9ca-e007e9fbc93e</t>
  </si>
  <si>
    <t>Assumptions for the AI strategy in Poland Action plan of the Ministry of Digitization - Założenia do strategii AI w Polsce Plan działań Ministerstwa Cyfryzacji</t>
  </si>
  <si>
    <t>https://www.gov.pl/web/cyfryzacja/sztuczna-inteligencja-polska-2118</t>
  </si>
  <si>
    <t>Dutch digitalisation strategy</t>
  </si>
  <si>
    <t>https://www.nederlanddigitaal.nl/binaries/nederlanddigitaal-nl/documenten/publicaties/2019/09/30/english-version-of-the-dutch-digitalisation-strategy/Nederlandse_Digitaliseringsstrategie_ENG.pdf</t>
  </si>
  <si>
    <t>Policy Guidance on AI for Children</t>
  </si>
  <si>
    <t>United Nations Children's Fund (UNICEF)</t>
  </si>
  <si>
    <t>https://www.unicef.org/globalinsight/media/2356/file/UNICEF-Global-Insight-policy-guidance-AI-children-2.0-2021.pdf</t>
  </si>
  <si>
    <t>policy issue-specific</t>
  </si>
  <si>
    <t>Work in the age of artificial intelligence. Four perspectives on the economy, employment, skills and ethics</t>
  </si>
  <si>
    <t>Ministry of Economic Affairs and Employment</t>
  </si>
  <si>
    <t>https://julkaisut.valtioneuvosto.fi/bitstream/handle/10024/160980/TEMjul_21_2018_Work_in_the_age.pdf?sequence=1&amp;isAllowed=y</t>
  </si>
  <si>
    <t>Artificial intelligence programme</t>
  </si>
  <si>
    <t>https://tem.fi/en/artificial-intelligence-programme</t>
  </si>
  <si>
    <t>Steering AI and Advanced ICTs for Knowledge Societies: A Rights, Openness, Access, and Multi-Stakeholder Perspective</t>
  </si>
  <si>
    <t>https://unesdoc.unesco.org/in/documentViewer.xhtml?v=2.1.196&amp;id=p::usmarcdef_0000372132&amp;file=/in/rest/annotationSVC/DownloadWatermarkedAttachment/attach_import_7b0b5c12-3b53-4b84-8796-b39dc4bceb09%3F_%3D372132eng.pdf&amp;locale=en&amp;multi=true&amp;ark=/ark:/48223/pf0000372132/PDF/372132eng.pdf#%5B%7B%22num%22%3A70%2C%22gen%22%3A0%7D%2C%7B%22name%22%3A%22XYZ%22%7D%2Cnull%2Cnull%2C0%5D</t>
  </si>
  <si>
    <t>Finland’s Age of Artificial Intelligence</t>
  </si>
  <si>
    <t>http://julkaisut.valtioneuvosto.fi/bitstream/handle/10024/160391/TEMrap_47_2017_verkkojulkaisu.pdf</t>
  </si>
  <si>
    <t>Artificial Intelligence Risk Management Framework (AI RMF 1.0)</t>
  </si>
  <si>
    <t>https://nvlpubs.nist.gov/nistpubs/ai/NIST.AI.100-1.pdf</t>
  </si>
  <si>
    <t>01/2023</t>
  </si>
  <si>
    <t>Ministry of economic development (Italy)</t>
  </si>
  <si>
    <t>https://www.mise.gov.it/images/stories/documenti/Strategia-Nazionale-Intelligenza-Artificiale-Bozza-Consultazione.pdf</t>
  </si>
  <si>
    <t>Civil liability regime for artificial intelligence - European added value assessment</t>
  </si>
  <si>
    <t>https://www.europarl.europa.eu/thinktank/en/document.html?reference=EPRS_STU(2020)654178</t>
  </si>
  <si>
    <t>Strategy for the Development of AI in the Republic of Serbia for the period of 2020-2025</t>
  </si>
  <si>
    <t>Ministry of Education, Science and Technological Development (Serbia)</t>
  </si>
  <si>
    <t>https://www.srbija.gov.rs/tekst/en/149169</t>
  </si>
  <si>
    <t>Serbia</t>
  </si>
  <si>
    <t>Governmental strategy, For a sustainable digitized Sweden-a digitization strategy</t>
  </si>
  <si>
    <t>Ministry of Enterprise and Innovation (Sweden)</t>
  </si>
  <si>
    <t>http://www.regeringen.se/49adea/contentassets/5429e024be6847fc907b786ab954228f/digitaliseringsstrategin_slutlig_170518-2.pdf</t>
  </si>
  <si>
    <t>Aurora AI</t>
  </si>
  <si>
    <t>Ministry of Finance (Finland)</t>
  </si>
  <si>
    <t>https://vm.fi/en/auroraai-en</t>
  </si>
  <si>
    <t>EU guidelines on ethics in artificial intelligence: Context and implementation</t>
  </si>
  <si>
    <t>https://www.europarl.europa.eu/RegData/etudes/BRIE/2019/640163/EPRS_BRI(2019)640163_EN.pdf</t>
  </si>
  <si>
    <t>Three-Year Action Plan for Promoting Development of a New Generation Artificial Intelligence Industry</t>
  </si>
  <si>
    <t>Ministry of Industry and Information Technology (MIIT) (China)</t>
  </si>
  <si>
    <t>https://www.newamerica.org/cybersecurity-initiative/digichina/blog/translation-chinese-government-outlines-ai-ambitions-through-2020/</t>
  </si>
  <si>
    <t>Summary of the NATO Artificial Intelligence Strategy</t>
  </si>
  <si>
    <t>NATO</t>
  </si>
  <si>
    <t>https://www.nato.int/cps/en/natohq/official_texts_187617.htm</t>
  </si>
  <si>
    <t>22/10/2021</t>
  </si>
  <si>
    <t>AI: Intelligent machines, smart policies (Conference Summary)</t>
  </si>
  <si>
    <t>https://www.oecd.org/en/publications/ai-intelligent-machines-smart-policies_f1a650d9-en.html</t>
  </si>
  <si>
    <t>02/08/2018</t>
  </si>
  <si>
    <t>How to strengthen personal integrity</t>
  </si>
  <si>
    <t>Ministry of Justice (Sweden)</t>
  </si>
  <si>
    <t>http://www.regeringen.se/4ac6ee/contentassets/56e701d354824bcb9826ea0839ab28f3/sa-starker-vi-den-personliga-integriteten-sou-201752</t>
  </si>
  <si>
    <t>Z-Inspection</t>
  </si>
  <si>
    <t>https://z-inspection.org/about/</t>
  </si>
  <si>
    <t>Artificial Intelligence National Policy of Chile</t>
  </si>
  <si>
    <t>Ministry of Science, Technology, Knowledge and Innovation of Chile</t>
  </si>
  <si>
    <t>https://www.minciencia.gob.cl/uploads/filer_public/bc/38/bc389daf-4514-4306-867c-760ae7686e2c/documento_politica_ia_digital_.pdf</t>
  </si>
  <si>
    <t>Chile</t>
  </si>
  <si>
    <t>Feasibility study on the establishment of a certification mechanism for artificial intelligence tools and services</t>
  </si>
  <si>
    <t>Council of Europe (CEPEJ)</t>
  </si>
  <si>
    <t>https://rm.coe.int/feasability-study-en-cepej-2020-15/1680a0adf4</t>
  </si>
  <si>
    <t>08/12/2020</t>
  </si>
  <si>
    <t>Artificial Intelligence for Europe</t>
  </si>
  <si>
    <t>https://eur-lex.europa.eu/legal-content/EN/TXT/PDF/?uri=CELEX:52018DC0237&amp;from=EN</t>
  </si>
  <si>
    <t>25/04/2018</t>
  </si>
  <si>
    <t>The State of AI Ethics (Volume 5, July 2021)</t>
  </si>
  <si>
    <t>Montreal AI Ethics Institute</t>
  </si>
  <si>
    <t>https://montrealethics.ai/wp-content/uploads/2021/09/State-of-AI-Ethics-Report-Volume-5-July-2021.pdf</t>
  </si>
  <si>
    <t>The State of AI Ethics (Volume 6, February 2022)</t>
  </si>
  <si>
    <t>https://montrealethics.ai/wp-content/uploads/2022/01/State-of-AI-Ethics-Report-Volume-6-February-2022.pdf</t>
  </si>
  <si>
    <t>Effective Ad Archives</t>
  </si>
  <si>
    <t>Mozilla Foundation</t>
  </si>
  <si>
    <t>https://blog.mozilla.org/en/mozilla/facebook-and-google-this-is-what-an-effective-ad-archive-api-looks-like/</t>
  </si>
  <si>
    <t>Data Science Oath</t>
  </si>
  <si>
    <t>National Academies of Science, Engineering &amp; Medecine</t>
  </si>
  <si>
    <t>https://nap.nationalacademies.org/read/24886/chapter/7#33</t>
  </si>
  <si>
    <t>Designing an ethical, socially accountable facial recognition system A vision from Thales</t>
  </si>
  <si>
    <t>Thales</t>
  </si>
  <si>
    <t>https://www.thalesgroup.com/sites/default/files/database/document/2021-11/gov-wp-facial-recognition-2021.pdf</t>
  </si>
  <si>
    <t>lien mort</t>
  </si>
  <si>
    <t>Study supporting the impact assessment of the AI regulation</t>
  </si>
  <si>
    <t>https://digital-strategy.ec.europa.eu/en/library/study-supporting-impact-assessment-ai-regulation</t>
  </si>
  <si>
    <t>Technical study on online dispute resolution mechanisms</t>
  </si>
  <si>
    <t>Council of Europe (CDCJ)</t>
  </si>
  <si>
    <t>https://rm.coe.int/cdcj-2018-5e-technical-study-odr/1680913249</t>
  </si>
  <si>
    <t>16/11/2018</t>
  </si>
  <si>
    <t>Regulatory Technology for the 21st Century</t>
  </si>
  <si>
    <t>World Economic Forum (WEF), Global Future Council on Agile Governance</t>
  </si>
  <si>
    <t>https://www3.weforum.org/docs/WEF_Regulatory_Tech_for_the_21st_Century_2022.pdf</t>
  </si>
  <si>
    <t>Digital Technology and Healthcare. Which Ethical Issues for which Regulations?</t>
  </si>
  <si>
    <t>French National Ethical Consultative Committee for Life Sciences and Health (CCNE)</t>
  </si>
  <si>
    <t>https://www.allistene.fr/files/2019/05/rapportCCNE-CERNA-Version-anglaise.pdf</t>
  </si>
  <si>
    <t>Algo.Rules</t>
  </si>
  <si>
    <t>Bertelsmann Stiftung, iRights.lab</t>
  </si>
  <si>
    <t>https://algorules.org/en/home/</t>
  </si>
  <si>
    <t>07/03/2019</t>
  </si>
  <si>
    <t>A practical guide to Responsible Artificial Intelligence (AI)</t>
  </si>
  <si>
    <t>https://www.pwc.com/gx/en/issues/data-and-analytics/artificial-intelligence/what-is-responsible-ai/responsible-ai-practical-guide.pdf</t>
  </si>
  <si>
    <t>Organisation Best Practices from The Foundation for Best Practices in Machine Learning</t>
  </si>
  <si>
    <t>Foundation for Best Practices in Machine Learning (FBPML)</t>
  </si>
  <si>
    <t>https://drive.google.com/file/d/1h_9IiL-EkVHJ82upaXkUqpH-JboNyk1c/view</t>
  </si>
  <si>
    <t>19/05/2021</t>
  </si>
  <si>
    <t>Smart Dubai AI Ethics Principles &amp; Guidelines</t>
  </si>
  <si>
    <t>Smart Dubai</t>
  </si>
  <si>
    <t>https://www.digitaldubai.ae/docs/default-source/ai-principles-resources/ai-ethics.pdf</t>
  </si>
  <si>
    <t>Aisha Bint Butti Bin Bishr</t>
  </si>
  <si>
    <t>Falcon and Associates</t>
  </si>
  <si>
    <t>30/12/2018</t>
  </si>
  <si>
    <t>AI Singapore</t>
  </si>
  <si>
    <t>National Research Foundation (Singapore)</t>
  </si>
  <si>
    <t>https://www.aisingapore.org/</t>
  </si>
  <si>
    <t>Ten simple rules for responsible Big Data research</t>
  </si>
  <si>
    <t>PLOS Computational Biology</t>
  </si>
  <si>
    <t>https://journals.plos.org/ploscompbiol/article/file?id=10.1371/journal.pcbi.1005399&amp;type=printable</t>
  </si>
  <si>
    <t>30/03/2017</t>
  </si>
  <si>
    <t>Opinion on artificial intelligence and fundamental rights</t>
  </si>
  <si>
    <t>Commission nationale consultative des droits de l'Homme (CNCDH - France)</t>
  </si>
  <si>
    <t>https://www.cncdh.fr/sites/default/files/2022-05/A%20-%202022%20-%206%20%20-%20EN%20%20Artificial%20intelligence%20and%20fundamental%20rights%2C%20april%202022.pdf</t>
  </si>
  <si>
    <t>07/04/2022</t>
  </si>
  <si>
    <t>Ensuring American Leadership in Automated Vehicle Technologies - Automated Vehicles 4.0</t>
  </si>
  <si>
    <t>National Science and Technology Council, United States Department of Transportation (US)</t>
  </si>
  <si>
    <t>https://www.transportation.gov/sites/dot.gov/files/docs/policy-initiatives/automated-vehicles/360956/ensuringamericanleadershipav4.pdf</t>
  </si>
  <si>
    <t>AI UX: 7 principles of designing Good AI Products</t>
  </si>
  <si>
    <t>UX Studio Team</t>
  </si>
  <si>
    <t>https://uxstudioteam.com/ux-blog/ai-ux/</t>
  </si>
  <si>
    <t>Dávid Pásztor</t>
  </si>
  <si>
    <t>Hungary</t>
  </si>
  <si>
    <t>17/04/2018</t>
  </si>
  <si>
    <t>An Artificial Intelligence Standards Roadmap: Making Australia’s Voice Heard</t>
  </si>
  <si>
    <t>Standards Australia</t>
  </si>
  <si>
    <t>https://www.standards.org.au/getmedia/ede81912-55a2-4d8e-849f-9844993c3b9d/1515-An-Artificial-Intelligence-Standards-Roadmap12-02-2020.pdf.aspx</t>
  </si>
  <si>
    <t>Guidelines on Artificial Intelligence and Data Protection</t>
  </si>
  <si>
    <t>https://rm.coe.int/guidelines-on-artificial-intelligence-and-data-protection/168091f9d8</t>
  </si>
  <si>
    <t>25/01/2019</t>
  </si>
  <si>
    <t>Ethics and algorithmic processes for decision making and decision support</t>
  </si>
  <si>
    <t>AlgorithmWatch</t>
  </si>
  <si>
    <t>https://algorithmwatch.org/wp-content/uploads/2017/06/AlgorithmWatch_Working-Paper_No_2_Ethics_ADM.pdf</t>
  </si>
  <si>
    <t>06/2017</t>
  </si>
  <si>
    <t>The Manifesto for Ethical AI</t>
  </si>
  <si>
    <t>Numeum</t>
  </si>
  <si>
    <t>https://ai-ethical.com/en/manifesto/</t>
  </si>
  <si>
    <t>Renaud Vedel, Katya Lainé</t>
  </si>
  <si>
    <t>Numeum, 3iA Côte d'Azur, Telecom Valley, Impact AI, Hub France IA, Grand Est, Grand ENOV+, Institut DataIA, ANITI, aivancity, 42, Services du Premier Ministre</t>
  </si>
  <si>
    <t>The Practical Guide to Ethical AI</t>
  </si>
  <si>
    <t>https://ai-ethical.com/wp-content/uploads/2022/12/2022-SN-Guide-Methodo-IA-Ethiques-web-version.pdf</t>
  </si>
  <si>
    <t>Data Ethics Checklist</t>
  </si>
  <si>
    <t>O'Reilly</t>
  </si>
  <si>
    <t>https://www.oreilly.com/ideas/of-oaths-and-checklists</t>
  </si>
  <si>
    <t>Les mesures publiques dans les stratégies gouvernementales en matière d'intelligence artifcielle : une perspective internationale</t>
  </si>
  <si>
    <t>OBVIA</t>
  </si>
  <si>
    <t>https://www.docdroid.com/kI3bJmo/mesures-publiques-dans-strategies-gouvernementales-ia-obiva-202202-pdf</t>
  </si>
  <si>
    <t>not in English</t>
  </si>
  <si>
    <t>TrUE AI</t>
  </si>
  <si>
    <t>https://www.thalesgroup.com/en/group/journalist/press_release/thales-true-ai-approach-artificial-intelligence-be-unveiled-paris</t>
  </si>
  <si>
    <t>Strategic Priority the Data Management</t>
  </si>
  <si>
    <t>Office of the Vice-President of the Government for Investment and Informatisation</t>
  </si>
  <si>
    <t>http://www.informatizacia.sk/ext_dok-uppvii_sp_manazment_udajov_vfinal/24196c</t>
  </si>
  <si>
    <t>For a mastered, useful and demystified artificial intelligence - Pour une intelligence artificielle maîtrisée, utile et démystifiée</t>
  </si>
  <si>
    <t>Office parlementaire d’évaluation des choix scientifiques et technologiques (France)</t>
  </si>
  <si>
    <t>http://www.senat.fr/rap/r16-464-1/r16-464-11.pdf</t>
  </si>
  <si>
    <t>Study on Discrimination, artificial intelligence, and algorithmic decision-making</t>
  </si>
  <si>
    <t>Council of Europe (ECRI)</t>
  </si>
  <si>
    <t>https://rm.coe.int/discrimination-artificial-intelligence-and-algorithmic-decision-making/1680925d73</t>
  </si>
  <si>
    <t>Open Ethics Manifesto</t>
  </si>
  <si>
    <t>Open Ethics Initiative</t>
  </si>
  <si>
    <t>https://openethics.ai/manifesto/</t>
  </si>
  <si>
    <t>stakeholders, industry, OpenAI, collective</t>
  </si>
  <si>
    <t>AI Impact assessment</t>
  </si>
  <si>
    <t>Open Loop</t>
  </si>
  <si>
    <t>https://d32j3j47emgb6f.cloudfront.net/wp-content/uploads/2021/01/AI_Impact_Assessment_A_Policy_Prototyping_Experiment.pdf</t>
  </si>
  <si>
    <t>Principles &amp; approaches</t>
  </si>
  <si>
    <t>https://www.microsoft.com/en-us/ai/principles-and-approach?activetab=pivot1:primaryr5</t>
  </si>
  <si>
    <t>Recommendation on Technological convergence, AI and human rights</t>
  </si>
  <si>
    <t>https://assembly.coe.int/nw/xml/XRef/Xref-XML2HTML-en.asp?fileid=23726&amp;lang=en</t>
  </si>
  <si>
    <t>28/04/2017</t>
  </si>
  <si>
    <t>Human Inside</t>
  </si>
  <si>
    <t>https://www.orange.com/en/Human-Inside/Mag/Hello-I-am-AI.</t>
  </si>
  <si>
    <t>Study on eHealth, Interoperability of Health Data and Artificial Intelligence for Health and Care in the European Union</t>
  </si>
  <si>
    <t>https://www.digitalhealthnews.eu/images/stories/pdf/artificial_intelligence_in_healthcare-final_report.pdf</t>
  </si>
  <si>
    <t>A blueprint for building national compute capacity for artificial intelligence</t>
  </si>
  <si>
    <t>https://www.oecd-ilibrary.org/deliver/876367e3-en.pdf?itemId=%2Fcontent%2Fpaper%2F876367e3-en&amp;mimeType=pdf</t>
  </si>
  <si>
    <t xml:space="preserve">international </t>
  </si>
  <si>
    <t>National Strategy for Artificial Intelligence</t>
  </si>
  <si>
    <t>Ministry of Finance and Ministry of Industry, Business and Financial Affairs (Danemark)</t>
  </si>
  <si>
    <t>https://en.digst.dk/media/19337/305755_gb_version_final-a.pdf</t>
  </si>
  <si>
    <t>Statement on Artificial Intelligence, Robotics and 'Autonomous' Systems</t>
  </si>
  <si>
    <t>European Commission, European Group on Ethics in Science and New Technologies</t>
  </si>
  <si>
    <t>https://www.telekom.com/resource/blob/532446/f32ea4f5726ff3ed3902e97dd945fa14/dl-180710-ki-leitlinien-en-data.pdf</t>
  </si>
  <si>
    <t>09/03/2018</t>
  </si>
  <si>
    <t>Artificial Intelligence and Children's Rights</t>
  </si>
  <si>
    <t>https://www.unicef.org/innovation/media/10726/file/Executive%20Summary:%20Memorandum%20on%20Artificial%20Intelligence%20and%20Child%20Rights.pdf</t>
  </si>
  <si>
    <t>Challenges and limits of an open source approach to Artificial Intelligence</t>
  </si>
  <si>
    <t>https://www.europarl.europa.eu/thinktank/en/document/IPOL_STU(2021)662908</t>
  </si>
  <si>
    <t>05/2021</t>
  </si>
  <si>
    <t>Harnessing the power of AI and emerging technologies - Background paper for the CDEP Ministerial meeting</t>
  </si>
  <si>
    <t>https://www.oecd-ilibrary.org/deliver/f94df8ec-en.pdf?itemId=%2Fcontent%2Fpaper%2Ff94df8ec-en&amp;mimeType=pdf</t>
  </si>
  <si>
    <t>Identifying and characterising AI adopters - A novel approach based on big data</t>
  </si>
  <si>
    <t>https://www.oecd-ilibrary.org/deliver/154981d7-en.pdf?itemId=%2Fcontent%2Fpaper%2F154981d7-en&amp;mimeType=pdf</t>
  </si>
  <si>
    <t>Identifying artificial intelligence actors using online data</t>
  </si>
  <si>
    <t>https://www.oecd-ilibrary.org/deliver/1f5307e7-en.pdf?itemId=%2Fcontent%2Fpaper%2F1f5307e7-en&amp;mimeType=pdf</t>
  </si>
  <si>
    <t>Labour-saving technologies and employment levels - Are robots really making workers redundant?</t>
  </si>
  <si>
    <t>https://www.oecd-ilibrary.org/deliver/9ce86ca5-en.pdf?itemId=%2Fcontent%2Fpaper%2F9ce86ca5-en&amp;mimeType=pdf</t>
  </si>
  <si>
    <t>OECD AI Policy Observatory</t>
  </si>
  <si>
    <t>https://oecd.ai</t>
  </si>
  <si>
    <t>not a charter</t>
  </si>
  <si>
    <t>OECD Framework for the classification of AI Systems</t>
  </si>
  <si>
    <t>https://www.oecd-ilibrary.org/docserver/cb6d9eca-en.pdf?expires=1704208445&amp;id=id&amp;accname=guest&amp;checksum=D4906A98889E61868DDDE97B27971025</t>
  </si>
  <si>
    <t>OECD Principles on AI</t>
  </si>
  <si>
    <t>https://www.oecd.org/going-digital/ai/principles/</t>
  </si>
  <si>
    <t>hard to crawl</t>
  </si>
  <si>
    <t>Communication on Building Trust in Human-Centric AI</t>
  </si>
  <si>
    <t>https://ec.europa.eu/newsroom/dae/document.cfm?doc_id=58496</t>
  </si>
  <si>
    <t>AI Index 2021</t>
  </si>
  <si>
    <t>https://hai.stanford.edu/research/ai-index-2021</t>
  </si>
  <si>
    <t>The ethics of artificial intelligence: Issues and initiatives</t>
  </si>
  <si>
    <t>https://www.europarl.europa.eu/RegData/etudes/STUD/2020/634452/EPRS_STU(2020)634452_EN.pdf</t>
  </si>
  <si>
    <t>Artificial Intelligence and the fisheries sector</t>
  </si>
  <si>
    <t>https://www.europarl.europa.eu/RegData/etudes/STUD/2022/699643/IPOL_STU(2022)699643_EN.pdf</t>
  </si>
  <si>
    <t>The supply, demand and characteristics of the AI workforce across OECD countries</t>
  </si>
  <si>
    <t>https://www.oecd-ilibrary.org/deliver/bb17314a-en.pdf?itemId=%2Fcontent%2Fpaper%2Fbb17314a-en&amp;mimeType=pdf</t>
  </si>
  <si>
    <t>Tools and Ethics for Applied Behavioural Insights: The BASIC Toolkit</t>
  </si>
  <si>
    <t>https://www.oecd.org/gov/regulatory-policy/BASIC-Toolkit-web.pdf</t>
  </si>
  <si>
    <t>Užupis Principles for Trustworthy AI Design</t>
  </si>
  <si>
    <t>Republic of Užupis</t>
  </si>
  <si>
    <t>http://uzhupisembassy.eu/wp-content/uploads/2019/07/Uzupis-Principles-for-Trustworthy-AI.pdf</t>
  </si>
  <si>
    <t>Culture, Platforms and Machines: The Impact of AI on the Diversity of Cultural Expressions</t>
  </si>
  <si>
    <t>https://en.unesco.org/creativity/sites/creativity/files/12igc_inf4_en.pdf</t>
  </si>
  <si>
    <t>Guidelines for AI procurement</t>
  </si>
  <si>
    <t>https://www3.weforum.org/docs/WEF_Guidelines_for_AI_Procurement.pdf</t>
  </si>
  <si>
    <t>Using artificial intelligence to help combat COVID-19</t>
  </si>
  <si>
    <t>https://read.oecd-ilibrary.org/view/?ref=130_130771-3jtyra9uoh&amp;title=Using-artificial-intelligence-to-help-combat-COVID-19</t>
  </si>
  <si>
    <t>Artificial intelligence and privacy</t>
  </si>
  <si>
    <t>The Norwegian Data Protection Authority</t>
  </si>
  <si>
    <t>https://www.datatilsynet.no/globalassets/global/english/ai-and-privacy.pdf</t>
  </si>
  <si>
    <t>01/2018</t>
  </si>
  <si>
    <t>White paper: A Framework for Responsible Limits on Facial Recognition Use Case: Flow Management</t>
  </si>
  <si>
    <t>https://www3.weforum.org/docs/WEF_Framework_for_action_Facial_recognition_2020.pdf</t>
  </si>
  <si>
    <t>02/2020</t>
  </si>
  <si>
    <t>techno-specific</t>
  </si>
  <si>
    <t>From What to How: An Initial Review of Publicly Available AI Ethics Tools, Methods and Research to Translate Principles into Practices</t>
  </si>
  <si>
    <t>https://arxiv.org/abs/1905.06876</t>
  </si>
  <si>
    <t>academic</t>
  </si>
  <si>
    <t>Explaining decisions made with AI</t>
  </si>
  <si>
    <t>Information Commissioner’s Office, The Alan Turing Institute (United Kingdom)</t>
  </si>
  <si>
    <t>https://ico.org.uk/media/for-organisations/guide-to-data-protection/key-dp-themes/explaining-decisions-made-with-artificial-intelligence-1-0.pdf</t>
  </si>
  <si>
    <t>17/10/2022</t>
  </si>
  <si>
    <t>Finnish One Hundred - A New Opportunity 2018-2037 - Suomen sata uutta mahdollisuutta 2018–2037</t>
  </si>
  <si>
    <t>Parliament (Finland)</t>
  </si>
  <si>
    <t>https://www.eduskunta.fi/FI/tietoaeduskunnasta/julkaisut/Documents/tuvj_1%2B2018.pdf</t>
  </si>
  <si>
    <t>Action Plan of the Federal Government on the Report of the Ethics Committee Automated and Networked Driving (Ethics Rules for Driving Computers) - Maßnahmenplan der Bundesregierung zum Bericht der Ethik-Kommission Automatisiertes und Vernetztes Fahren (Ethik-Regeln für Fahrcomputer)</t>
  </si>
  <si>
    <t>Parliament (Germany)</t>
  </si>
  <si>
    <t>http://dipbt.bundestag.de/doc/btd/18/135/1813500.pdf</t>
  </si>
  <si>
    <t>Future Technology Artificial Intelligence as a Success Factor for a Strong and Innovative Europe - A Statement on the EU Commission's White Paper on AI (German)</t>
  </si>
  <si>
    <t>https://dip21.bundestag.de/dip21/btd/19/221/1922181.pdf</t>
  </si>
  <si>
    <t>Study Commission "Artificial Intelligence Social Responsibility and Economic, Social and Ecological Potential"</t>
  </si>
  <si>
    <t>https://www.bundestag.de/en/committees/bodies/study/artificial_intelligence</t>
  </si>
  <si>
    <t>A smart bureaucrat's guide to AI regulation</t>
  </si>
  <si>
    <t>University of Bath</t>
  </si>
  <si>
    <t>https://joanna-bryson.blogspot.com/2019/01/a-smart-bureaucrats-guide-to-ai.html</t>
  </si>
  <si>
    <t>14/05/2021</t>
  </si>
  <si>
    <t>Ethical Codex for Data-Based Value Creation: For Public Consultation</t>
  </si>
  <si>
    <t>Swiss Alliance for Data-Intensive Services</t>
  </si>
  <si>
    <t>https://digitalcollection.zhaw.ch/bitstream/11475/24226/4/2020_Christen-etal_Ethical-Codex_Recommendations.pdf</t>
  </si>
  <si>
    <t>field-specific, digital</t>
  </si>
  <si>
    <t>Declaration on Youth Participation in AI Governance</t>
  </si>
  <si>
    <t>Council of Europe (Youth Department)</t>
  </si>
  <si>
    <t>https://rm.coe.int/declaration-on-youth-participation-in-ai-governance-eng-08122020/1680a0a745</t>
  </si>
  <si>
    <t>01/12/2020</t>
  </si>
  <si>
    <t>Recommendation on the Ethics of Artificial Intelligence</t>
  </si>
  <si>
    <t>https://unesdoc.unesco.org/ark:/48223/pf0000381137</t>
  </si>
  <si>
    <t>23/11/2021</t>
  </si>
  <si>
    <t>Responsible AI in Consumer Enterprise</t>
  </si>
  <si>
    <t>Integrate.ai</t>
  </si>
  <si>
    <t>https://bruce2b.files.wordpress.com/2019/08/d3dd6-responsible2bai2bin2bconsumer2benterprise.pdf</t>
  </si>
  <si>
    <t>AI Policy Principles</t>
  </si>
  <si>
    <t>Information Technology Industry (ITI) Council</t>
  </si>
  <si>
    <t>https://www.itic.org/policy/artificial-intelligence/itis-global-ai-policy-recommendations</t>
  </si>
  <si>
    <t>Getting the future right – Artificial intelligence and fundamental rights</t>
  </si>
  <si>
    <t>https://fra.europa.eu/sites/default/files/fra_uploads/fra-2020-artificial-intelligence_en.pdf</t>
  </si>
  <si>
    <t>14/12/2020</t>
  </si>
  <si>
    <t>Pervasive Data Ethics</t>
  </si>
  <si>
    <t>Pervade at University of Maryland</t>
  </si>
  <si>
    <t>https://pervade.umd.edu/our-team/</t>
  </si>
  <si>
    <t>Artificial intelligence, blockchain and the future of Europe: How disruptive technologies create opportunities for a green and digital economy</t>
  </si>
  <si>
    <t>European Commission, European Investment Bank</t>
  </si>
  <si>
    <t>https://www.eib.org/attachments/thematic/artificial_intelligence_blockchain_and_the_future_of_europe_report_en.pdf</t>
  </si>
  <si>
    <t>US LEADERSHIP IN AI: A Plan for Federal Engagement in Developing Technical Standards and Related Tools</t>
  </si>
  <si>
    <t>https://www.nist.gov/system/files/documents/2019/08/10/ai_standards_fedengagement_plan_9aug2019.pdf</t>
  </si>
  <si>
    <t>Traffic law amended with definition of an autonomous vehicle.</t>
  </si>
  <si>
    <t>http://prawo.sejm.gov.pl/isap.nsf/download.xsp/WDU20180000317/T/D20180317L.pdf</t>
  </si>
  <si>
    <t>AI &amp; Data Topical Guide Series</t>
  </si>
  <si>
    <t>Policy Action Network</t>
  </si>
  <si>
    <t>https://policyaction.org.za/ai-data-topical-guide-series;https://policyaction.org.za/sites/default/files/PAN_TopicalGuide_AIData1_IntroSeries_Elec.pdf;https://policyaction.org.za/sites/default/files/PAN_TopicalGuide_AIData2_CrimePolicing_Elec.pdf;https://policyaction.org.za/sites/default/files/PAN_TopicalGuide_AIData3_Education_Elec.pdf;https://policyaction.org.za/sites/default/files/PAN_TopicalGuide_AIData4_CitiesTowns_Elec.pdf;https://policyaction.org.za/sites/default/files/PAN_TopicalGuide_AIData5_Migration_Elec.pdf;https://policyaction.org.za/sites/default/files/PAN_TopicalGuide_AIData6_Health_Elec.pdf;https://policyaction.org.za/sites/default/files/PAN_TopicalGuide_AIData7_DigEco_Elec.pdf;https://policyaction.org.za/sites/default/files/PAN_TopicalGuide_AIData8_ElecMedia_Elec.pdf;https://policyaction.org.za/sites/default/files/PAN_TopicalGuide_AIData9_FinServices_V1_Elec.pdf</t>
  </si>
  <si>
    <t>Artificial Intelligence market and capital flows</t>
  </si>
  <si>
    <t>https://www.europarl.europa.eu/RegData/etudes/STUD/2021/662912/IPOL_STU(2021)662912_EN.pdf</t>
  </si>
  <si>
    <t>field-specific, issue-specific</t>
  </si>
  <si>
    <t>Plan Nacional de Inteligencia Artificial</t>
  </si>
  <si>
    <t>President of Argentina</t>
  </si>
  <si>
    <t>https://uai.edu.ar/ciiti/2019/buenos-aires/downloads/B1/JA-Plan-Nacional-IA.pdf.</t>
  </si>
  <si>
    <t>Argentina</t>
  </si>
  <si>
    <t>Responsible bots: 10 guidelines for developers of conversational AI</t>
  </si>
  <si>
    <t>https://www.microsoft.com/en-us/research/uploads/prod/2018/11/Bot_Guidelines_Nov_2018.pdf</t>
  </si>
  <si>
    <t>11/04/2018</t>
  </si>
  <si>
    <t>National Strategy for AI</t>
  </si>
  <si>
    <t>Presidential executive order (Russia)</t>
  </si>
  <si>
    <t>https://namib.online/wp-content/uploads/2019/10/%D0%9E-%D1%80%D0%B0%D0%B7%D0%B2%D0%B8%D1%82%D0%B8%D0%B8-%D0%B8%D1%81%D0%BA%D1%83%D1%81%D1%81%D1%82%D0%B2%D0%B5%D0%BD%D0%BD%D0%BE%D0%B3%D0%BE-%D0%B8%D0%BD%D1%82%D0%B5%D0%BB%D0%BB%D0%B5%D0%BA%D1%82%D0%B0-%D0%B2-%D0%A0%D0%A4.pdf</t>
  </si>
  <si>
    <t>Report of the Special Rapporteur to the General Assembly on AI and its impact on freedom of opinion and expression</t>
  </si>
  <si>
    <t>United Nations, Secretary General</t>
  </si>
  <si>
    <t>https://freedex.org/wp-content/blogs.dir/2015/files/2018/10/AI-and-FOE-GA.pdf</t>
  </si>
  <si>
    <t>29/08/2018</t>
  </si>
  <si>
    <t>PWC's Responsible AI</t>
  </si>
  <si>
    <t>https://www.pwc.com/gx/en/issues/data-and-analytics/artificial-intelligence/what-is-responsible-ai.html</t>
  </si>
  <si>
    <t>Discussion Paper: National Strategy for Artificial Intelligence</t>
  </si>
  <si>
    <t>National Institution for Transforming India (Niti Aayog)</t>
  </si>
  <si>
    <t>https://indiaai.gov.in/documents/pdf/NationalStrategy-for-AI-Discussion-Paper.pdf</t>
  </si>
  <si>
    <t>Anna Roy</t>
  </si>
  <si>
    <t>The responsible AI framework</t>
  </si>
  <si>
    <t>PriceWaterhouseCoopers (PwC) UK</t>
  </si>
  <si>
    <t>AI and digital tools in workplace management and evaluation: An assessment of EU's legal framework</t>
  </si>
  <si>
    <t>https://www.europarl.europa.eu/RegData/etudes/STUD/2022/729516/EPRS_STU(2022)729516_EN.pdf</t>
  </si>
  <si>
    <t>Annual Reports - Data Ethics</t>
  </si>
  <si>
    <t>Privacy Commissioner for Personal Data (Hong Kong)</t>
  </si>
  <si>
    <t>https://www.pcpd.org.hk/english/resources_centre/publications/annual_report/files/anreport18_02.pdf</t>
  </si>
  <si>
    <t>Hong Kong</t>
  </si>
  <si>
    <t>Ethical, social, and political challenges of Artificial Intelligence in Health</t>
  </si>
  <si>
    <t>Future Advocacy</t>
  </si>
  <si>
    <t>https://cms.wellcome.org/sites/default/files/ai-in-health-ethical-social-political-challenges.pdf</t>
  </si>
  <si>
    <t>04/2018</t>
  </si>
  <si>
    <t>Guide on the use of Artificial Intelligence-based tools by lawyers and law firms in the EU</t>
  </si>
  <si>
    <t>Council of Bars and Law Societies of Europe (CCBE), European Lawyers Fundation (ELF)</t>
  </si>
  <si>
    <t>https://www.ccbe.eu/fileadmin/speciality_distribution/public/documents/IT_LAW/ITL_Reports_studies/EN_ITL_20220331_Guide-AI4L.pdf</t>
  </si>
  <si>
    <t>SPI sector-specific</t>
  </si>
  <si>
    <t>Auditing and Achieving Intersectional Fairness in Classification Problems</t>
  </si>
  <si>
    <t>QuantumBlack (McKinsey)</t>
  </si>
  <si>
    <t>https://arxiv.org/pdf/1911.01468.pdf</t>
  </si>
  <si>
    <t>Meeting the new challenges to equality and non-discrimination from increased digitisation and the use of Artificial Intelligence</t>
  </si>
  <si>
    <t>European Network of Equality Bodies (EQUINET)</t>
  </si>
  <si>
    <t>https://ai.equineteurope.org/system/files/2021-04/EQUINET_REGULATING%20FOR%20AN%20EQUAL%20AI_2020_report.pdf</t>
  </si>
  <si>
    <t>Automating Society Report</t>
  </si>
  <si>
    <t>https://automatingsociety.algorithmwatch.org/report2020/policy-recommendations/</t>
  </si>
  <si>
    <t>Discussion Paper on Artificial Intelligence (AI) and Personal Data - Fostering Responsible Development and Adoption of AI</t>
  </si>
  <si>
    <t>https://www.pdpc.gov.sg/-/media/Files/PDPC/PDF-Files/Resource-for-Organisation/AI/Discussion-Paper-on-AI-and-PD---050618.pdf</t>
  </si>
  <si>
    <t>06/05/2018</t>
  </si>
  <si>
    <t>Principles</t>
  </si>
  <si>
    <t>reputable.AI</t>
  </si>
  <si>
    <t>https://www.reputable.ai/principles</t>
  </si>
  <si>
    <t>Government by Algorithm: Artificial Intelligence in Federal Administrative Agencies</t>
  </si>
  <si>
    <t>Stanford Law School</t>
  </si>
  <si>
    <t>https://law.stanford.edu/wp-content/uploads/2020/02/ACUS-AI-Report.pdf</t>
  </si>
  <si>
    <t>Linking artifical intelligence principles</t>
  </si>
  <si>
    <t>http://www.linking-ai-principles.org/about</t>
  </si>
  <si>
    <t>Non-paper on the impact of artificial intelligence and freedom of expression</t>
  </si>
  <si>
    <t>Organization for Security and Co-operation in Europe (OSCE)</t>
  </si>
  <si>
    <t>https://www.osce.org/files/f/documents/b/a/447829.pdf</t>
  </si>
  <si>
    <t>Responsible Design Assistant</t>
  </si>
  <si>
    <t>Responsible AI institute</t>
  </si>
  <si>
    <t>https://oproma.github.io/rai-trustindex/</t>
  </si>
  <si>
    <t>AI4People—An Ethical Framework for a Good AI Society: Opportunities, Risks, Principles, and Recommendations</t>
  </si>
  <si>
    <t>AI4People; Atomium-EISMD</t>
  </si>
  <si>
    <t>https://link.springer.com/content/pdf/10.1007/s11023-018-9482-5.pdf</t>
  </si>
  <si>
    <t>Luciano Floridi, Josh Cowls, Monica Beltrametti, Raja Chatila, Patrice Chazerand, Virginia Dignum, Christoph Luetge, Robert Madelin, Ugo Pagallo, Francesca Rossi, Burkhard Schafer, Peggy Valcke, Effy Vayena</t>
  </si>
  <si>
    <t>26/11/2018</t>
  </si>
  <si>
    <t>Critiquing the Reasons for Making Artificial Moral Agents</t>
  </si>
  <si>
    <t>Technical University of Delft</t>
  </si>
  <si>
    <t>https://www.ncbi.nlm.nih.gov/pmc/articles/PMC6591188/</t>
  </si>
  <si>
    <t>19/02/2018</t>
  </si>
  <si>
    <t>Beijing Consensus on Artificial Intelligence and Education</t>
  </si>
  <si>
    <t>https://unesdoc.unesco.org/ark:/48223/pf0000368303</t>
  </si>
  <si>
    <t>18/05/2019</t>
  </si>
  <si>
    <t xml:space="preserve">Trusted AI  </t>
  </si>
  <si>
    <t>Salesforce research</t>
  </si>
  <si>
    <t>https://www.salesforceairesearch.com/trusted-ai</t>
  </si>
  <si>
    <t>Climate Change and AI: Recommendations for Government Action</t>
  </si>
  <si>
    <t>Global Partnership on Artificial Intelligence (GPAI), Climate Change AI, Centre for AI&amp;Climate</t>
  </si>
  <si>
    <t>https://gpai.ai/projects/responsible-ai/environment/climate-change-and-ai.pdf</t>
  </si>
  <si>
    <t>international organisation &gt; IGO, civil society &gt; other</t>
  </si>
  <si>
    <t>Artificial Intelligence and its Impact on Young People</t>
  </si>
  <si>
    <t>https://rm.coe.int/ai-report-bil-final/16809f9a88</t>
  </si>
  <si>
    <t>06/12/2019</t>
  </si>
  <si>
    <t>Shanghai Declaration</t>
  </si>
  <si>
    <t>Shanghai YoungAI</t>
  </si>
  <si>
    <t>https://www.shkjdw.gov.cn/c/2019-08-30/517552.shtml</t>
  </si>
  <si>
    <t>Study on AI And Big Data: A Blueprint for a human rights, social and ethical impact assessment</t>
  </si>
  <si>
    <t>Polytechnic University of Turin</t>
  </si>
  <si>
    <t>https://pdf.sciencedirectassets.com/271884/1-s2.0-S0267364918X00053/1-s2.0-S0267364918302012/main.pdf?X-Amz-Security-Token=IQoJb3JpZ2luX2VjEBoaCXVzLWVhc3QtMSJHMEUCIQDRmIZM7EFFry858ooKfG1Wu6tmvc%2BERQuQ96R8mzJjQwIgAreFnPvZspgxDOYES0a6w%2BMX5DQjd4gUnbb6paXc8DQqsgUIcxAFGgwwNTkwMDM1NDY4NjUiDFDSVM6rDb%2FpSC7IXCqPBcXTXQl%2FlnSvewvLW%2FePzQ3%2FudJZIGGCn9wNy97u9W8Xe%2BFOaQBpP16sZMeXARBu9mzRGGpH8p5Mwxhvqn7o2OKKaXDW10zgx0Dqkzcm5046%2FI9y3zy8TdVYq6p5Yc%2Fu5ZRzj%2Fai0SxSUkTThzIAZpkPmyY%2FErPFSrRUlKUno8kvdLC%2BFOAZj5M0l%2BRMO7EQYTjyT9zDIQaRYG%2F9qyAakS%2BJCr9givNCvMlLPdEgGJB%2BETVDdJBa8%2FbNvr5u%2FTnhUV6ic0%2F2dZvzDGO%2F7b1cmXdv%2FdtHHyypD0kWfxNuq1ijl4jTbKdol3uq7828Yr2Nx1TzzKpi3DkQ4qnZCPrxk0oWZKAOJmIg5jwvp5jWarEjTyrWlIekpKwXQ09SO8qquC%2FKwTX4c3PTu7gf79nqeFOi%2BkhXlrbRwMIo%2F5Vkh9kGCnmuirEpvx87jNQtLX2t5szEFd%2BBH78G940PpujXu1PKzVo%2B1yDpUrqv3GOGnqOL%2BL4BZepuJsW0%2BqQbGWDMafnIlYPMZqgUOPq2OlkJrfcd%2FPSQn8JUQYJUsG4KYvoGSmPU%2FUHWh9YHPQ%2BRAJtbZyl15ayk%2BFTzCPeYkRlML6Dju30X3%2FUD5LyBJ9buf2grMFWYTz2VqqAQmUDO%2BomiaygFn35xFyokQb%2BaGE82Law%2Bzarnt%2FPwh%2BCFbdQ235b6nHkRhz9Tx2jO1SkHEghhTGHkh4zvx%2BFk6D6tYPA8K2IPKWaPl1%2BLdYvvPAqPQUERLwDIoOOg1fZ0LYPb%2BsGYlAblvtYhn8Ea2s%2BoV6RbEkK9dLsaK2yi9BF%2B1ItVk%2FuIPD1DzQb3K2cognnIs1trJLriV0AItQKkrbLQMLA6J%2B9I%2BZQTStzEq1Bt91om7lQwxP%2BGqwY6sQEOIHg1pjMvS3DH3aKhNwo8rE2KDAH7qYQDpmnHBZQUmFa76ejal8JogocUrH%2F2XNhEjHUCJVCuhZUJqOc%2FrAtV0eGi%2Bff%2BgxtlDy9CHvmVrHl8ZGHq8FqcSMfc2346AKRTyCEVXs22uxUnC8BMcd%2FvDzMi4QrsjtawpKwEJQLyzieUJ0%2FYKa52eWqIu%2BaLfsTvYmcdUI6aM5mrmDl7soGa54A3%2Bv2l9S6UZB7YTKyum9A%3D&amp;X-Amz-Algorithm=AWS4-HMAC-SHA256&amp;X-Amz-Date=20231125T104054Z&amp;X-Amz-SignedHeaders=host&amp;X-Amz-Expires=300&amp;X-Amz-Credential=ASIAQ3PHCVTY4FH22NHW%2F20231125%2Fus-east-1%2Fs3%2Faws4_request&amp;X-Amz-Signature=687926ea9766a457eee2df8f5e315efd1247783ad17be7de23be860dff56335c&amp;hash=7802d5058316b4093ec0926b46d0a6b42a5ef6745bbbfd1bd7f2d14bad20ed43&amp;host=68042c943591013ac2b2430a89b270f6af2c76d8dfd086a07176afe7c76c2c61&amp;pii=S0267364918302012&amp;tid=spdf-1c29f06a-0c10-4d6e-85dd-6b86343ea2f0&amp;sid=6cf1fd1f65d8a24adb1bdb08f6a984930bafgxrqb&amp;type=client&amp;tsoh=d3d3LnNjaWVuY2VkaXJlY3QuY29t&amp;ua=1c175c510d5956510c&amp;rr=82b946b279d66f17&amp;cc=fr</t>
  </si>
  <si>
    <t>04/08/2018</t>
  </si>
  <si>
    <t>Statement on Artificial Intelligence</t>
  </si>
  <si>
    <t>Canada, France</t>
  </si>
  <si>
    <t>https://www.international.gc.ca/world-monde/international_relations-relations_internationales/europe/2018-06-07-france_ai-ia_france.aspx?lang=eng</t>
  </si>
  <si>
    <t>07/06/2018</t>
  </si>
  <si>
    <t>Shanghai Initiative on Artificial Intelligence Security Development</t>
  </si>
  <si>
    <t>Sohu</t>
  </si>
  <si>
    <t>https://www.sohu.com/a/254630629_260616</t>
  </si>
  <si>
    <t>Artificial Intelligence in smart cities and urban mobility</t>
  </si>
  <si>
    <t>http://www.europarl.europa.eu/RegData/etudes/BRIE/2021/662937/IPOL_BRI(2021)662937_EN.pdf</t>
  </si>
  <si>
    <t>National Strategy on AI</t>
  </si>
  <si>
    <t>https://www.lamoncloa.gob.es/presidente/actividades/Documents/2020/021220-ENIA.pdf</t>
  </si>
  <si>
    <t>Statute book of good practices in data protection for Big Data - Código de buenas prácticas en protección de datos para proyectos de Big Data</t>
  </si>
  <si>
    <t>Spanish Agency for Data Protection (AEPD - Spain)</t>
  </si>
  <si>
    <t>https://www.aepd.es/media/guias/guia-codigo-de-buenas-practicas-proyectos-de-big-data.pdf</t>
  </si>
  <si>
    <t>Artificial Intelligence Economic importance, social challenges, human responsibility</t>
  </si>
  <si>
    <t>https://www.bitkom.org/sites/default/files/file/import/171101-PP-Artificial-Intelligence-ENG-Web.pdf</t>
  </si>
  <si>
    <t>White Paper on AI standardization</t>
  </si>
  <si>
    <t>Standards Admin of China</t>
  </si>
  <si>
    <t>https://cset.georgetown.edu/publication/artificial-intelligence-standardization-white-paper/</t>
  </si>
  <si>
    <t>Malta, the ultimate AI Launchpad: A strategy and vision for AI in Malta 2030</t>
  </si>
  <si>
    <t>https://malta.ai/wp-content/uploads/2019/11/Malta_The_Ultimate_AI_Launchpad_vFinal.pdf</t>
  </si>
  <si>
    <t>10/2019</t>
  </si>
  <si>
    <t>The practical application of the Guiding Principles on Business and Human Rights to the activities of technology companies - Report of the Office of the United Nations High Commissioner for Human Rights</t>
  </si>
  <si>
    <t>United Nations (Human Rights Council)</t>
  </si>
  <si>
    <t>https://reliefweb.int/attachments/41159932-9621-46ca-af1b-c57fe8a24da0/G2232396.pdf</t>
  </si>
  <si>
    <t>21/04/2022</t>
  </si>
  <si>
    <t>Guiding Principles on Trusted AI Ethics</t>
  </si>
  <si>
    <t>Telia Company</t>
  </si>
  <si>
    <t>https://www.teliacompany.com/assets/u5c1v3pt22v8/2vc3JrcTrqI77ww43dChjh/a1ddbf5d79d203a1aa3cceb3e43c719d/Telia_Company-s_Guiding_principles_for_AI_Ethics.pdf</t>
  </si>
  <si>
    <t>Next Generation Artifical Intelligence Plan</t>
  </si>
  <si>
    <t>State Council (China)</t>
  </si>
  <si>
    <t>https://digichina.stanford.edu/work/full-translation-chinas-new-generation-artificial-intelligence-development-plan-2017/#:~:text=By%202025%2C%20a%20new%20generation,global%20high%2Dend%20value%20chain.</t>
  </si>
  <si>
    <t>Data Ethics Principles</t>
  </si>
  <si>
    <t>Data Ethics</t>
  </si>
  <si>
    <t>https://dataethics.eu/data-ethics-principles/</t>
  </si>
  <si>
    <t>29/12/2017</t>
  </si>
  <si>
    <t>Artificial Intelligence Technology Strategy</t>
  </si>
  <si>
    <t>Strategic Council for Ai Technology (Japan)</t>
  </si>
  <si>
    <t>https://www.nedo.go.jp/content/100865202.pdf</t>
  </si>
  <si>
    <t>Artificial Intelligence: a strategic vision for Luxembourg</t>
  </si>
  <si>
    <t>The Government of the Grand Duchy of Luxembourg</t>
  </si>
  <si>
    <t>https://digital-luxembourg.public.lu/sites/default/files/2020-09/AI_EN_0.pdf</t>
  </si>
  <si>
    <t>Discussion paper on Governance of the Artificial Intelligence Strategy for Europe</t>
  </si>
  <si>
    <t>https://data.consilium.europa.eu/doc/document/ST-11352-2018-INIT/en/pdf</t>
  </si>
  <si>
    <t>26/07/2018</t>
  </si>
  <si>
    <t>Preliminary study on the technical and legal aspects relating to the desirability of a standard-setting instrument on the ethics of artificial intelligence</t>
  </si>
  <si>
    <t>https://unesdoc.unesco.org/ark:/48223/pf0000367422.locale=en</t>
  </si>
  <si>
    <t>21/03/2019</t>
  </si>
  <si>
    <t>The future of work and education in the digital age</t>
  </si>
  <si>
    <t>T20</t>
  </si>
  <si>
    <t>https://www.g20-insights.org/wp-content/uploads/2019/04/T20-Recommendations-Report_TF7-The-Future-of-Work-and-Education-in-the-Digital-Age.pdf</t>
  </si>
  <si>
    <t>Privacy and Freedom of Expression In the Age of Artificial Intelligence</t>
  </si>
  <si>
    <t>Privacy International &amp; Article 19</t>
  </si>
  <si>
    <t>https://www.article19.org/wp-content/uploads/2018/04/Privacy-and-Freedom-of-Expression-In-the-Age-of-Artificial-Intelligence-1.pdf</t>
  </si>
  <si>
    <t>Opportunities and drawbacks of using artificial intelligence for training</t>
  </si>
  <si>
    <t>https://www.oecd-ilibrary.org/deliver/22729bd6-en.pdf?itemId=%2Fcontent%2Fpaper%2F22729bd6-en&amp;mimeType=pdf</t>
  </si>
  <si>
    <t>07/12/2021</t>
  </si>
  <si>
    <t>Business Principles and Policies</t>
  </si>
  <si>
    <t>Telefonica</t>
  </si>
  <si>
    <t>https://www.telefonica.com/en/sustainability-innovation/how-we-work/business-principles/</t>
  </si>
  <si>
    <t>Artificial Intelligence (AI) in Health</t>
  </si>
  <si>
    <t>Royal College of Physicians</t>
  </si>
  <si>
    <t>https://www.rcplondon.ac.uk/projects/outputs/artificial-intelligence-ai-health</t>
  </si>
  <si>
    <t>08/2023</t>
  </si>
  <si>
    <t>Recommendation of the Council on Artificial Intelligence</t>
  </si>
  <si>
    <t>https://legalinstruments.oecd.org/en/instruments/OECD-LEGAL-0449</t>
  </si>
  <si>
    <t>22/05/2019</t>
  </si>
  <si>
    <t>6 Principles of AI</t>
  </si>
  <si>
    <t>Tencent</t>
  </si>
  <si>
    <t>https://tech.qq.com/a/20190711/004971.htm</t>
  </si>
  <si>
    <t>Trustworthy AI in education: promises and challenges. Background paper for the G20 AI Dialogue, Digital Economy Task Force</t>
  </si>
  <si>
    <t>https://web-archive.oecd.org/2020-07-23/559610-trustworthy-artificial-intelligence-in-education.pdf</t>
  </si>
  <si>
    <t>02/02/2020</t>
  </si>
  <si>
    <t>The Ethics of Technology in the Intelligent Age - Reshaping Trust in a Digital Society</t>
  </si>
  <si>
    <t>Tencent Technology News, Tencent Research Institute, Tencent AI Lab</t>
  </si>
  <si>
    <t>Artificial Intelligence and National Security</t>
  </si>
  <si>
    <t>https://www.thalesgroup.com/en/artificial-intelligence-and-national-security</t>
  </si>
  <si>
    <t>IBM’s Principles for Trust and Transparency</t>
  </si>
  <si>
    <t>https://www.ibm.com/policy/trust-principles/</t>
  </si>
  <si>
    <t>30/05/2018</t>
  </si>
  <si>
    <t>Artificial Intelligence Act: Analysis &amp; Recommendations</t>
  </si>
  <si>
    <t>ALLAI</t>
  </si>
  <si>
    <t>https://allai.nl/wp-content/uploads/2021/08/EU-Proposal-for-Artificial-Intelligence-Act-Analysis-and-Recommendations.pdf</t>
  </si>
  <si>
    <t>06/08/2021</t>
  </si>
  <si>
    <t>Advancing AI ethics beyond compliance From principles to practice</t>
  </si>
  <si>
    <t>https://www.ibm.com/downloads/cas/J2LAYLOZ</t>
  </si>
  <si>
    <t>04/2020</t>
  </si>
  <si>
    <t>Summary of events - AI Policy Conference</t>
  </si>
  <si>
    <t>RegHorizon, ETH Zurich</t>
  </si>
  <si>
    <t>https://reghorizon.com/wp-content/uploads/2021/02/RegHorizon-AI-Policy-Conference-2020-Summary.pdf</t>
  </si>
  <si>
    <t>17/11/2020</t>
  </si>
  <si>
    <t>The responsible Machine Learning Principles</t>
  </si>
  <si>
    <t>The Institute for Ethical AI &amp; Machine Learning</t>
  </si>
  <si>
    <t>https://ethical.institute/principles.html</t>
  </si>
  <si>
    <t>Lina Stankovik, Geeta Chauhan, Jens dittrich, Jack Stilgoe, Oswaldo Baez, Radhaprem Ramaraj, Ari Kamlani, David Fagnan, Kate Carruthers, Ramin Vatanparast, Prasenjeet Bhattacharya, Narayanan Subramaniam, Drake Pruitt, Detlef Nauck, Adrian Gonzalez-Martin, Waheeda Ali, James Gibson, Hirsham Abdulhalim, Promod Radhakrishnan, Angel Castro Martinez, Steven Kuyan, Sarah Rench, Janis Klaise, Alessandra Sala, Maite Trujillo, Stacey King, Magdalena Lis, Dheeraj Awasthy, Fakhreddine Aouadi, Erol Gelenbe, Lisa Harrington, Rodica Costea, Ed Shee, Sam Beni, Daniel Woolf, Tracy Moore, Ling Liu, Gary Marchant, Ghazi Ahamat, Meltem Kilicoglu, Tania Sourdin, CP Duggal, Srikanth Rama, Sarthak Banerjee, Toju Duke, Christin Williams, Diane Reynolds, Pedro Bizarro, Foutse Khomh, Kim Rees, Owen King, Chris Howard, David Rowe-Francis, Clara Crompton, Olfa Nasraoui, Nicole Rigillo, Robina Shaheen, Mark Hines, James Campbell, Josephine Young, Ben Caulfield, Patricia Charlton, Anthony Ng, Richard Tomsett, Arturo Serrano-Santoyo, Ryan Dawson, Arnold Taylor, Rafael Silva, James Kingston, Tom Sorell, Maria Burke, Madeleine Forster, Federica Nocera, Sophie Desroseaux, Photini Vrikki, Amit Malhotra, Marie Sbrocca, Porter Merriman, Melissa McCullough, Annette Markham, Radovan Kavicky, Graham Hunt, Lara Strauss, Steven Chan, John Buyers, Akram Dweikat, Vasileios Karagiannopoulos, Fahim Sachedina, Charles Andrews, Allison Gardner, Tom McGinn, Gavin James, Jerome Solis, Alla Kos, Tom Ewing, Vadim Toader, Dev Amratia, Raphael Scheps, Zoheb Iqbal, Adam Kosiorek, Lisa Gray, Waleed Khoury, Karen Bennet, Vincent Müller, Andrew Burgess, Wayne Mcquoid, Nigel Winship, Brendan Harkin, Anand Rao, Christopher Bull, Mark Round, Chantel Spencer-Bowdage, Maria Axente, Umre Ashish, John Havens, Emilia Tantar, Behzad Samadi, fabio rosa, John Clarke, Joost van der Burgt, Diego Oppenheimer, Beth West, Lucy Yu, Alex Housley, Danial Choudhury, Iarla Kilbane-Dawe, Donald Whyte, Tom McGinn, Ansgar Koene, Benoit Bergeret, Matt Abrams, Alexsis Wintour, Fatos Ismali, Martin de heaver, Megan Elliott, Francesca Gaudino, Hezron Rickets, Noel Tagoe, Hessie Jones, Paul Tidman, Mahdi Shariff, Loretta Cambron, Marco Bertani-Ã˜kland, Eleanor Watson, Chris Donnan, Christine Henry, Mickael Fine, Eric Barbier, John Matthias, Jesus Ramos, Caroline Stockman, Steven Casey, Baptiste Beaume, Shaohua Yang, Saher Esmeir, Baghdad Gherras, Reza Jarral, Sankar Sivarajah, Adnan Masood, Nathalie Birt, Anwesh Roy, Prabhakar Krishnamurthy, Mauricio Marcos Marcos, Wayne Holmes, Zahir Irani, Patrick Uzuwe, Michael Birtwistle, Febria Dwi, Ola Ahmad, Miranda Leung, Jesus Ramos, Shachindra Nath, Alex Blainer Sanchez Sanchez, Michael Natusch, Gabriel Campero Durand, Dutta Debalina, Julia Jenal, Antoine Qian, Ashutosh Modi, Molly Mahar, Alain Lesaffre, Florian Gouin, Sarit Seal</t>
  </si>
  <si>
    <t>mixed, academia, stem, social sciences, industry</t>
  </si>
  <si>
    <t>The Critical Engineering Manifesto</t>
  </si>
  <si>
    <t>The Critical Engineering Working Group</t>
  </si>
  <si>
    <t>Tieto’s AI ethics guidelines</t>
  </si>
  <si>
    <t>Tieto</t>
  </si>
  <si>
    <t>https://www.tietoevry.com/contentassets/b097de43d84d4c84832f1fff2cb6a30d/tieto-s-ai-ethics-guidelines.pdf</t>
  </si>
  <si>
    <t>Ethical by Design: Principles for Good Technology</t>
  </si>
  <si>
    <t>The Ethics Center</t>
  </si>
  <si>
    <t>https://ethics.org.au/ethical-by-design/</t>
  </si>
  <si>
    <t>The role of Artificial Intelligence in the European Green Deal</t>
  </si>
  <si>
    <t>https://www.europarl.europa.eu/RegData/etudes/STUD/2021/662906/IPOL_STU(2021)662906_EN.pdf</t>
  </si>
  <si>
    <t>Measuring the environmental impacts of artificial intelligence compute and applications - The AI Footprint</t>
  </si>
  <si>
    <t>Organisation for Economic Co-operation and Development (OECD), GPAI</t>
  </si>
  <si>
    <t>https://www.oecd-ilibrary.org/docserver/7babf571-en.pdf?expires=1700910550&amp;id=id&amp;accname=guest&amp;checksum=A3116351E36F167E26FDAA8262575B12</t>
  </si>
  <si>
    <t>11/2022</t>
  </si>
  <si>
    <t>Principles for Accountable Algorithms and a Social Impact Statement for Algorithms</t>
  </si>
  <si>
    <t>Fairness, Accountability, and Transparency in Machine Learning (FATML)</t>
  </si>
  <si>
    <t>https://www.fatml.org/resources/principles-for-accountable-algorithms</t>
  </si>
  <si>
    <t>Nicholas Diakopoulos, Sorelle Friedler, Marcelo Arenas, Solon Barocas, Michael Hay, Bill Howe, H. V. Jagadish, Kris Unsworth, Arnaud Sahuguet, Suresh Venkatasubramanian, Christo Wilson, Cong Yu, Bendert Zevenbergen</t>
  </si>
  <si>
    <t>The Good Technology Standard (Draft)</t>
  </si>
  <si>
    <t>The Good Technology Collective</t>
  </si>
  <si>
    <t>https://github.com/GoodTechnologyCollective/GTS</t>
  </si>
  <si>
    <t>The Partnership of the Future</t>
  </si>
  <si>
    <t>Satya Nadella</t>
  </si>
  <si>
    <t>https://slate.com/technology/2016/06/microsoft-ceo-satya-nadella-humans-and-a-i-can-work-together-to-solve-societys-challenges.html</t>
  </si>
  <si>
    <t>28/06/2016</t>
  </si>
  <si>
    <t>Concept note Artificial intelligence and criminal law responsibility in Council of Europe</t>
  </si>
  <si>
    <t>https://rm.coe.int/cdpc-2018-14rev-artificial-intelligence-and-criminal-law-project-2018-/16808e64ad</t>
  </si>
  <si>
    <t>16/10/2018</t>
  </si>
  <si>
    <t>Artificial Intelligence at the service of the citizen</t>
  </si>
  <si>
    <t>Agenzia per l'Italia Digitale (AGID)</t>
  </si>
  <si>
    <t>https://ai-white-paper.readthedocs.io/en/latest/</t>
  </si>
  <si>
    <t>Andrus Ansip, Antonio Samaritani</t>
  </si>
  <si>
    <t>21/03/2018</t>
  </si>
  <si>
    <t>The impact of Artificial Intelligence on the Doctor-Patient Relationship</t>
  </si>
  <si>
    <t>Council of Europe (CDBIO)</t>
  </si>
  <si>
    <t>https://rm.coe.int/inf-2022-5-report-impact-of-ai-on-doctor-patient-relations-e/1680a68859</t>
  </si>
  <si>
    <t>Top 10 Principles for Ethical Artificial Intelligence</t>
  </si>
  <si>
    <t>UNI Global Union</t>
  </si>
  <si>
    <t>https://uniglobalunion.org/wp-content/uploads/uni_ethical_ai.pdf</t>
  </si>
  <si>
    <t>The Future World of Work</t>
  </si>
  <si>
    <t>Facial Recognition Technology and the Growing Power of Artificial Intelligence: Report of the Standing Committee on Access to Information, Privacy and Ethics</t>
  </si>
  <si>
    <t>Chambre des communes (Canada)</t>
  </si>
  <si>
    <t>https://www.ourcommons.ca/Content/Committee/441/ETHI/Reports/RP11948475/ethirp06/ethirp06-e.pdf</t>
  </si>
  <si>
    <t>Taking Stock of Automated Decision-Making in the EU</t>
  </si>
  <si>
    <t>https://algorithmwatch.org/wp-content/uploads/2019/01/Automating_Society_Report_2019.pdf</t>
  </si>
  <si>
    <t>AI RFX Procurement Framework</t>
  </si>
  <si>
    <t>The Institute for Ethical AI &amp; ML</t>
  </si>
  <si>
    <t>https://ethical.institute/rfx.html</t>
  </si>
  <si>
    <t>Declaration on AI in the Nordic-Baltic Region</t>
  </si>
  <si>
    <t>Nordic Council of Ministers for Digitalisation 2017-2020 (MR-DIGITAL)</t>
  </si>
  <si>
    <t>https://www.norden.org/en/declaration/ai-nordic-baltic-region</t>
  </si>
  <si>
    <t>14/05/2018</t>
  </si>
  <si>
    <t>Regulation of Artificial Intelligence in Selected Jurisdictions</t>
  </si>
  <si>
    <t>The Law Library of the Congress</t>
  </si>
  <si>
    <t>https://www.loc.gov/law/help/artificial-intelligence/regulation-artificial-intelligence.pdf</t>
  </si>
  <si>
    <t>Person identification, human rights and ethical principles - Rethinking biometrics in the era of artificial intelligence</t>
  </si>
  <si>
    <t>https://www.europarl.europa.eu/RegData/etudes/STUD/2021/697191/EPRS_STU(2021)697191_EN.pdf</t>
  </si>
  <si>
    <t>Ethics of AI in Radiology: European and North American Multisociety Statement</t>
  </si>
  <si>
    <t>American College of Radiology; European Society of Radiology; Radiology Society of North America; Society for Imaging Informatics in Medicine; European Society of Medical Imaging Informatics; Canadian Association of Radiologists; American Association of Physicists in Medicine</t>
  </si>
  <si>
    <t>https://bioethics.miami.edu/_assets/pdf/information-technology-and-ethics/ai-and-big-data-resources/ethics-of-ai-in-radiology.pdf</t>
  </si>
  <si>
    <t>13/06/2019</t>
  </si>
  <si>
    <t>AI in Egypt</t>
  </si>
  <si>
    <t>The National Council for Artificial Intelligence (Egypt)</t>
  </si>
  <si>
    <t>https://aicm.ai.gov.eg//en/Resources/EgyptianCharterForResponsibleAIEnglish-v1.0.pdf</t>
  </si>
  <si>
    <t>Egypt</t>
  </si>
  <si>
    <t>2023</t>
  </si>
  <si>
    <t>Artificial intelligence impact assessment</t>
  </si>
  <si>
    <t>AI Recht</t>
  </si>
  <si>
    <t>https://airecht.nl/s/Artificial-Intelligence-Impact-Assessment-English.pdf</t>
  </si>
  <si>
    <t>Report on legal aspects of « autonomous vehicles »</t>
  </si>
  <si>
    <t>https://pace.coe.int/files/28721/pdf</t>
  </si>
  <si>
    <t>22/09/2020</t>
  </si>
  <si>
    <t>field-specific issue-specific</t>
  </si>
  <si>
    <t>Artificial Intelligence and Machine Learning: Policy Paper</t>
  </si>
  <si>
    <t>The Internet Society</t>
  </si>
  <si>
    <t>https://www.internetsociety.org/wp-content/uploads/2017/08/ISOC-AI-Policy-Paper_2017-04-27_0.pdf</t>
  </si>
  <si>
    <t>Data Ethics Canvas</t>
  </si>
  <si>
    <t>The Open Data Institute</t>
  </si>
  <si>
    <t>https://theodi.org/wp-content/uploads/2019/07/ODI-Data-Ethics-Canvas-2019-05.pdf</t>
  </si>
  <si>
    <t>Federal Ministry of Education and Research; Federal Ministry for Economic Affairs and Labour and Social Affairs Energy</t>
  </si>
  <si>
    <t>AI Strategy of Catalonia</t>
  </si>
  <si>
    <t>Government of Catalonia (Spain)</t>
  </si>
  <si>
    <t>https://participa.gencat.cat/uploads/decidim/attachment/file/932/Document-Bases-Estrategia-IA-Catalunya-_ENversion.pdf</t>
  </si>
  <si>
    <t>Human Rights in the Robot Age Report</t>
  </si>
  <si>
    <t>The Rathenau Institute</t>
  </si>
  <si>
    <t>same as below</t>
  </si>
  <si>
    <t>State of the art in the use of emerging technologies in the public sector</t>
  </si>
  <si>
    <t>https://www.oecd-ilibrary.org/docserver/932780bc-en.pdf?expires=1700910796&amp;id=id&amp;accname=guest&amp;checksum=689A1C4A9057EEAE212A832629A5FA2A</t>
  </si>
  <si>
    <t>Facial Recognition Principles</t>
  </si>
  <si>
    <t>https://blogs.microsoft.com/on-the-issues/2018/12/06/facial-recognition-its-time-for-action/</t>
  </si>
  <si>
    <t>06/12/2018</t>
  </si>
  <si>
    <t>Ethics of Artificial Intelligence: Case Studies and Options for Addressing Ethical Challenges</t>
  </si>
  <si>
    <t>University of Central Lancashire, University of Nottingham, University De Monfort</t>
  </si>
  <si>
    <t>https://link.springer.com/content/pdf/10.1007/978-3-031-17040-9.pdf</t>
  </si>
  <si>
    <t>Bridges to the future of education: Policy recommendations for the digital age</t>
  </si>
  <si>
    <t>Think 20 (T20)</t>
  </si>
  <si>
    <t>https://t20argentina.org/wp-content/uploads/2018/09/Bridges-to-the-Future-of-Education-Policy-Recommendations-for-the-Digital-Age.pdf</t>
  </si>
  <si>
    <t>The 3rd Insdustrial Revolution Strategy Study</t>
  </si>
  <si>
    <t>Third Industrial Revolution Consulting Group (Luxembourg)</t>
  </si>
  <si>
    <t>http://www.troisiemerevolutionindustrielle.lu/wp-content/uploads/2016/11/TIR-CG_Luxembourg-Final-Report_Long-Version.pdf</t>
  </si>
  <si>
    <t>Universal Guidelines for Artificial Intelligence</t>
  </si>
  <si>
    <t>The Public Voice</t>
  </si>
  <si>
    <t>https://archive.epic.org/international/AIGuidleinesDRAFT20180910.pdf</t>
  </si>
  <si>
    <t>23/10/2018</t>
  </si>
  <si>
    <t>Beijing Artificial Intelligence Principles</t>
  </si>
  <si>
    <t>International Research Center for AI Ethics and Governance</t>
  </si>
  <si>
    <t>https://ai-ethics-and-governance.institute/beijing-artificial-intelligence-principles/</t>
  </si>
  <si>
    <t>Bejing Academy of Artificial Intelligence, Peking University, Tsinghua University, Institute of Automation in Chinese Academy of Sciences, Institute of Computing Technology in Chinese Academy of Sciences, Baidu, Alibaba, Tencent</t>
  </si>
  <si>
    <t>Policy brief on Discrimination at Recruitment and Selection</t>
  </si>
  <si>
    <t>TNO (Netherlands)</t>
  </si>
  <si>
    <t>http://publications.tno.nl/publication/34627249/puJbur/TNO-2018-R11086.pdf</t>
  </si>
  <si>
    <t>Algorithmic Impact Assessment (AIA)</t>
  </si>
  <si>
    <t>https://www.canada.ca/en/government/system/digital-government/digital-government-innovations/responsible-use-ai/algorithmic-impact-assessment.html</t>
  </si>
  <si>
    <t>Directive on Automated Decision-Making</t>
  </si>
  <si>
    <t>https://www.tbs-sct.gc.ca/pol/doc-eng.aspx?id=32592</t>
  </si>
  <si>
    <t>Government of Canada Strategic Plan for Information Management and Information Technology 2017-2021</t>
  </si>
  <si>
    <t>https://www.canada.ca/en/treasury-board-secretariat/services/information-technology/strategic-plan-2017-2021.html</t>
  </si>
  <si>
    <t>Machine learning: the power and promise of computers that learn by example</t>
  </si>
  <si>
    <t>The Royal Society</t>
  </si>
  <si>
    <t>https://royalsociety.org/~/media/policy/projects/machine-learning/publications/machine-learning-report.pdf</t>
  </si>
  <si>
    <t>#BigData: Discrimination in data-supported decision making</t>
  </si>
  <si>
    <t>https://fra.europa.eu/sites/default/files/fra_uploads/fra-2018-focus-big-data_en.pdf</t>
  </si>
  <si>
    <t>National AI Strategy: Unlocking Tunisia’s capabilities potential.</t>
  </si>
  <si>
    <t>Tunisia’s Secretary of State for Research</t>
  </si>
  <si>
    <t>http://www.anpr.tn/national-ai-strategy-unlocking-tunisias-capabilities-potential/.</t>
  </si>
  <si>
    <t>Tunisia</t>
  </si>
  <si>
    <t>AI Ethics Principles</t>
  </si>
  <si>
    <t>Department of Industry, Science, Energy and Resources (Australia)</t>
  </si>
  <si>
    <t>https://www.industry.gov.au/publications/australias-artificial-intelligence-ethics-framework/australias-ai-ethics-principles</t>
  </si>
  <si>
    <t>15/10/2024</t>
  </si>
  <si>
    <t>Study on the impact of predictive technologies and AI on the audiovisual sector, including possible specific measures to put into place in order to ensure freedom of expression and cultural diversity</t>
  </si>
  <si>
    <t>Council of Europe (Eurimages)</t>
  </si>
  <si>
    <t>https://rm.coe.int/eurimages-entering-the-new-paradigm-051219/1680995331</t>
  </si>
  <si>
    <t>State of implementation of the OECD AI Principles</t>
  </si>
  <si>
    <t>https://www.oecd-ilibrary.org/docserver/1cd40c44-en.pdf?expires=1700910832&amp;id=id&amp;accname=guest&amp;checksum=63EB730E37CC61174E065E5F4502C1EF</t>
  </si>
  <si>
    <t>AI Ethics Kakao</t>
  </si>
  <si>
    <t>Kakako Corp</t>
  </si>
  <si>
    <t>https://www.kakaocorp.com/page/responsible/detail/algorithm?lang=ENG&amp;tab=all</t>
  </si>
  <si>
    <t>Feasibility Study on a legal framework on AI design, development and application based on CoE standards</t>
  </si>
  <si>
    <t>https://rm.coe.int/cahai-2020-23-final-eng-feasibility-study-/1680a0c6da</t>
  </si>
  <si>
    <t>17/12/2020</t>
  </si>
  <si>
    <t>The National Artificial Intelligence Research and Development Strategic Plan</t>
  </si>
  <si>
    <t>National Science and Technology Council, Networking and Information Technology Research and Development Subcommittee (US)</t>
  </si>
  <si>
    <t>https://www.nitrd.gov/pubs/national_ai_rd_strategic_plan.pdf</t>
  </si>
  <si>
    <t>Responsible AI practices</t>
  </si>
  <si>
    <t>https://ai.google/responsibilities/responsible-ai-practices/</t>
  </si>
  <si>
    <t>tech, practices</t>
  </si>
  <si>
    <t>United Nations Activities on Artificial Intelligence (AI) 2021</t>
  </si>
  <si>
    <t>United Nations (ITU)</t>
  </si>
  <si>
    <t>https://www.itu.int/hub/publication/s-gen-unact-2021/</t>
  </si>
  <si>
    <t>Report of the Special Rapporteur on the right to privacy</t>
  </si>
  <si>
    <t>https://ohchr.org/EN/HRBodies/HRC/RegularSessions/Session37/Documents/A_HRC_37_62_EN.docx</t>
  </si>
  <si>
    <t>Stop explaining black box machine learning models for high stakes decisions and use interpretable models instead</t>
  </si>
  <si>
    <t>University of Duke</t>
  </si>
  <si>
    <t>https://arxiv.org/pdf/1811.10154.pdf</t>
  </si>
  <si>
    <t>22/09/2019</t>
  </si>
  <si>
    <t>United Nations Development Program - Digital Strategy 2022-2025</t>
  </si>
  <si>
    <t>United Nations (UNDP)</t>
  </si>
  <si>
    <t>https://digitalstrategy.undp.org/documents/Digital-Strategy-2022-2025-Full-Document_ENG_Interactive.pdf</t>
  </si>
  <si>
    <t>Report on the Risks and Benefits of Artificial Intelligence and Robotics (link broken)</t>
  </si>
  <si>
    <t>United Nations (UNICRI)</t>
  </si>
  <si>
    <t>http://unicri.it/in_focus/files/Report_UNICRI_Cambridge_Workshop_Feb_2017.pdf</t>
  </si>
  <si>
    <t>Artificial Intelligence. The Public Policy Opportunity</t>
  </si>
  <si>
    <t>https://community.intel.com/legacyfs/online/files/Intel-Artificial-Intelligence-Public-Policy-White-Paper-2017.pdf</t>
  </si>
  <si>
    <t>Regulating AI to protect the consumer: Position Paper on the AI Act</t>
  </si>
  <si>
    <t>Bureau européen des Unions des Consommateurs (BEUC)</t>
  </si>
  <si>
    <t>https://www.beuc.eu/publications/beuc-x-2021-088_regulating_ai_to_protect_the_consumer.pdf</t>
  </si>
  <si>
    <t>07/10/2021</t>
  </si>
  <si>
    <t>Opinion of the Data Ethics Commission on the National AI strategy</t>
  </si>
  <si>
    <t>https://www.bmi.bund.de/SharedDocs/downloads/EN/themen/it-digital-policy/datenethikkommission-abschlussgutachten-lang.pdf?__blob=publicationFile&amp;v=5</t>
  </si>
  <si>
    <t>Defining AMIA's artificial intelligence principles</t>
  </si>
  <si>
    <t>American Medical Informatics Association (AMIA)</t>
  </si>
  <si>
    <t>https://academic.oup.com/jamia/article/29/4/585/6534106?login=true</t>
  </si>
  <si>
    <t>Anthony E Solomonides, Eileen Koski, Shireen M Atabaki, Scott Weinberg, John D McGreevey, Joseph L Kannry, Carolyn Petersen, Christoph U Lehmann</t>
  </si>
  <si>
    <t>04/04/2022</t>
  </si>
  <si>
    <t>AI in the UK: ready, willing and able?</t>
  </si>
  <si>
    <t>UK House of Lords, Select Committee on Artificial Intelligence</t>
  </si>
  <si>
    <t>https://publications.parliament.uk/pa/ld201719/ldselect/ldai/100/100.pdf</t>
  </si>
  <si>
    <t>13/03/2018</t>
  </si>
  <si>
    <t>Digitalwallonia4AI</t>
  </si>
  <si>
    <t>Walloon Government (Belgium)</t>
  </si>
  <si>
    <t>https://www.digitalwallonia.be/en/posts/wallonia-digital-strategy/</t>
  </si>
  <si>
    <t>30/08/2022</t>
  </si>
  <si>
    <t>Artificial Intelligence and Education: A critical view through the lens of human rights, democracy and the rule of law</t>
  </si>
  <si>
    <t>Council of Europe (Education Department)</t>
  </si>
  <si>
    <t>https://rm.coe.int/prems-092922-gbr-2517-ai-and-education-txt-16x24-web/1680a956e3</t>
  </si>
  <si>
    <t>Developing a Shared Vision of Ethical AI in Education: An Invitation to Participate</t>
  </si>
  <si>
    <t>University of Buckingham</t>
  </si>
  <si>
    <t>https://www.buckingham.ac.uk/wp-content/uploads/2020/09/Developing-a-Shared-Vision-of-Ethical-AI-in-Education-An-Invitation-to-Participate.pdf</t>
  </si>
  <si>
    <t>Draft text of the Recommendation on the ethics of artificial intelligence</t>
  </si>
  <si>
    <t>https://unesdoc.unesco.org/ark:/48223/pf0000377897?posInSet=6&amp;queryId=2dd9f054-a205-46ca-8cd4-11a0d475e978</t>
  </si>
  <si>
    <t>I'd blush if I could</t>
  </si>
  <si>
    <t>https://en.unesco.org/news/first-unesco-recommendations-combat-gender-bias-applications-using-artificial-intelligence</t>
  </si>
  <si>
    <t>Human rights impact assessment of digital activities</t>
  </si>
  <si>
    <t>The Danish Institute for Human Rights</t>
  </si>
  <si>
    <t>https://www.humanrights.dk/files/media/document/A%20HRIA%20of%20Digital%20Activities%20-%20Introduction_ENG_accessible.pdf</t>
  </si>
  <si>
    <t>Preliminary study on the Ethics of Artificial Intelligence</t>
  </si>
  <si>
    <t>https://unesdoc.unesco.org/ark:/48223/pf0000367823</t>
  </si>
  <si>
    <t>Regulating for European AI that Protects and Advances Equality</t>
  </si>
  <si>
    <t>https://ai.equineteurope.org/system/files/2022-06/Equinet-Position-Paper-on-AI-and-Equality.pdf</t>
  </si>
  <si>
    <t>European Declaration on Digital Rights and Principles for the Digital Decade</t>
  </si>
  <si>
    <t>European Union</t>
  </si>
  <si>
    <t>https://ec.europa.eu/newsroom/dae/redirection/document/92399</t>
  </si>
  <si>
    <t>12/12/2022</t>
  </si>
  <si>
    <t>Business Ethics and Artificial Intelligence</t>
  </si>
  <si>
    <t>Institute of Business Ethics</t>
  </si>
  <si>
    <t>https://www.ibe.org.uk/uploads/assets/5f167681-e05f-4fae-ae1bef7699625a0d/ibebriefing58businessethicsandartificialintelligence.pdf</t>
  </si>
  <si>
    <t>Principles for the safe and effective use of data and analytics</t>
  </si>
  <si>
    <t>Stats New Zealand and Office of the Privacy Commissioner</t>
  </si>
  <si>
    <t>https://www.privacy.org.nz/assets/New-order/Resources-/Publications/Guidance-resources/Principles-for-the-safe-and-effective-use-of-data-and-analytics-guidance3.pdf</t>
  </si>
  <si>
    <t>Toward a draft text of a Recommendation on the Ethics of Artificial Intelligence (working document)</t>
  </si>
  <si>
    <t>https://unesdoc.unesco.org/ark:/48223/pf0000373199</t>
  </si>
  <si>
    <t>Study Requested by the Committee on Industry, Research Energy, European AI leadership</t>
  </si>
  <si>
    <t>http://www.europarl.europa.eu/RegData/etudes/STUD/2018/626074/IPOL_STU(2018)626074_EN.pdf</t>
  </si>
  <si>
    <t>AI, human rights, democracy and the rule of law: A primer prepared for the Council of Europe</t>
  </si>
  <si>
    <t>The Alan Turing Institute, Council of Europe</t>
  </si>
  <si>
    <t>https://www.turing.ac.uk/sites/default/files/2021-03/cahai_feasibility_study_primer_final.pdf</t>
  </si>
  <si>
    <t>national authority, academia, international organisation &gt; IGO</t>
  </si>
  <si>
    <t>Report on Big Data and Health</t>
  </si>
  <si>
    <t>http://unesdoc.unesco.org/images/0024/002487/248724e.pdf</t>
  </si>
  <si>
    <t>15/09/2017</t>
  </si>
  <si>
    <t>Declaration on Ethics and Data Protection in Artificial Intelligence</t>
  </si>
  <si>
    <t>International Conference of Data Protection and Privacy Commissioners (ICDPPC)</t>
  </si>
  <si>
    <t>http://globalprivacyassembly.org/wp-content/uploads/2018/10/20180922_ICDPPC-40th_AI-Declaration_ADOPTED.pdf</t>
  </si>
  <si>
    <t>Commission Nationale de l’Informatique et des Libertés (CNIL), France, European Data Protection Supervisor (EDPS), European Union, Garante per la protezione dei dati personali, Italy, Agencia de Acceso a la Información Pública, Argentina, Commission d’accès à l’information, Québec, Canada, Datatilsynet (Data Inspectorate), Norway, Information Commissioner’s Office (ICO), United Kingdom, Préposé fédéral à la protection des données et à la transparence, Switzerland, Data protection Authority, Belgium, Privacy Commissioner for Personal Data, Hong-Kong, Data protection Commission, Ireland, Data Protection Office, Poland, Instituto Nacional de Transparencia, Acceso a la Información y Protección de Datos Personales (INAI), Mexico, National Authority for Data Protection and Freedom of Information, Hungary, Federal Commissioner for Data Protection and Freedom of Information, Germany, Office of the Privacy Commissioner (OPC), Canada, National Privacy Commission, Philippines</t>
  </si>
  <si>
    <t>mixed countries</t>
  </si>
  <si>
    <t>Report on Justice by algorithm (the role of artificial intelligence in policing and criminal justice systems)</t>
  </si>
  <si>
    <t>https://pace.coe.int/files/28723/pdf</t>
  </si>
  <si>
    <t>L'intelligence artificielle dans l'administration publique au Québec</t>
  </si>
  <si>
    <t>Université de Laval</t>
  </si>
  <si>
    <t>https://www.administration-numerique.chaire.ulaval.ca/sites/administration-numerique.chaire.ulaval.ca/files/uploads/Cahier%20%235%20-%20IA%20au%20Qu%C3%A9bec%20(2).pdf</t>
  </si>
  <si>
    <t>Recommendation on Human Rights Impacts of Algorithmic Systems</t>
  </si>
  <si>
    <t>https://search.coe.int/cm/pages/result_details.aspx?objectid=09000016809e1154</t>
  </si>
  <si>
    <t>08/04/2020</t>
  </si>
  <si>
    <t>Report on AI and Data Protection Challenges and Possible Remedies</t>
  </si>
  <si>
    <t>https://rm.coe.int/artificial-intelligence-and-data-protection-challenges-and-possible-re/168091f8a6</t>
  </si>
  <si>
    <t>Artificial Intelligence and the Future of Work</t>
  </si>
  <si>
    <t>DGB</t>
  </si>
  <si>
    <t>https://www.dgb.de/themen/++co++4f242f08-18a7-11e9-b2c1-52540088cada initial url not working, new url: https://www.google.com/url?sa=t&amp;rct=j&amp;q=&amp;esrc=s&amp;source=web&amp;cd=&amp;ved=2ahUKEwiZ6a3w0_iCAxVlUKQEHcsnDN4QFnoECBIQAQ&amp;url=https%3A%2F%2Fwww.dgb.de%2Fthemen%2F%2B%2Bco%2B%2B29d3ee00-4efd-11e9-82a1-52540088cada&amp;usg=AOvVaw2uchumi-lETfyju8MafQcQ&amp;opi=89978449</t>
  </si>
  <si>
    <t>SPI, digital, issue-specific</t>
  </si>
  <si>
    <t>https://www.gov.uk/government/publications/guidelines-for-ai-procurement/guidelines-for-ai-procurement</t>
  </si>
  <si>
    <t>08/06/2020</t>
  </si>
  <si>
    <t>Putting AI ethics to work: are the tools fit for purpose?</t>
  </si>
  <si>
    <t>University of Southampton</t>
  </si>
  <si>
    <t>https://www.researchgate.net/publication/354540868_Putting_AI_ethics_to_work_are_the_tools_fit_for_purpose/fulltext/613ea4a001846e45ef44fa36/Putting-AI-ethics-to-work-are-the-tools-fit-for-purpose.pdf</t>
  </si>
  <si>
    <t>10/08/2021</t>
  </si>
  <si>
    <t>Design Ethically Toolkit</t>
  </si>
  <si>
    <t>https://www.designethically.com/toolkit</t>
  </si>
  <si>
    <t>Automated and connected automated driving - Automatisiertes und Vernetztes Fahren</t>
  </si>
  <si>
    <t>Ethics Committee of the Federal Ministry of Transport and Digital Infrastructure (BMVI) - Ethkikkommission des Bundesministeriums für Verkehr und digitale Infrastruktur (Germany)</t>
  </si>
  <si>
    <t>https://www.bmdv.bund.de/SharedDocs/EN/publications/report-ethics-commission-automated-and-connected-driving.pdf?__blob=publicationFile</t>
  </si>
  <si>
    <t>Guidelines on facial recognition</t>
  </si>
  <si>
    <t>https://rm.coe.int/guidelines-on-facial-recognition/1680a134f3</t>
  </si>
  <si>
    <t>28/01/2021</t>
  </si>
  <si>
    <t>The ethical issues of the application of artificial intelligence in healthcare: a systematic scoping review</t>
  </si>
  <si>
    <t>University of Maastricht</t>
  </si>
  <si>
    <t>https://link.springer.com/content/pdf/10.1007/s43681-021-00131-7.pdf</t>
  </si>
  <si>
    <t>Pervade project: Pervasive Data Ethics for computanional research</t>
  </si>
  <si>
    <t>University of Maryland</t>
  </si>
  <si>
    <t>Artificial Intelligence diplomacy</t>
  </si>
  <si>
    <t>https://www.europarl.europa.eu/RegData/etudes/STUD/2021/662926/IPOL_STU(2021)662926_EN.pdf</t>
  </si>
  <si>
    <t>Charlevoix Common Vision for the Future of Artificial Intelligence</t>
  </si>
  <si>
    <t>G7</t>
  </si>
  <si>
    <t>https://www.mofa.go.jp/files/000373837.pdf</t>
  </si>
  <si>
    <t>Oxford - Munich code of conduct</t>
  </si>
  <si>
    <t>University of Oxford, University of Granada</t>
  </si>
  <si>
    <t>http://www.code-of-ethics.org/code-of-conduct/</t>
  </si>
  <si>
    <t>not found</t>
  </si>
  <si>
    <t>Report with recommendations to the Commission on Civil Law Rules on Robotics</t>
  </si>
  <si>
    <t>https://www.europarl.europa.eu/doceo/document/A-8-2017-0005_EN.html</t>
  </si>
  <si>
    <t>27/01/2017</t>
  </si>
  <si>
    <t>AI Code of Ethics</t>
  </si>
  <si>
    <t>Commission for the Implementation of the Code of Ethics in the Field of Artificial Intelligence</t>
  </si>
  <si>
    <t>https://ethics.a-ai.ru/assets/ethics_files/2023/05/12/AI_ETHICS_CODE_10_01_1.pdf</t>
  </si>
  <si>
    <t>12/05/2023</t>
  </si>
  <si>
    <t>AI Index 2018</t>
  </si>
  <si>
    <t>http://cdn.aiindex.org/2018/AI%20Index%202018%20Annual%20Report.pdf</t>
  </si>
  <si>
    <t>Ethics in robotics research. CERNA Mission and Context</t>
  </si>
  <si>
    <t>CERNA (Allistene)</t>
  </si>
  <si>
    <t>https://hal.archives-ouvertes.fr/hal-01849092/document</t>
  </si>
  <si>
    <t>27/07/2018</t>
  </si>
  <si>
    <t>Human rights in the age of Artificial Intelligence</t>
  </si>
  <si>
    <t>Access Now</t>
  </si>
  <si>
    <t>https://www.accessnow.org/cms/assets/uploads/2018/11/AI-and-Human-Rights.pdf</t>
  </si>
  <si>
    <t>Artificial Intelligence in Society</t>
  </si>
  <si>
    <t>https://www.oecd-ilibrary.org/sites/eedfee77-en/index.html?itemId=/content/publication/eedfee77-en</t>
  </si>
  <si>
    <t>11/06/2019</t>
  </si>
  <si>
    <t>Intel Recommends Public Policy Principles for Artificial Intelligence</t>
  </si>
  <si>
    <t>https://community.intel.com/t5/Blogs/Intel/Policy-Intel/Intel-Recommends-Public-Policy-Principles-for-Artificial/post/1333004</t>
  </si>
  <si>
    <t>Naveen Rao</t>
  </si>
  <si>
    <t>18/10/2017</t>
  </si>
  <si>
    <t>The Ethics of AI Ethics - An Evaluation of Guidelines</t>
  </si>
  <si>
    <t>University of Tübingen</t>
  </si>
  <si>
    <t>https://link.springer.com/article/10.1007/s11023-020-09517-8</t>
  </si>
  <si>
    <t>Algorithms and fundamental rights - Algoritmes en grondrechten</t>
  </si>
  <si>
    <t>University of Utrecht</t>
  </si>
  <si>
    <t>https://www.uu.nl/sites/default/files/rebo-montaigne-algoritmes_en_grondrechten.pdf</t>
  </si>
  <si>
    <t>Data Ethics Decision Aid (DEDA)</t>
  </si>
  <si>
    <t>University of Utrecht, University of Duisburg</t>
  </si>
  <si>
    <t>https://dataschool.nl/en/deda/</t>
  </si>
  <si>
    <t>Leading the way into the age of artiﬁcial intelligence</t>
  </si>
  <si>
    <t>http://julkaisut.valtioneuvosto.fi/bitstream/handle/10024/161688/41_19_Leading%20the%20way%20into%20the%20age%20of%20artificial%20intelligence.pdf</t>
  </si>
  <si>
    <t>12/06/2019</t>
  </si>
  <si>
    <t>Künstliche Intelligenz – Gemeinwohl als Maßstabm Gute Arbeit als Prinzip</t>
  </si>
  <si>
    <t>Ver.di</t>
  </si>
  <si>
    <t>https://www.verdi.de/++file++5d8240de2193fb3d0b019e30/download/ver.di-Diskussionspapier%20zu%20KI-Leitlinien%20fu%CC%88r%20Gemeinwohl%20und%20Gute%20Arbeit_2019.pdf</t>
  </si>
  <si>
    <t>Verivox/Pro7 Selbstverpflichtung (Commitment)</t>
  </si>
  <si>
    <t>Verivox</t>
  </si>
  <si>
    <t>https://www.verivox.de/company/selbstverpflichtung/</t>
  </si>
  <si>
    <t>Vodafone AI Framework</t>
  </si>
  <si>
    <t>Vodafone Group</t>
  </si>
  <si>
    <t>https://www.vodafone.com/about-vodafone/how-we-operate/public-policy/policy-positions/artificial-intelligence-framework</t>
  </si>
  <si>
    <t>AI Sector Deal</t>
  </si>
  <si>
    <t>https://www.gov.uk/government/publications/artificial-intelligence-sector-deal/ai-sector-deal</t>
  </si>
  <si>
    <t>21/05/2019</t>
  </si>
  <si>
    <t>Introducing Unity’s Guiding Principles for Ethical AI – Unity Blog</t>
  </si>
  <si>
    <t>Unity Technologies</t>
  </si>
  <si>
    <t>https://blog.unity.com/technology/introducing-unitys-guiding-principles-for-ethical-ai</t>
  </si>
  <si>
    <t>28/11/2018</t>
  </si>
  <si>
    <t>Biometric Recognition and Behavioural Detection</t>
  </si>
  <si>
    <t>https://www.europarl.europa.eu/RegData/etudes/STUD/2021/696968/IPOL_STU(2021)696968_EN.pdf</t>
  </si>
  <si>
    <t>White Paper: How to Prevent Discriminatory Outcomes in Machine Learning</t>
  </si>
  <si>
    <t>WEF, Global Future Council on Human Rights 2016-2018</t>
  </si>
  <si>
    <t>https://www3.weforum.org/docs/WEF_40065_White_Paper_How_to_Prevent_Discriminatory_Outcomes_in_Machine_Learning.pdf</t>
  </si>
  <si>
    <t>same as A724</t>
  </si>
  <si>
    <t>Executive Order on Maintaining American Leadership in Artificial Intelligence</t>
  </si>
  <si>
    <t>White House (US)</t>
  </si>
  <si>
    <t>https://www.whitehouse.gov/presidential-actions/executive-order-maintaining-american-leadership-artificial-intelligence/</t>
  </si>
  <si>
    <t>Guidance for Regulation of Artificial Intelligence Applications</t>
  </si>
  <si>
    <t>https://www.whitehouse.gov/wp-content/uploads/2020/11/M-21-06.pdf</t>
  </si>
  <si>
    <t>AI Portugal 2030</t>
  </si>
  <si>
    <t>Coordination Office of INCoDe.2030 Initiative, Portuguese Science and Technology Foundation (FCT), Portuguese Innovation Agency (ANI), Ciência Viva and the Portuguese Agency for Administrative Modernisation (AMA)</t>
  </si>
  <si>
    <t>https://www.portugal.gov.pt/download-ficheiros/ficheiro.aspx?v=%3D%3DBAAAAB%2BLCAAAAAAABACzMDQxAQC3h%2ByrBAAAAA%3D%3D</t>
  </si>
  <si>
    <t>Portugal</t>
  </si>
  <si>
    <t>Position on Robotics and Artificial Intelligence</t>
  </si>
  <si>
    <t>The Greens (Green Working Group Robots)</t>
  </si>
  <si>
    <t>https://felixreda.eu/wp-content/uploads/2017/02/Green-Digital-Working-Group-Position-on-Robotics-and-Artificial-Intelligence-2016-11-22.pdf</t>
  </si>
  <si>
    <t>11/2016</t>
  </si>
  <si>
    <t>AI procurement in a box: AI government procurement guidelines.</t>
  </si>
  <si>
    <t>https://www3.weforum.org/docs/WEF_AI_Procurement_in_a_Box_Project_Overview_2020.pdf</t>
  </si>
  <si>
    <t>Twitter Moments guidelines and principles</t>
  </si>
  <si>
    <t>Twitter</t>
  </si>
  <si>
    <t>https://help.twitter.com/en/rules-and-policies/twitter-moments-guidelines-and-principles</t>
  </si>
  <si>
    <t>Sony Group AI Ethics Guidelines</t>
  </si>
  <si>
    <t>Sony</t>
  </si>
  <si>
    <t>https://www.sony.com/en/SonyInfo/sony_ai/responsible_ai.html</t>
  </si>
  <si>
    <t>Artificial intelligence in Swedish business and society</t>
  </si>
  <si>
    <t>Sweden’s innovation agency (Vinnova)</t>
  </si>
  <si>
    <t>https://www.vinnova.se/contentassets/72ddc02d541141258d10d60a752677df/vr-18_12.pdf?cb=20180924082158</t>
  </si>
  <si>
    <t>12/2018</t>
  </si>
  <si>
    <t>QCRI Center for Artificial Intelligence</t>
  </si>
  <si>
    <t>Qatar Computing Research Institute (QCRI)</t>
  </si>
  <si>
    <t>https://www.hbku.edu.qa/en/qcri/center-artificial-intelligence</t>
  </si>
  <si>
    <t>Qatar</t>
  </si>
  <si>
    <t>Ambitious, safe, responsible: our approach to the delivery of AI-enabled capability in Defence</t>
  </si>
  <si>
    <t>UK Ministry of Defence</t>
  </si>
  <si>
    <t>https://www.gov.uk/government/publications/ambitious-safe-responsible-our-approach-to-the-delivery-of-ai-enabled-capability-in-defence/ambitious-safe-responsible-our-approach-to-the-delivery-of-ai-enabled-capability-in-defence#annex-a-ethical-principles-for-ai-in-defence</t>
  </si>
  <si>
    <t>15/06/2022</t>
  </si>
  <si>
    <t>AI Now 2018 Report</t>
  </si>
  <si>
    <t>https://ainowinstitute.org/wp-content/uploads/2023/04/AI_Now_2018_Report.pdf</t>
  </si>
  <si>
    <t>Building a National AI Research Resource: A Blueprint for the National Research Cloud  National  AI Research  Resource: A Blueprint for  the National  Research Cloud</t>
  </si>
  <si>
    <t>HAI, University of Stanford, Stanford Law School</t>
  </si>
  <si>
    <t>https://hai.stanford.edu/sites/default/files/2021-10/HAI_NRCR_2021_0.pdf</t>
  </si>
  <si>
    <t>issue-specific, field-specific</t>
  </si>
  <si>
    <t>Generating evidence for artificial intelligence-based medical devices: A framework for training, validation and evaluation</t>
  </si>
  <si>
    <t>https://www.who.int/publications/i/item/9789240038462</t>
  </si>
  <si>
    <t>Report on preventing discrimination caused by the use of artificial intelligence</t>
  </si>
  <si>
    <t>https://pace.coe.int/files/28715/pdf</t>
  </si>
  <si>
    <t>29/09/2020</t>
  </si>
  <si>
    <t>Artificial Intelligence. Australia's Ethics Framework. A discussion paper</t>
  </si>
  <si>
    <t>Australian Government - Department of Industry Innovation and Science</t>
  </si>
  <si>
    <t>https://www.csiro.au/-/media/D61/Reports/Artificial-Intelligence-ethics-framework.pdf</t>
  </si>
  <si>
    <t>Dawson D, Schleiger E, Horton J, McLaughlin J, Robinson C, Quezada G, Scowcroft J, Hajkowicz S</t>
  </si>
  <si>
    <t>CSIRO, Data61</t>
  </si>
  <si>
    <t>Artificial Intelligence in public services - Overview of the use and impact of AI in public services in the EU</t>
  </si>
  <si>
    <t>https://publications.jrc.ec.europa.eu/repository/bitstream/JRC120399/jrc120399_misuraca-ai-watch_public-services_30062020_def.pdf</t>
  </si>
  <si>
    <t>30/06/2020</t>
  </si>
  <si>
    <t>Total général</t>
  </si>
  <si>
    <t>Title</t>
  </si>
  <si>
    <t>Aina</t>
  </si>
  <si>
    <t>Academia</t>
  </si>
  <si>
    <t>Matthieu</t>
  </si>
  <si>
    <t>COUNTA de Sector</t>
  </si>
  <si>
    <t>SUM de Maria</t>
  </si>
  <si>
    <t>SUM de Aina</t>
  </si>
  <si>
    <t>SUM de Simon</t>
  </si>
  <si>
    <t>International organisation</t>
  </si>
  <si>
    <t>National authority</t>
  </si>
  <si>
    <t>international organisation</t>
  </si>
  <si>
    <t>multistakeholders</t>
  </si>
  <si>
    <t>Private sector, Civil society</t>
  </si>
  <si>
    <t>(Funded by the The Information Accountability Foundation, which is a non profit think tank financed by american compagnies)</t>
  </si>
  <si>
    <t>Private sector</t>
  </si>
  <si>
    <t>Academia, International organisation</t>
  </si>
  <si>
    <t>(Fondé/interlocuteur de la commision européenne)</t>
  </si>
  <si>
    <t>(Only universities, funded by grants/universities)</t>
  </si>
  <si>
    <t>Civil society</t>
  </si>
  <si>
    <t>Academia, Civil society</t>
  </si>
  <si>
    <t>(?)</t>
  </si>
  <si>
    <t>Civil society, Academia</t>
  </si>
  <si>
    <t xml:space="preserve">Pas trouvé le document </t>
  </si>
  <si>
    <t>Civil Society</t>
  </si>
  <si>
    <t>interational organisation</t>
  </si>
  <si>
    <t xml:space="preserve">COUNTA de </t>
  </si>
  <si>
    <t>SUM de Matthieu</t>
  </si>
  <si>
    <t>academia, national authority</t>
  </si>
  <si>
    <t>private sector, civil society</t>
  </si>
  <si>
    <t>civil society, national authority</t>
  </si>
  <si>
    <t>academia, private sector, national authority</t>
  </si>
  <si>
    <t>civil society, academia</t>
  </si>
  <si>
    <t>civil society, international organisation</t>
  </si>
  <si>
    <t>international organisation, civil society</t>
  </si>
  <si>
    <t>civil society, private sector</t>
  </si>
  <si>
    <t>international organisation, academia</t>
  </si>
  <si>
    <t>unsure?</t>
  </si>
  <si>
    <t>justification (when unsure / if needed for discussion)</t>
  </si>
  <si>
    <r>
      <rPr>
        <rFont val="Calibri"/>
        <color theme="1"/>
      </rPr>
      <t xml:space="preserve">"The AI Index is an independent initiative at the Stanford Institute for Human-Centered Artificial Intelligence (HAI), led by the AI Index Steering Committee, an interdisciplinary group of experts </t>
    </r>
    <r>
      <rPr>
        <rFont val="Calibri"/>
        <b/>
        <color theme="1"/>
      </rPr>
      <t>from across academia and industry</t>
    </r>
    <r>
      <rPr>
        <rFont val="Calibri"/>
        <color theme="1"/>
      </rPr>
      <t>"</t>
    </r>
  </si>
  <si>
    <t>SRI, OpenAI... + Stanford, MIT...</t>
  </si>
  <si>
    <t>VERY UNSURE</t>
  </si>
  <si>
    <t>(mostly researchers, but funded by EU and wants to promote links with industry)</t>
  </si>
  <si>
    <t>cigref = "Réseau de grandes entreprises et administration publiques françaises"</t>
  </si>
  <si>
    <t>academia, international organisation</t>
  </si>
  <si>
    <t>cahai (int org) + alan turing (academia)</t>
  </si>
  <si>
    <r>
      <rPr>
        <rFont val="Calibri"/>
        <color theme="1"/>
      </rPr>
      <t>"This</t>
    </r>
    <r>
      <rPr>
        <rFont val="Calibri"/>
        <b/>
        <color theme="1"/>
      </rPr>
      <t xml:space="preserve"> independent</t>
    </r>
    <r>
      <rPr>
        <rFont val="Calibri"/>
        <color theme="1"/>
      </rPr>
      <t xml:space="preserve"> review, carried out by Dame Wendy Hall FRS FREng (Regius Professor of Computer Science, </t>
    </r>
    <r>
      <rPr>
        <rFont val="Calibri"/>
        <b/>
        <color theme="1"/>
      </rPr>
      <t>University of Southampton</t>
    </r>
    <r>
      <rPr>
        <rFont val="Calibri"/>
        <color theme="1"/>
      </rPr>
      <t>) and Jérôme Pesenti (</t>
    </r>
    <r>
      <rPr>
        <rFont val="Calibri"/>
        <b/>
        <color theme="1"/>
      </rPr>
      <t>CEO, BenevelentTech</t>
    </r>
    <r>
      <rPr>
        <rFont val="Calibri"/>
        <color theme="1"/>
      </rPr>
      <t>)"</t>
    </r>
  </si>
  <si>
    <t>centre for governance of AI = civil society, future of humanity institute = academia</t>
  </si>
  <si>
    <t>national authority, academia, private sector</t>
  </si>
  <si>
    <t>I understood "AI Now" as a research institute within academia and here it is described as a series of events organized by the government (and including people from academia and industry)</t>
  </si>
  <si>
    <r>
      <rPr>
        <rFont val="Calibri"/>
        <color theme="1"/>
      </rPr>
      <t>"On March, 4th 1968, representatives of 50 scientific and technical associations from all over the world met under the auspices of the United Nations Educational, Scientific and Cultural Organization (</t>
    </r>
    <r>
      <rPr>
        <rFont val="Calibri"/>
        <b/>
        <color theme="1"/>
      </rPr>
      <t>UNESCO</t>
    </r>
    <r>
      <rPr>
        <rFont val="Calibri"/>
        <color theme="1"/>
      </rPr>
      <t xml:space="preserve">) in Paris to establish the World Federation of Engineering Organizations (WFEO), whose charter as an </t>
    </r>
    <r>
      <rPr>
        <rFont val="Calibri"/>
        <b/>
        <color theme="1"/>
      </rPr>
      <t>international, non-governmental organisation</t>
    </r>
    <r>
      <rPr>
        <rFont val="Calibri"/>
        <color theme="1"/>
      </rPr>
      <t xml:space="preserve"> is to unite multidisciplinary engineering associations throughout the world."</t>
    </r>
  </si>
  <si>
    <t>(notes) RFI=request for information, TBS=Treasury Board of Canada Secretariat, link outdated</t>
  </si>
  <si>
    <r>
      <rPr>
        <rFont val="Calibri"/>
        <color theme="1"/>
      </rPr>
      <t xml:space="preserve">European comission + JRC ("Scientists at the Joint Research Centre (JRC) carry out research in various fields to provide </t>
    </r>
    <r>
      <rPr>
        <rFont val="Calibri"/>
        <b/>
        <color theme="1"/>
      </rPr>
      <t>independent</t>
    </r>
    <r>
      <rPr>
        <rFont val="Calibri"/>
        <color theme="1"/>
      </rPr>
      <t xml:space="preserve"> advice to </t>
    </r>
    <r>
      <rPr>
        <rFont val="Calibri"/>
        <b/>
        <color theme="1"/>
      </rPr>
      <t>EU policymakers</t>
    </r>
    <r>
      <rPr>
        <rFont val="Calibri"/>
        <color theme="1"/>
      </rPr>
      <t xml:space="preserve"> and put science at the heart of European policies.")</t>
    </r>
  </si>
  <si>
    <t>https://hai.stanford.edu/assets/files/hai_ai_index_report_2025.pdf</t>
  </si>
  <si>
    <t>2025</t>
  </si>
  <si>
    <t>academia, multistakeholder</t>
  </si>
  <si>
    <t>https://eur-lex.europa.eu/resource.html?uri=cellar:12e835e2-81af-11eb-9ac9-01aa75ed71a1.0001.02/DOC_1&amp;format=PDF</t>
  </si>
  <si>
    <t>industry</t>
  </si>
  <si>
    <t>n annotateurs</t>
  </si>
  <si>
    <t>Fleiss Kappa</t>
  </si>
  <si>
    <t>international organization</t>
  </si>
  <si>
    <t>n docs</t>
  </si>
  <si>
    <t>Matrice M(n,k), avec n le nombre de documents, k le nombre de catégories possibles, dans laquelle M(i,j) correspond au nombre d'annotateurs ayant attribué la catégorie j au doc i.</t>
  </si>
  <si>
    <t>Accord pour l'item i</t>
  </si>
  <si>
    <t>accord moyen observé</t>
  </si>
  <si>
    <t>accord attendu</t>
  </si>
  <si>
    <t>Kappa</t>
  </si>
  <si>
    <t>Proportions par catégorie</t>
  </si>
  <si>
    <t>check</t>
  </si>
  <si>
    <t>Documents in the list</t>
  </si>
  <si>
    <t>Number of documents to classify / pers = 181</t>
  </si>
  <si>
    <t>Crawled</t>
  </si>
  <si>
    <t>Not crawled</t>
  </si>
  <si>
    <t>Total</t>
  </si>
  <si>
    <t>COUNTA de Status</t>
  </si>
  <si>
    <t>Gornet-Viard</t>
  </si>
  <si>
    <t>Documents in commun (Excel Sheet)</t>
  </si>
  <si>
    <t>COUNTA de Label</t>
  </si>
  <si>
    <t>Total pour included</t>
  </si>
  <si>
    <t>Total pour maybe</t>
  </si>
  <si>
    <t>Total pour Not included</t>
  </si>
  <si>
    <t>Documents in commun (Crawled)</t>
  </si>
  <si>
    <t>Affiliation</t>
  </si>
  <si>
    <t>Countries</t>
  </si>
  <si>
    <t>Year</t>
  </si>
  <si>
    <t>INDEX</t>
  </si>
  <si>
    <t>TOCHECK</t>
  </si>
  <si>
    <t>Simon/Tiphaine</t>
  </si>
  <si>
    <t>Simon/Maria</t>
  </si>
  <si>
    <t>Tiphaine/Maria</t>
  </si>
  <si>
    <t>Aggreement</t>
  </si>
  <si>
    <r>
      <rPr>
        <color rgb="FF0563C1"/>
        <sz val="11.0"/>
      </rPr>
      <t xml:space="preserve">https://www.accenture.com/t20160629T012639Z__w__/us-en/_acnmedia/PDF-24/Accenture-Universal-Principles-Data-Ethics.pdf new URL </t>
    </r>
    <r>
      <rPr>
        <color rgb="FF1155CC"/>
        <sz val="11.0"/>
        <u/>
      </rPr>
      <t>https://fr.scribd.com/document/450122018/Accenture-Universal-Principles-Data-Ethics#</t>
    </r>
  </si>
  <si>
    <t>Inter reliability Agreement</t>
  </si>
  <si>
    <t>https://artificialintelligencenow.com/media/documents/AINowSummaryReport_3_RpmwKHu.pdf</t>
  </si>
  <si>
    <t>Output from SPSS</t>
  </si>
  <si>
    <t>https://www.acr.org/-/media/ACR/Files/Informatics/Ethics-of-AI-in-Radiology-European-and-North-American-Multisociety-Statement--6-13-2019.pdf</t>
  </si>
  <si>
    <t>https://enterprise.gov.ie/en/Consultations/Public-Consultation-Development-of-a-National-Strategy-on-Artificial-Intelligence.html.</t>
  </si>
  <si>
    <t>https://www.europarl.europa.eu/RegData/etudes/STUD/2021/662908/IPOL_STU(2021)662908_EN.pdf</t>
  </si>
  <si>
    <t>https://oeil.secure.europarl.europa.eu/oeil/popups/ficheprocedure.do?lang=&amp;reference=2018/2088(INI)</t>
  </si>
  <si>
    <t>https://www.digitalroadmap.gv.at/en/</t>
  </si>
  <si>
    <r>
      <rPr>
        <color rgb="FF0563C1"/>
        <sz val="11.0"/>
      </rPr>
      <t xml:space="preserve">https://www.accenture.com/t20160629T012639Z__w__/us-en/_acnmedia/PDF-24/Accenture-Universal-Principles-Data-Ethics.pdf new URL </t>
    </r>
    <r>
      <rPr>
        <color rgb="FF1155CC"/>
        <sz val="11.0"/>
        <u/>
      </rPr>
      <t>https://fr.scribd.com/document/450122018/Accenture-Universal-Principles-Data-Ethics#</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</si>
</sst>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
    <numFmt numFmtId="165" formatCode="0.0%"/>
    <numFmt numFmtId="166" formatCode="0.00000"/>
    <numFmt numFmtId="167" formatCode="0.0000"/>
    <numFmt numFmtId="168" formatCode="0.000"/>
  </numFmts>
  <fonts count="67">
    <font>
      <sz val="11.0"/>
      <color theme="1"/>
      <name val="Calibri"/>
      <scheme val="minor"/>
    </font>
    <font>
      <b/>
      <sz val="11.0"/>
      <color theme="1"/>
      <name val="Calibri"/>
      <scheme val="minor"/>
    </font>
    <font>
      <b/>
      <color theme="1"/>
      <name val="Calibri"/>
      <scheme val="minor"/>
    </font>
    <font>
      <sz val="11.0"/>
      <color rgb="FF000000"/>
      <name val="Calibri"/>
      <scheme val="minor"/>
    </font>
    <font>
      <u/>
      <sz val="11.0"/>
      <color rgb="FF0563C1"/>
    </font>
    <font>
      <color theme="1"/>
      <name val="Calibri"/>
      <scheme val="minor"/>
    </font>
    <font>
      <u/>
      <sz val="11.0"/>
      <color rgb="FF0563C1"/>
    </font>
    <font>
      <sz val="11.0"/>
      <color rgb="FF0563C1"/>
      <name val="Calibri"/>
      <scheme val="minor"/>
    </font>
    <font>
      <u/>
      <sz val="11.0"/>
      <color rgb="FF0000FF"/>
    </font>
    <font>
      <u/>
      <sz val="11.0"/>
      <color rgb="FF0563C1"/>
    </font>
    <font>
      <u/>
      <sz val="11.0"/>
      <color rgb="FF0563C1"/>
    </font>
    <font>
      <u/>
      <sz val="11.0"/>
      <color rgb="FF1155CC"/>
    </font>
    <font>
      <u/>
      <sz val="11.0"/>
      <color rgb="FF0563C1"/>
    </font>
    <font>
      <u/>
      <sz val="11.0"/>
      <color rgb="FF0563C1"/>
    </font>
    <font>
      <u/>
      <sz val="11.0"/>
      <color rgb="FF0563C1"/>
    </font>
    <font>
      <u/>
      <sz val="11.0"/>
      <color rgb="FF0563C1"/>
    </font>
    <font>
      <u/>
      <sz val="11.0"/>
      <color rgb="FF0563C1"/>
    </font>
    <font>
      <u/>
      <sz val="11.0"/>
      <color rgb="FF0563C1"/>
    </font>
    <font>
      <u/>
      <sz val="11.0"/>
      <color rgb="FF0563C1"/>
    </font>
    <font>
      <u/>
      <sz val="11.0"/>
      <color rgb="FF0563C1"/>
    </font>
    <font>
      <u/>
      <sz val="11.0"/>
      <color rgb="FF1155CC"/>
    </font>
    <font>
      <u/>
      <sz val="11.0"/>
      <color rgb="FF0000FF"/>
    </font>
    <font>
      <u/>
      <sz val="11.0"/>
      <color rgb="FF0000FF"/>
    </font>
    <font>
      <u/>
      <sz val="11.0"/>
      <color rgb="FF1155CC"/>
    </font>
    <font>
      <u/>
      <sz val="11.0"/>
      <color rgb="FF0563C1"/>
    </font>
    <font>
      <u/>
      <sz val="11.0"/>
      <color rgb="FF0000FF"/>
    </font>
    <font>
      <sz val="11.0"/>
      <color theme="1"/>
      <name val="Arial"/>
    </font>
    <font>
      <u/>
      <sz val="11.0"/>
      <color rgb="FF0000FF"/>
    </font>
    <font>
      <u/>
      <sz val="11.0"/>
      <color rgb="FF0000FF"/>
    </font>
    <font>
      <u/>
      <sz val="11.0"/>
      <color rgb="FF0000FF"/>
    </font>
    <font>
      <u/>
      <sz val="11.0"/>
      <color rgb="FF1155CC"/>
    </font>
    <font>
      <u/>
      <sz val="11.0"/>
      <color rgb="FF0563C1"/>
    </font>
    <font>
      <u/>
      <sz val="11.0"/>
      <color rgb="FF0563C1"/>
    </font>
    <font>
      <sz val="11.0"/>
      <color theme="1"/>
      <name val="Calibri"/>
    </font>
    <font>
      <u/>
      <sz val="11.0"/>
      <color rgb="FF0000FF"/>
    </font>
    <font>
      <u/>
      <sz val="11.0"/>
      <color rgb="FF1155CC"/>
    </font>
    <font>
      <u/>
      <sz val="11.0"/>
      <color rgb="FF0000FF"/>
      <name val="Calibri"/>
      <scheme val="minor"/>
    </font>
    <font>
      <u/>
      <sz val="11.0"/>
      <color rgb="FF0000FF"/>
    </font>
    <font>
      <u/>
      <sz val="11.0"/>
      <color rgb="FF0563C1"/>
      <name val="Calibri"/>
      <scheme val="minor"/>
    </font>
    <font>
      <u/>
      <sz val="11.0"/>
      <color rgb="FF0563C1"/>
    </font>
    <font>
      <u/>
      <sz val="11.0"/>
      <color rgb="FF954F72"/>
    </font>
    <font>
      <u/>
      <sz val="11.0"/>
      <color rgb="FF0563C1"/>
      <name val="Calibri"/>
      <scheme val="minor"/>
    </font>
    <font>
      <u/>
      <sz val="11.0"/>
      <color rgb="FF1155CC"/>
    </font>
    <font>
      <u/>
      <sz val="11.0"/>
      <color rgb="FF0000FF"/>
    </font>
    <font>
      <u/>
      <sz val="11.0"/>
      <color rgb="FF1155CC"/>
    </font>
    <font>
      <u/>
      <sz val="11.0"/>
      <color rgb="FF1155CC"/>
      <name val="Calibri"/>
      <scheme val="minor"/>
    </font>
    <font>
      <u/>
      <sz val="11.0"/>
      <color rgb="FF1155CC"/>
    </font>
    <font>
      <u/>
      <sz val="11.0"/>
      <color rgb="FF0563C1"/>
    </font>
    <font>
      <u/>
      <sz val="11.0"/>
      <color rgb="FF1155CC"/>
    </font>
    <font>
      <u/>
      <sz val="11.0"/>
      <color rgb="FF000000"/>
      <name val="Calibri"/>
      <scheme val="minor"/>
    </font>
    <font>
      <u/>
      <sz val="11.0"/>
      <color theme="1"/>
    </font>
    <font>
      <u/>
      <sz val="11.0"/>
      <color rgb="FF0000FF"/>
    </font>
    <font>
      <u/>
      <sz val="11.0"/>
      <color rgb="FF1155CC"/>
    </font>
    <font>
      <b/>
      <sz val="9.0"/>
      <color rgb="FFF2F2F2"/>
      <name val="Arial"/>
    </font>
    <font>
      <u/>
      <sz val="11.0"/>
      <color rgb="FF0563C1"/>
    </font>
    <font>
      <u/>
      <sz val="11.0"/>
      <color rgb="FF1155CC"/>
    </font>
    <font>
      <u/>
      <sz val="11.0"/>
      <color rgb="FF0000FF"/>
    </font>
    <font>
      <u/>
      <sz val="11.0"/>
      <color rgb="FF0563C1"/>
      <name val="Calibri"/>
      <scheme val="minor"/>
    </font>
    <font>
      <u/>
      <color rgb="FF0000FF"/>
    </font>
    <font>
      <u/>
      <color rgb="FF0000FF"/>
    </font>
    <font>
      <i/>
      <color theme="1"/>
      <name val="Calibri"/>
      <scheme val="minor"/>
    </font>
    <font>
      <b/>
      <color rgb="FFFFFFFF"/>
      <name val="Calibri"/>
      <scheme val="minor"/>
    </font>
    <font>
      <b/>
      <sz val="11.0"/>
      <color theme="1"/>
      <name val="Calibri"/>
    </font>
    <font/>
    <font>
      <u/>
      <sz val="11.0"/>
      <color rgb="FF0563C1"/>
    </font>
    <font>
      <u/>
      <sz val="11.0"/>
      <color rgb="FF1155CC"/>
    </font>
    <font>
      <u/>
      <sz val="11.0"/>
      <color rgb="FF954F72"/>
    </font>
  </fonts>
  <fills count="19">
    <fill>
      <patternFill patternType="none"/>
    </fill>
    <fill>
      <patternFill patternType="lightGray"/>
    </fill>
    <fill>
      <patternFill patternType="solid">
        <fgColor rgb="FFB6D7A8"/>
        <bgColor rgb="FFB6D7A8"/>
      </patternFill>
    </fill>
    <fill>
      <patternFill patternType="solid">
        <fgColor rgb="FFE06666"/>
        <bgColor rgb="FFE06666"/>
      </patternFill>
    </fill>
    <fill>
      <patternFill patternType="solid">
        <fgColor rgb="FFFFE699"/>
        <bgColor rgb="FFFFE699"/>
      </patternFill>
    </fill>
    <fill>
      <patternFill patternType="solid">
        <fgColor rgb="FFFFFFFF"/>
        <bgColor rgb="FFFFFFFF"/>
      </patternFill>
    </fill>
    <fill>
      <patternFill patternType="solid">
        <fgColor rgb="FF0000FF"/>
        <bgColor rgb="FF0000FF"/>
      </patternFill>
    </fill>
    <fill>
      <patternFill patternType="solid">
        <fgColor rgb="FF6AA84F"/>
        <bgColor rgb="FF6AA84F"/>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00FFFF"/>
        <bgColor rgb="FF00FFFF"/>
      </patternFill>
    </fill>
    <fill>
      <patternFill patternType="solid">
        <fgColor rgb="FFD9D2E9"/>
        <bgColor rgb="FFD9D2E9"/>
      </patternFill>
    </fill>
    <fill>
      <patternFill patternType="solid">
        <fgColor rgb="FFB4C6E7"/>
        <bgColor rgb="FFB4C6E7"/>
      </patternFill>
    </fill>
    <fill>
      <patternFill patternType="solid">
        <fgColor rgb="FF38761D"/>
        <bgColor rgb="FF38761D"/>
      </patternFill>
    </fill>
    <fill>
      <patternFill patternType="solid">
        <fgColor rgb="FFFF9900"/>
        <bgColor rgb="FFFF9900"/>
      </patternFill>
    </fill>
    <fill>
      <patternFill patternType="solid">
        <fgColor rgb="FF4A86E8"/>
        <bgColor rgb="FF4A86E8"/>
      </patternFill>
    </fill>
    <fill>
      <patternFill patternType="solid">
        <fgColor rgb="FFFCE5CD"/>
        <bgColor rgb="FFFCE5CD"/>
      </patternFill>
    </fill>
    <fill>
      <patternFill patternType="solid">
        <fgColor rgb="FFFFFF00"/>
        <bgColor rgb="FFFFFF00"/>
      </patternFill>
    </fill>
  </fills>
  <borders count="15">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top style="thin">
        <color rgb="FF000000"/>
      </top>
    </border>
    <border>
      <left style="thin">
        <color rgb="FF000000"/>
      </left>
    </border>
    <border>
      <right style="thin">
        <color rgb="FF000000"/>
      </right>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shrinkToFit="0" wrapText="0"/>
    </xf>
    <xf borderId="1" fillId="2" fontId="1" numFmtId="0" xfId="0" applyAlignment="1" applyBorder="1" applyFill="1" applyFont="1">
      <alignment readingOrder="0"/>
    </xf>
    <xf borderId="1" fillId="0" fontId="1" numFmtId="0" xfId="0" applyBorder="1" applyFont="1"/>
    <xf borderId="1" fillId="0" fontId="1" numFmtId="49" xfId="0" applyBorder="1" applyFont="1" applyNumberFormat="1"/>
    <xf borderId="1" fillId="3" fontId="1" numFmtId="0" xfId="0" applyBorder="1" applyFill="1" applyFont="1"/>
    <xf borderId="0" fillId="0" fontId="2" numFmtId="0" xfId="0" applyAlignment="1" applyFont="1">
      <alignment readingOrder="0"/>
    </xf>
    <xf borderId="0" fillId="0" fontId="2" numFmtId="0" xfId="0" applyAlignment="1" applyFont="1">
      <alignment horizontal="right" readingOrder="0"/>
    </xf>
    <xf borderId="0" fillId="0" fontId="2" numFmtId="0" xfId="0" applyFont="1"/>
    <xf borderId="0" fillId="0" fontId="2" numFmtId="0" xfId="0" applyFont="1"/>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5" numFmtId="0" xfId="0" applyFont="1"/>
    <xf borderId="0" fillId="0" fontId="5" numFmtId="0" xfId="0" applyAlignment="1" applyFont="1">
      <alignment readingOrder="0"/>
    </xf>
    <xf borderId="0" fillId="0" fontId="6" numFmtId="0" xfId="0" applyFont="1"/>
    <xf borderId="0" fillId="0" fontId="7" numFmtId="0" xfId="0" applyAlignment="1" applyFont="1">
      <alignment horizontal="left" vertical="top"/>
    </xf>
    <xf borderId="0" fillId="0" fontId="3" numFmtId="0" xfId="0" applyAlignment="1" applyFont="1">
      <alignment horizontal="right"/>
    </xf>
    <xf borderId="0" fillId="0" fontId="3" numFmtId="0" xfId="0" applyAlignment="1" applyFont="1">
      <alignment horizontal="left" readingOrder="0" shrinkToFit="0" vertical="top" wrapText="0"/>
    </xf>
    <xf borderId="0" fillId="0" fontId="8" numFmtId="0" xfId="0" applyAlignment="1" applyFont="1">
      <alignment horizontal="left" readingOrder="0" shrinkToFit="0" vertical="top" wrapText="0"/>
    </xf>
    <xf borderId="0" fillId="0" fontId="0" numFmtId="0" xfId="0" applyFont="1"/>
    <xf borderId="0" fillId="2" fontId="0" numFmtId="0" xfId="0" applyAlignment="1" applyFont="1">
      <alignment readingOrder="0"/>
    </xf>
    <xf borderId="0" fillId="0" fontId="0" numFmtId="49" xfId="0" applyAlignment="1" applyFont="1" applyNumberFormat="1">
      <alignment readingOrder="0"/>
    </xf>
    <xf borderId="0" fillId="0" fontId="0" numFmtId="0" xfId="0" applyAlignment="1" applyFont="1">
      <alignment readingOrder="0"/>
    </xf>
    <xf borderId="0" fillId="3" fontId="0" numFmtId="0" xfId="0" applyAlignment="1" applyFont="1">
      <alignment readingOrder="0"/>
    </xf>
    <xf borderId="0" fillId="0" fontId="9" numFmtId="0" xfId="0" applyAlignment="1" applyFont="1">
      <alignment horizontal="left" shrinkToFit="0" vertical="top" wrapText="0"/>
    </xf>
    <xf borderId="0" fillId="2" fontId="3" numFmtId="0" xfId="0" applyAlignment="1" applyFont="1">
      <alignment readingOrder="0"/>
    </xf>
    <xf borderId="0" fillId="0" fontId="3" numFmtId="49" xfId="0" applyAlignment="1" applyFont="1" applyNumberFormat="1">
      <alignment readingOrder="0"/>
    </xf>
    <xf borderId="0" fillId="3" fontId="3" numFmtId="0" xfId="0" applyAlignment="1" applyFont="1">
      <alignment readingOrder="0"/>
    </xf>
    <xf borderId="0" fillId="0" fontId="10" numFmtId="0" xfId="0" applyAlignment="1" applyFont="1">
      <alignment horizontal="left" readingOrder="0" vertical="top"/>
    </xf>
    <xf borderId="0" fillId="0" fontId="3" numFmtId="0" xfId="0" applyAlignment="1" applyFont="1">
      <alignment horizontal="right" readingOrder="0"/>
    </xf>
    <xf borderId="0" fillId="0" fontId="3" numFmtId="0" xfId="0" applyAlignment="1" applyFont="1">
      <alignment readingOrder="0" shrinkToFit="0" vertical="bottom" wrapText="0"/>
    </xf>
    <xf borderId="0" fillId="0" fontId="11" numFmtId="0" xfId="0" applyAlignment="1" applyFont="1">
      <alignment horizontal="left" readingOrder="0" shrinkToFit="0" vertical="top" wrapText="0"/>
    </xf>
    <xf borderId="0" fillId="0" fontId="12" numFmtId="0" xfId="0" applyAlignment="1" applyFont="1">
      <alignment horizontal="left" readingOrder="0" vertical="top"/>
    </xf>
    <xf borderId="0" fillId="0" fontId="13" numFmtId="0" xfId="0" applyAlignment="1" applyFont="1">
      <alignment horizontal="left" readingOrder="0" shrinkToFit="0" vertical="top" wrapText="0"/>
    </xf>
    <xf borderId="0" fillId="0" fontId="14" numFmtId="0" xfId="0" applyAlignment="1" applyFont="1">
      <alignment readingOrder="0" shrinkToFit="0" vertical="bottom" wrapText="0"/>
    </xf>
    <xf borderId="0" fillId="0" fontId="15" numFmtId="0" xfId="0" applyAlignment="1" applyFont="1">
      <alignment shrinkToFit="0" wrapText="0"/>
    </xf>
    <xf borderId="0" fillId="0" fontId="16" numFmtId="0" xfId="0" applyAlignment="1" applyFont="1">
      <alignment readingOrder="0" shrinkToFit="0" wrapText="0"/>
    </xf>
    <xf borderId="0" fillId="0" fontId="3" numFmtId="49" xfId="0" applyFont="1" applyNumberFormat="1"/>
    <xf borderId="0" fillId="0" fontId="17" numFmtId="0" xfId="0" applyAlignment="1" applyFont="1">
      <alignment horizontal="left" readingOrder="0" shrinkToFit="0" vertical="top" wrapText="0"/>
    </xf>
    <xf borderId="0" fillId="0" fontId="0" numFmtId="164" xfId="0" applyAlignment="1" applyFont="1" applyNumberFormat="1">
      <alignment readingOrder="0"/>
    </xf>
    <xf borderId="0" fillId="0" fontId="18" numFmtId="0" xfId="0" applyAlignment="1" applyFont="1">
      <alignment horizontal="left" vertical="top"/>
    </xf>
    <xf borderId="0" fillId="0" fontId="19" numFmtId="0" xfId="0" applyAlignment="1" applyFont="1">
      <alignment readingOrder="0" shrinkToFit="0" wrapText="0"/>
    </xf>
    <xf borderId="0" fillId="0" fontId="20" numFmtId="0" xfId="0" applyAlignment="1" applyFont="1">
      <alignment horizontal="left" readingOrder="0" shrinkToFit="0" vertical="top" wrapText="0"/>
    </xf>
    <xf borderId="0" fillId="0" fontId="0" numFmtId="0" xfId="0" applyFont="1"/>
    <xf borderId="0" fillId="0" fontId="21" numFmtId="0" xfId="0" applyAlignment="1" applyFont="1">
      <alignment readingOrder="0"/>
    </xf>
    <xf borderId="0" fillId="0" fontId="3" numFmtId="0" xfId="0" applyAlignment="1" applyFont="1">
      <alignment readingOrder="0" shrinkToFit="0" vertical="top" wrapText="0"/>
    </xf>
    <xf borderId="0" fillId="0" fontId="22" numFmtId="0" xfId="0" applyAlignment="1" applyFont="1">
      <alignment readingOrder="0" shrinkToFit="0" vertical="top" wrapText="0"/>
    </xf>
    <xf borderId="0" fillId="0" fontId="23" numFmtId="0" xfId="0" applyAlignment="1" applyFont="1">
      <alignment horizontal="left" readingOrder="0" shrinkToFit="0" wrapText="0"/>
    </xf>
    <xf borderId="0" fillId="0" fontId="3" numFmtId="0" xfId="0" applyAlignment="1" applyFont="1">
      <alignment readingOrder="0"/>
    </xf>
    <xf borderId="0" fillId="0" fontId="24" numFmtId="0" xfId="0" applyAlignment="1" applyFont="1">
      <alignment readingOrder="0"/>
    </xf>
    <xf borderId="0" fillId="0" fontId="25" numFmtId="0" xfId="0" applyAlignment="1" applyFont="1">
      <alignment horizontal="left" readingOrder="0" shrinkToFit="0" vertical="top" wrapText="0"/>
    </xf>
    <xf borderId="0" fillId="0" fontId="26" numFmtId="0" xfId="0" applyAlignment="1" applyFont="1">
      <alignment readingOrder="0"/>
    </xf>
    <xf borderId="0" fillId="0" fontId="27" numFmtId="0" xfId="0" applyAlignment="1" applyFont="1">
      <alignment horizontal="left" readingOrder="0" shrinkToFit="0" vertical="bottom" wrapText="0"/>
    </xf>
    <xf borderId="0" fillId="0" fontId="28" numFmtId="0" xfId="0" applyAlignment="1" applyFont="1">
      <alignment horizontal="left" readingOrder="0" shrinkToFit="0" vertical="top" wrapText="0"/>
    </xf>
    <xf borderId="0" fillId="0" fontId="29" numFmtId="0" xfId="0" applyAlignment="1" applyFont="1">
      <alignment shrinkToFit="0" wrapText="0"/>
    </xf>
    <xf borderId="0" fillId="0" fontId="30" numFmtId="0" xfId="0" applyAlignment="1" applyFont="1">
      <alignment horizontal="left" vertical="top"/>
    </xf>
    <xf borderId="0" fillId="3" fontId="26" numFmtId="0" xfId="0" applyAlignment="1" applyFont="1">
      <alignment readingOrder="0"/>
    </xf>
    <xf borderId="0" fillId="0" fontId="31" numFmtId="0" xfId="0" applyAlignment="1" applyFont="1">
      <alignment horizontal="left" readingOrder="0" shrinkToFit="0" vertical="top" wrapText="0"/>
    </xf>
    <xf borderId="0" fillId="0" fontId="32" numFmtId="0" xfId="0" applyAlignment="1" applyFont="1">
      <alignment horizontal="left" readingOrder="0" shrinkToFit="0" vertical="bottom" wrapText="0"/>
    </xf>
    <xf borderId="0" fillId="0" fontId="33" numFmtId="0" xfId="0" applyAlignment="1" applyFont="1">
      <alignment readingOrder="0" vertical="bottom"/>
    </xf>
    <xf borderId="0" fillId="0" fontId="33" numFmtId="0" xfId="0" applyAlignment="1" applyFont="1">
      <alignment vertical="bottom"/>
    </xf>
    <xf borderId="0" fillId="0" fontId="34" numFmtId="0" xfId="0" applyAlignment="1" applyFont="1">
      <alignment readingOrder="0" shrinkToFit="0" wrapText="0"/>
    </xf>
    <xf borderId="0" fillId="0" fontId="35" numFmtId="0" xfId="0" applyAlignment="1" applyFont="1">
      <alignment horizontal="left" shrinkToFit="0" wrapText="0"/>
    </xf>
    <xf borderId="0" fillId="0" fontId="3" numFmtId="0" xfId="0" applyAlignment="1" applyFont="1">
      <alignment horizontal="left" readingOrder="0"/>
    </xf>
    <xf borderId="0" fillId="0" fontId="0" numFmtId="0" xfId="0" applyAlignment="1" applyFont="1">
      <alignment horizontal="left" readingOrder="0"/>
    </xf>
    <xf borderId="0" fillId="0" fontId="7" numFmtId="0" xfId="0" applyAlignment="1" applyFont="1">
      <alignment readingOrder="0"/>
    </xf>
    <xf borderId="0" fillId="2" fontId="0" numFmtId="0" xfId="0" applyAlignment="1" applyFont="1">
      <alignment horizontal="left" readingOrder="0"/>
    </xf>
    <xf borderId="0" fillId="0" fontId="36" numFmtId="0" xfId="0" applyAlignment="1" applyFont="1">
      <alignment horizontal="left" readingOrder="0" shrinkToFit="0" vertical="top" wrapText="0"/>
    </xf>
    <xf borderId="0" fillId="0" fontId="3" numFmtId="0" xfId="0" applyAlignment="1" applyFont="1">
      <alignment horizontal="left" vertical="top"/>
    </xf>
    <xf borderId="0" fillId="4" fontId="3" numFmtId="0" xfId="0" applyAlignment="1" applyFill="1" applyFont="1">
      <alignment readingOrder="0"/>
    </xf>
    <xf borderId="0" fillId="0" fontId="37" numFmtId="0" xfId="0" applyAlignment="1" applyFont="1">
      <alignment horizontal="left" readingOrder="0" shrinkToFit="0" vertical="top" wrapText="0"/>
    </xf>
    <xf borderId="0" fillId="0" fontId="38" numFmtId="0" xfId="0" applyAlignment="1" applyFont="1">
      <alignment horizontal="left" readingOrder="0" shrinkToFit="0" vertical="bottom" wrapText="0"/>
    </xf>
    <xf borderId="0" fillId="0" fontId="39" numFmtId="0" xfId="0" applyAlignment="1" applyFont="1">
      <alignment horizontal="left" readingOrder="0" shrinkToFit="0" vertical="bottom" wrapText="0"/>
    </xf>
    <xf borderId="0" fillId="0" fontId="3" numFmtId="0" xfId="0" applyAlignment="1" applyFont="1">
      <alignment horizontal="left" readingOrder="0" shrinkToFit="0" vertical="top" wrapText="0"/>
    </xf>
    <xf borderId="0" fillId="0" fontId="40" numFmtId="0" xfId="0" applyAlignment="1" applyFont="1">
      <alignment readingOrder="0" shrinkToFit="0" vertical="top" wrapText="0"/>
    </xf>
    <xf borderId="0" fillId="0" fontId="5" numFmtId="49" xfId="0" applyFont="1" applyNumberFormat="1"/>
    <xf borderId="0" fillId="0" fontId="3" numFmtId="0" xfId="0" applyFont="1"/>
    <xf borderId="0" fillId="0" fontId="41" numFmtId="0" xfId="0" applyAlignment="1" applyFont="1">
      <alignment horizontal="left" readingOrder="0" shrinkToFit="0" vertical="top" wrapText="0"/>
    </xf>
    <xf borderId="0" fillId="0" fontId="42" numFmtId="0" xfId="0" applyAlignment="1" applyFont="1">
      <alignment horizontal="left"/>
    </xf>
    <xf borderId="0" fillId="0" fontId="43" numFmtId="0" xfId="0" applyFont="1"/>
    <xf borderId="0" fillId="0" fontId="44" numFmtId="0" xfId="0" applyAlignment="1" applyFont="1">
      <alignment horizontal="left" readingOrder="0" vertical="top"/>
    </xf>
    <xf borderId="0" fillId="0" fontId="45" numFmtId="0" xfId="0" applyAlignment="1" applyFont="1">
      <alignment horizontal="left" readingOrder="0" shrinkToFit="0" vertical="top" wrapText="0"/>
    </xf>
    <xf borderId="0" fillId="0" fontId="46" numFmtId="0" xfId="0" applyAlignment="1" applyFont="1">
      <alignment horizontal="left" shrinkToFit="0" vertical="top" wrapText="0"/>
    </xf>
    <xf borderId="0" fillId="0" fontId="47" numFmtId="0" xfId="0" applyAlignment="1" applyFont="1">
      <alignment horizontal="left"/>
    </xf>
    <xf borderId="0" fillId="0" fontId="48" numFmtId="0" xfId="0" applyAlignment="1" applyFont="1">
      <alignment readingOrder="0" shrinkToFit="0" vertical="top" wrapText="0"/>
    </xf>
    <xf borderId="0" fillId="0" fontId="49" numFmtId="0" xfId="0" applyAlignment="1" applyFont="1">
      <alignment readingOrder="0"/>
    </xf>
    <xf borderId="0" fillId="0" fontId="50" numFmtId="0" xfId="0" applyFont="1"/>
    <xf borderId="0" fillId="0" fontId="0" numFmtId="0" xfId="0" applyAlignment="1" applyFont="1">
      <alignment readingOrder="0"/>
    </xf>
    <xf borderId="0" fillId="0" fontId="51" numFmtId="0" xfId="0" applyAlignment="1" applyFont="1">
      <alignment readingOrder="0" shrinkToFit="0" vertical="bottom" wrapText="0"/>
    </xf>
    <xf borderId="0" fillId="0" fontId="52" numFmtId="0" xfId="0" applyAlignment="1" applyFont="1">
      <alignment horizontal="left" readingOrder="0" shrinkToFit="0" vertical="bottom" wrapText="0"/>
    </xf>
    <xf borderId="0" fillId="0" fontId="7" numFmtId="0" xfId="0" applyAlignment="1" applyFont="1">
      <alignment horizontal="left" readingOrder="0" shrinkToFit="0" vertical="top" wrapText="0"/>
    </xf>
    <xf borderId="0" fillId="5" fontId="53" numFmtId="0" xfId="0" applyAlignment="1" applyFill="1" applyFont="1">
      <alignment horizontal="center" shrinkToFit="0" wrapText="1"/>
    </xf>
    <xf borderId="0" fillId="0" fontId="54" numFmtId="0" xfId="0" applyAlignment="1" applyFont="1">
      <alignment horizontal="left" readingOrder="0" shrinkToFit="0" vertical="bottom" wrapText="0"/>
    </xf>
    <xf borderId="0" fillId="5" fontId="53" numFmtId="0" xfId="0" applyAlignment="1" applyFont="1">
      <alignment horizontal="center" readingOrder="0" shrinkToFit="0" wrapText="1"/>
    </xf>
    <xf borderId="0" fillId="0" fontId="7" numFmtId="0" xfId="0" applyAlignment="1" applyFont="1">
      <alignment readingOrder="0" shrinkToFit="0" wrapText="0"/>
    </xf>
    <xf borderId="0" fillId="0" fontId="3" numFmtId="0" xfId="0" applyAlignment="1" applyFont="1">
      <alignment readingOrder="0"/>
    </xf>
    <xf borderId="0" fillId="0" fontId="55" numFmtId="0" xfId="0" applyAlignment="1" applyFont="1">
      <alignment horizontal="left" readingOrder="0"/>
    </xf>
    <xf borderId="0" fillId="0" fontId="56" numFmtId="0" xfId="0" applyAlignment="1" applyFont="1">
      <alignment readingOrder="0" shrinkToFit="0" wrapText="0"/>
    </xf>
    <xf borderId="0" fillId="0" fontId="33" numFmtId="0" xfId="0" applyAlignment="1" applyFont="1">
      <alignment readingOrder="0"/>
    </xf>
    <xf borderId="0" fillId="0" fontId="33" numFmtId="0" xfId="0" applyFont="1"/>
    <xf borderId="0" fillId="0" fontId="0" numFmtId="49" xfId="0" applyFont="1" applyNumberFormat="1"/>
    <xf borderId="0" fillId="0" fontId="3" numFmtId="49" xfId="0" applyAlignment="1" applyFont="1" applyNumberFormat="1">
      <alignment horizontal="right" readingOrder="0"/>
    </xf>
    <xf borderId="0" fillId="0" fontId="3" numFmtId="49" xfId="0" applyAlignment="1" applyFont="1" applyNumberFormat="1">
      <alignment horizontal="right"/>
    </xf>
    <xf borderId="0" fillId="0" fontId="57" numFmtId="49" xfId="0" applyFont="1" applyNumberFormat="1"/>
    <xf borderId="0" fillId="0" fontId="2" numFmtId="49" xfId="0" applyAlignment="1" applyFont="1" applyNumberFormat="1">
      <alignment readingOrder="0"/>
    </xf>
    <xf borderId="0" fillId="0" fontId="5" numFmtId="49" xfId="0" applyAlignment="1" applyFont="1" applyNumberFormat="1">
      <alignment readingOrder="0"/>
    </xf>
    <xf borderId="0" fillId="0" fontId="5" numFmtId="0" xfId="0" applyFont="1"/>
    <xf borderId="0" fillId="0" fontId="5" numFmtId="9" xfId="0" applyFont="1" applyNumberFormat="1"/>
    <xf borderId="0" fillId="0" fontId="5" numFmtId="1" xfId="0" applyFont="1" applyNumberFormat="1"/>
    <xf borderId="0" fillId="0" fontId="5" numFmtId="2" xfId="0" applyFont="1" applyNumberFormat="1"/>
    <xf borderId="0" fillId="0" fontId="2" numFmtId="1" xfId="0" applyFont="1" applyNumberFormat="1"/>
    <xf borderId="0" fillId="0" fontId="5" numFmtId="10" xfId="0" applyFont="1" applyNumberFormat="1"/>
    <xf borderId="0" fillId="0" fontId="5" numFmtId="165" xfId="0" applyFont="1" applyNumberFormat="1"/>
    <xf borderId="0" fillId="0" fontId="58" numFmtId="0" xfId="0" applyAlignment="1" applyFont="1">
      <alignment readingOrder="0"/>
    </xf>
    <xf borderId="0" fillId="0" fontId="59" numFmtId="0" xfId="0" applyAlignment="1" applyFont="1">
      <alignment readingOrder="0"/>
    </xf>
    <xf borderId="0" fillId="0" fontId="60" numFmtId="0" xfId="0" applyAlignment="1" applyFont="1">
      <alignment readingOrder="0" shrinkToFit="0" wrapText="0"/>
    </xf>
    <xf borderId="0" fillId="0" fontId="60" numFmtId="0" xfId="0" applyAlignment="1" applyFont="1">
      <alignment readingOrder="0"/>
    </xf>
    <xf borderId="0" fillId="0" fontId="2" numFmtId="0" xfId="0" applyAlignment="1" applyFont="1">
      <alignment horizontal="center" readingOrder="0"/>
    </xf>
    <xf borderId="0" fillId="6" fontId="61" numFmtId="0" xfId="0" applyAlignment="1" applyFill="1" applyFont="1">
      <alignment readingOrder="0" shrinkToFit="0" wrapText="0"/>
    </xf>
    <xf borderId="0" fillId="7" fontId="61" numFmtId="0" xfId="0" applyAlignment="1" applyFill="1" applyFont="1">
      <alignment readingOrder="0"/>
    </xf>
    <xf borderId="2" fillId="0" fontId="2" numFmtId="0" xfId="0" applyAlignment="1" applyBorder="1" applyFont="1">
      <alignment readingOrder="0"/>
    </xf>
    <xf borderId="0" fillId="8" fontId="2" numFmtId="0" xfId="0" applyAlignment="1" applyFill="1" applyFont="1">
      <alignment readingOrder="0"/>
    </xf>
    <xf borderId="0" fillId="9" fontId="5" numFmtId="0" xfId="0" applyAlignment="1" applyFill="1" applyFont="1">
      <alignment readingOrder="0" shrinkToFit="0" wrapText="0"/>
    </xf>
    <xf borderId="0" fillId="10" fontId="5" numFmtId="0" xfId="0" applyFill="1" applyFont="1"/>
    <xf borderId="2" fillId="0" fontId="5" numFmtId="0" xfId="0" applyBorder="1" applyFont="1"/>
    <xf borderId="0" fillId="11" fontId="5" numFmtId="0" xfId="0" applyAlignment="1" applyFill="1" applyFont="1">
      <alignment readingOrder="0"/>
    </xf>
    <xf borderId="0" fillId="11" fontId="5" numFmtId="166" xfId="0" applyFont="1" applyNumberFormat="1"/>
    <xf borderId="0" fillId="9" fontId="5" numFmtId="0" xfId="0" applyAlignment="1" applyFont="1">
      <alignment shrinkToFit="0" wrapText="0"/>
    </xf>
    <xf borderId="3" fillId="0" fontId="2" numFmtId="0" xfId="0" applyAlignment="1" applyBorder="1" applyFont="1">
      <alignment readingOrder="0"/>
    </xf>
    <xf borderId="4" fillId="0" fontId="2" numFmtId="167" xfId="0" applyBorder="1" applyFont="1" applyNumberFormat="1"/>
    <xf borderId="0" fillId="0" fontId="5" numFmtId="0" xfId="0" applyAlignment="1" applyFont="1">
      <alignment shrinkToFit="0" wrapText="0"/>
    </xf>
    <xf borderId="0" fillId="12" fontId="5" numFmtId="0" xfId="0" applyAlignment="1" applyFill="1" applyFont="1">
      <alignment readingOrder="0"/>
    </xf>
    <xf borderId="0" fillId="12" fontId="5" numFmtId="168" xfId="0" applyFont="1" applyNumberFormat="1"/>
    <xf borderId="3" fillId="13" fontId="62" numFmtId="0" xfId="0" applyAlignment="1" applyBorder="1" applyFill="1" applyFont="1">
      <alignment horizontal="center"/>
    </xf>
    <xf borderId="5" fillId="0" fontId="63" numFmtId="0" xfId="0" applyBorder="1" applyFont="1"/>
    <xf borderId="4" fillId="0" fontId="63" numFmtId="0" xfId="0" applyBorder="1" applyFont="1"/>
    <xf borderId="6" fillId="0" fontId="33" numFmtId="0" xfId="0" applyBorder="1" applyFont="1"/>
    <xf borderId="4" fillId="0" fontId="62" numFmtId="0" xfId="0" applyBorder="1" applyFont="1"/>
    <xf borderId="2" fillId="0" fontId="62" numFmtId="0" xfId="0" applyBorder="1" applyFont="1"/>
    <xf borderId="7" fillId="0" fontId="62" numFmtId="0" xfId="0" applyBorder="1" applyFont="1"/>
    <xf borderId="2" fillId="0" fontId="33" numFmtId="0" xfId="0" applyBorder="1" applyFont="1"/>
    <xf borderId="0" fillId="0" fontId="62" numFmtId="0" xfId="0" applyFont="1"/>
    <xf borderId="3" fillId="13" fontId="62" numFmtId="0" xfId="0" applyAlignment="1" applyBorder="1" applyFont="1">
      <alignment horizontal="center" readingOrder="0"/>
    </xf>
    <xf borderId="3" fillId="13" fontId="62" numFmtId="0" xfId="0" applyAlignment="1" applyBorder="1" applyFont="1">
      <alignment horizontal="center" readingOrder="0" vertical="bottom"/>
    </xf>
    <xf borderId="0" fillId="0" fontId="33" numFmtId="0" xfId="0" applyAlignment="1" applyFont="1">
      <alignment vertical="bottom"/>
    </xf>
    <xf borderId="8" fillId="0" fontId="33" numFmtId="0" xfId="0" applyAlignment="1" applyBorder="1" applyFont="1">
      <alignment vertical="bottom"/>
    </xf>
    <xf borderId="6" fillId="0" fontId="33" numFmtId="0" xfId="0" applyAlignment="1" applyBorder="1" applyFont="1">
      <alignment vertical="bottom"/>
    </xf>
    <xf borderId="6" fillId="0" fontId="62" numFmtId="0" xfId="0" applyAlignment="1" applyBorder="1" applyFont="1">
      <alignment vertical="bottom"/>
    </xf>
    <xf borderId="7" fillId="0" fontId="62" numFmtId="0" xfId="0" applyAlignment="1" applyBorder="1" applyFont="1">
      <alignment vertical="bottom"/>
    </xf>
    <xf borderId="6" fillId="0" fontId="33" numFmtId="0" xfId="0" applyAlignment="1" applyBorder="1" applyFont="1">
      <alignment horizontal="right" vertical="bottom"/>
    </xf>
    <xf borderId="6" fillId="0" fontId="33" numFmtId="0" xfId="0" applyAlignment="1" applyBorder="1" applyFont="1">
      <alignment vertical="bottom"/>
    </xf>
    <xf borderId="0" fillId="14" fontId="5" numFmtId="0" xfId="0" applyAlignment="1" applyFill="1" applyFont="1">
      <alignment readingOrder="0"/>
    </xf>
    <xf borderId="0" fillId="15" fontId="5" numFmtId="0" xfId="0" applyAlignment="1" applyFill="1" applyFont="1">
      <alignment readingOrder="0"/>
    </xf>
    <xf borderId="0" fillId="16" fontId="5" numFmtId="0" xfId="0" applyAlignment="1" applyFill="1" applyFont="1">
      <alignment readingOrder="0"/>
    </xf>
    <xf borderId="0" fillId="17" fontId="5" numFmtId="0" xfId="0" applyFill="1" applyFont="1"/>
    <xf borderId="0" fillId="9" fontId="5" numFmtId="0" xfId="0" applyFont="1"/>
    <xf borderId="9" fillId="2" fontId="2" numFmtId="0" xfId="0" applyAlignment="1" applyBorder="1" applyFont="1">
      <alignment readingOrder="0"/>
    </xf>
    <xf borderId="10" fillId="2" fontId="5" numFmtId="0" xfId="0" applyBorder="1" applyFont="1"/>
    <xf borderId="11" fillId="2" fontId="2" numFmtId="2" xfId="0" applyBorder="1" applyFont="1" applyNumberFormat="1"/>
    <xf borderId="6" fillId="2" fontId="5" numFmtId="0" xfId="0" applyBorder="1" applyFont="1"/>
    <xf borderId="0" fillId="0" fontId="64" numFmtId="0" xfId="0" applyAlignment="1" applyFont="1">
      <alignment horizontal="left" readingOrder="0" shrinkToFit="0" vertical="top" wrapText="0"/>
    </xf>
    <xf borderId="0" fillId="18" fontId="5" numFmtId="0" xfId="0" applyAlignment="1" applyFill="1" applyFont="1">
      <alignment readingOrder="0"/>
    </xf>
    <xf borderId="9" fillId="17" fontId="2" numFmtId="0" xfId="0" applyAlignment="1" applyBorder="1" applyFont="1">
      <alignment readingOrder="0"/>
    </xf>
    <xf borderId="12" fillId="17" fontId="5" numFmtId="0" xfId="0" applyBorder="1" applyFont="1"/>
    <xf borderId="10" fillId="17" fontId="5" numFmtId="0" xfId="0" applyBorder="1" applyFont="1"/>
    <xf borderId="13" fillId="0" fontId="5" numFmtId="0" xfId="0" applyBorder="1" applyFont="1"/>
    <xf borderId="14" fillId="0" fontId="5" numFmtId="0" xfId="0" applyBorder="1" applyFont="1"/>
    <xf borderId="13" fillId="17" fontId="5" numFmtId="0" xfId="0" applyBorder="1" applyFont="1"/>
    <xf borderId="14" fillId="17" fontId="5" numFmtId="0" xfId="0" applyBorder="1" applyFont="1"/>
    <xf borderId="0" fillId="0" fontId="65" numFmtId="0" xfId="0" applyAlignment="1" applyFont="1">
      <alignment readingOrder="0" shrinkToFit="0" vertical="top" wrapText="0"/>
    </xf>
    <xf borderId="11" fillId="17" fontId="5" numFmtId="0" xfId="0" applyBorder="1" applyFont="1"/>
    <xf borderId="8" fillId="17" fontId="5" numFmtId="0" xfId="0" applyBorder="1" applyFont="1"/>
    <xf borderId="6" fillId="17" fontId="5" numFmtId="0" xfId="0" applyBorder="1" applyFont="1"/>
    <xf borderId="0" fillId="0" fontId="66" numFmtId="0" xfId="0" applyAlignment="1" applyFont="1">
      <alignment readingOrder="0" shrinkToFit="0" vertical="top" wrapText="0"/>
    </xf>
  </cellXfs>
  <cellStyles count="1">
    <cellStyle xfId="0" name="Normal" builtinId="0"/>
  </cellStyles>
  <dxfs count="5">
    <dxf>
      <font/>
      <fill>
        <patternFill patternType="solid">
          <fgColor rgb="FF6AA84F"/>
          <bgColor rgb="FF6AA84F"/>
        </patternFill>
      </fill>
      <border/>
    </dxf>
    <dxf>
      <font/>
      <fill>
        <patternFill patternType="solid">
          <fgColor rgb="FFE06666"/>
          <bgColor rgb="FFE06666"/>
        </patternFill>
      </fill>
      <border/>
    </dxf>
    <dxf>
      <font/>
      <fill>
        <patternFill patternType="solid">
          <fgColor rgb="FFF9CB9C"/>
          <bgColor rgb="FFF9CB9C"/>
        </patternFill>
      </fill>
      <border/>
    </dxf>
    <dxf>
      <font/>
      <fill>
        <patternFill patternType="solid">
          <fgColor rgb="FFEA9999"/>
          <bgColor rgb="FFEA99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Kappa!$Q$18:$Q$23</c:f>
            </c:strRef>
          </c:cat>
          <c:val>
            <c:numRef>
              <c:f>Matthieu!$R$3:$R$8</c:f>
              <c:numCache/>
            </c:numRef>
          </c:val>
        </c:ser>
        <c:ser>
          <c:idx val="1"/>
          <c:order val="1"/>
          <c:spPr>
            <a:solidFill>
              <a:schemeClr val="accent2"/>
            </a:solidFill>
            <a:ln cmpd="sng">
              <a:solidFill>
                <a:srgbClr val="000000"/>
              </a:solidFill>
            </a:ln>
          </c:spPr>
          <c:cat>
            <c:strRef>
              <c:f>Kappa!$Q$18:$Q$23</c:f>
            </c:strRef>
          </c:cat>
          <c:val>
            <c:numRef>
              <c:f>Maria!$P$3:$P$8</c:f>
              <c:numCache/>
            </c:numRef>
          </c:val>
        </c:ser>
        <c:ser>
          <c:idx val="2"/>
          <c:order val="2"/>
          <c:spPr>
            <a:solidFill>
              <a:schemeClr val="accent3"/>
            </a:solidFill>
            <a:ln cmpd="sng">
              <a:solidFill>
                <a:srgbClr val="000000"/>
              </a:solidFill>
            </a:ln>
          </c:spPr>
          <c:cat>
            <c:strRef>
              <c:f>Kappa!$Q$18:$Q$23</c:f>
            </c:strRef>
          </c:cat>
          <c:val>
            <c:numRef>
              <c:f>Aina!$S$11:$S$16</c:f>
              <c:numCache/>
            </c:numRef>
          </c:val>
        </c:ser>
        <c:ser>
          <c:idx val="3"/>
          <c:order val="3"/>
          <c:spPr>
            <a:solidFill>
              <a:schemeClr val="accent4"/>
            </a:solidFill>
            <a:ln cmpd="sng">
              <a:solidFill>
                <a:srgbClr val="000000"/>
              </a:solidFill>
            </a:ln>
          </c:spPr>
          <c:cat>
            <c:strRef>
              <c:f>Kappa!$Q$18:$Q$23</c:f>
            </c:strRef>
          </c:cat>
          <c:val>
            <c:numRef>
              <c:f>Kappa!$AC$5:$AC$10</c:f>
              <c:numCache/>
            </c:numRef>
          </c:val>
        </c:ser>
        <c:axId val="1450021899"/>
        <c:axId val="501942416"/>
      </c:barChart>
      <c:catAx>
        <c:axId val="1450021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01942416"/>
      </c:catAx>
      <c:valAx>
        <c:axId val="5019424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002189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695325</xdr:colOff>
      <xdr:row>8</xdr:row>
      <xdr:rowOff>180975</xdr:rowOff>
    </xdr:from>
    <xdr:ext cx="7162800" cy="4429125"/>
    <xdr:graphicFrame>
      <xdr:nvGraphicFramePr>
        <xdr:cNvPr id="1063633635"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123825</xdr:colOff>
      <xdr:row>22</xdr:row>
      <xdr:rowOff>95250</xdr:rowOff>
    </xdr:from>
    <xdr:ext cx="7467600" cy="1628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731" sheet="List of documents"/>
  </cacheSource>
  <cacheFields>
    <cacheField name="Name of the document" numFmtId="0">
      <sharedItems>
        <s v="A Unified Framework of Five Principles for AI in Society"/>
        <s v="AI Decolonial Manyfesto"/>
        <s v="Asimov’s three laws of Robotics"/>
        <s v="AI Index 2022"/>
        <s v="2030 Digital Compass: the European way for the Digital Decade"/>
        <s v="Global competition and convergence of AI Law"/>
        <s v="Six Principles of Artificial Intelligence"/>
        <s v="The #FreeAI Manifesto"/>
        <s v="Technology rules? The advent of new technologies in the justice system"/>
        <s v="Algorithmic discrimination in Europe: Challenges and opportunities for gender equality and non-discrimination law"/>
        <s v="Universal Principles of Data Ethics"/>
        <s v="Responsible AI and robotics. An ethical framework."/>
        <s v="AI Index 2019"/>
        <s v="Artificial intelligence and the control of COVID-19"/>
        <s v="Unified Ethical Frame for Big Data Analysis. IAF Big Data Ethics Initiative, Part A"/>
        <s v="Artificial Intelligence"/>
        <s v="Mapping Regulatory Proposals for AI in Europe"/>
        <s v="The EURON Roboethics Roadmap"/>
        <s v="Ethics Canvas"/>
        <s v="Algorithm Data Ethics Label"/>
        <s v="Understanding Artificial Intelligence and Safety - A guide for the responsible design and implementation of AI systems in the public sector"/>
        <s v="Digital Ethics: A guide for professionals of the Digital Age"/>
        <s v="Human Rights, Democracy, and the Rule of Law Assurance Framework for AI Systems: A proposal prepared for the Council of Europe’s Ad hoc Committee on Artificial Intelligence"/>
        <s v="Study on AI Governance by Human Rights-Centred Design, Deliberation and Oversight"/>
        <s v="European ethical Charter on the use of Artificial Intelligence in judicial systems and their environment"/>
        <s v="The Road to a Human-Centred Digital Society"/>
        <s v="AI Roadmap"/>
        <s v="Growing the artificial intelligence industry in the UK"/>
        <s v="AI Now 2017 Report"/>
        <s v="Algorithms in Decision Making"/>
        <s v="Thematic Reviews on 'Social Aspects of Digitalisation' (SPC) and 'Digitalisation and Robotisation of Work' (EMCO) - Endorsement of the joint key messages, 14411/18"/>
        <s v="Standards for AI Governance: International Standards to Enable Global Coordination in AI Research &amp; Development"/>
        <s v="Preparing the future of AI"/>
        <s v="AI Now Report 2016. The Social and Economic Implications of Artificial Intelligence Technologies in the Near-Term"/>
        <s v="Overview of National AI-Strategies"/>
        <s v="A toolkit for centering racial equity throughout data integration"/>
        <s v="G20 AI Principles"/>
        <s v="Principles for the Governance of AI"/>
        <s v="4 Steps to developing Responsible AI"/>
        <s v="AI and Human Rights"/>
        <s v="Opinion on AI - The consequences of artificial intelligence on the (digital) single market, production, consumption, employment and society’"/>
        <s v="How to regulate AI"/>
        <s v="Human Rights Impact Assessments for AI: Analysis and Recommendations"/>
        <s v="Report on Artificial intelligence in health care: medical, legal and ethical challenges ahead"/>
        <s v="Recomendations on the inclusion subSaharan Africa in Global AI Ethics"/>
        <s v="Our principles"/>
        <s v="Unfairness by algorithm: Distilling the Harms of automated decision making"/>
        <s v="Automated Decision-Making Under the GDPR: Practical Cases from Courts and Data Protection Authorities"/>
        <s v="Guidelines on Automated individual decision-making and Profiling for the purposes of Regulation 2016/679"/>
        <s v="It’s Time to Do Something: Mitigating the Negative Impacts of Computing Through a Change to the Peer Review Process"/>
        <s v="Policy Statement on Mandatory Engineered Law Enforcement Access"/>
        <s v="Big Data and AI Principles in Engineering"/>
        <s v="RFI for AI Services"/>
        <s v="Statement on Internet of Things Privacy and Security"/>
        <s v="ACM Code of Ethics and Professional Conduct"/>
        <s v="Beyond pilots: sustainable implementation of AI in public services"/>
        <s v="Addressing Ethical Dilemmas in AI: Listening to Engineers"/>
        <s v="Open letter: Civil society call for the introduction of red lines in the upcoming European Commission proposal on Artificial Intelligence"/>
        <s v="Human Rights and Technology"/>
        <s v="Governance Principles for a New Generation of Artificial Intelligence: Develop Responsible Artificial Intelligence"/>
        <s v="Recommandation on strategy creation process (AIM AT 2030)"/>
        <s v="White Paper - Shaping the Future of Austria with Robotics and Artificial Intelligence"/>
        <s v="Principles for Responsible AI"/>
        <s v="Axon committed to listening and learning so that we can fulfill our mission to protect life together"/>
        <s v="The Future of Digital Justice"/>
        <s v="Principled Artificial Intelligence"/>
        <s v="Report with recommendations to the Commission on a framework of ethical aspects of artificial intelligence, robotics and related technologies"/>
        <s v="Responsible AI Policy Framework"/>
        <s v="Four Principles of Explainable Artificial Intelligence"/>
        <s v="Guidelines for Big Data Use - Leitlinien für Big Data Einsatz"/>
        <s v="Recommendations for the responsible use of AI and automated decisions - Empfehlungen für den verantwortlichen Einsatz von KI und automatisierten Entscheidungen"/>
        <s v="The right to privacy in the digital age"/>
        <s v="Brazilian Strategy for Digital Transformation"/>
        <s v="Statement on Accessibility, Usability, and Digital Inclusiveness"/>
        <s v="Conclusions from the Conference “Governing the Game Changer&quot;"/>
        <s v="AI Quality Seal - KI Gütesiegel"/>
        <s v="Report on Artificial Intellilgence in a digital age"/>
        <s v="Hambach Declaration on Artificial Intelligence – Seven data protection obligations - Hambacher Erklärung zur Künstlichen Intelligenz – Sieben datenschutzrechtliche Anforderungen"/>
        <s v="National Artificial Intelligence Strategy of the Czech Republic"/>
        <s v="Exploratory study on the use of algoritms by government organisations"/>
        <s v="Study on the impact of Artificial Intellgience on the infrigement and enforcement of copyrights and designs"/>
        <s v="Digital Decisions Tool"/>
        <s v="For technologists"/>
        <s v="Research Collection: Research Supporting Responsible AI"/>
        <s v="COVID-19 repository and public attitudes retrospective"/>
        <s v="AI Principles: Recommendations on the Ethical Use of Artificial Intelligence by the Department of Defense"/>
        <s v="Artificial Intelligence and Data Protection: How the GDPR Regulates AI"/>
        <s v="The Brussels Effect and Artificial Intelligence: How EU regulation will impact the global AI market"/>
        <s v="Special report: Artificial Intelligence - Your questions answered"/>
        <s v="Mapping de l’écosystème de l’IA dans les pays du Maghreb"/>
        <s v="Artificial Intelligence as a Service: Legal Responsibilities, Liabilities, and Policy Challenges"/>
        <s v="Facial recognition technology: fundamental rights considerations in the context of law enforcement"/>
        <s v="Charter of Digital Networking"/>
        <s v="Joint Pledge on Artificial Intelligence Industry Self-Discipline"/>
        <s v="AI Now 2019 Report"/>
        <s v="Pan-Canadian Artificial Intelligence Strategy"/>
        <s v="ADP: Ethics in Artificial Intelligence"/>
        <s v="Recommendations for an AI Strategy in Switzerland"/>
        <s v="Declaration of Cities Coalition for Digital Right"/>
        <s v="The Ethics of Code: Developing AI for Business with Five Core Principles"/>
        <s v="Robotics Research Ethics - Ethique de la Recherche en Robotique"/>
        <s v="OP Financial Group’s ethical guidelines for artificial intelligence"/>
        <s v="Comparing European and Canadian AI Regulation"/>
        <s v="Big Data and Health - Data sovereignty as informational freedom design - Big Data und Gesundheit – Datensouveränität als informationelle Freiheitsgestaltung"/>
        <s v="Data preprocessing techniques for classification without discrimination"/>
        <s v="Caméras dites &quot;Intellligentes&quot; ou &quot;augmentées&quot; dans l'espace public - Position sur les conditions de déploiement"/>
        <s v="How can humans keep the upper hand? Report on the ethical matters raised by algorithms and artificial intelligence - Comment permettre à l’Homme de garder la main ? Rapport sur les enjeux éthiques des algorithmes et de l’intelligence artificielle"/>
        <s v="Self-assessment guide for artificial intelligence (AI) systems"/>
        <s v="Policy and investment recommendations for trustworthy Artificial Intelligence"/>
        <s v="National Artificial Intelligence Initiative Act - NAIIA (in National Defense Authorization Act - NDAA)"/>
        <s v="Intelligence artificielle et action publique : Construire la confiance, servir la performance"/>
        <s v="Rapport sur les Legaltechs du domaine de la jurimétrie et Charte sur la transparence et l’éthique de l’utilisation des données judiciaires"/>
        <s v="Humains &amp; Machines : quelles interactions au travail ?"/>
        <s v="Artificial Intelligence for Children - Toolkit"/>
        <s v="Trustworthy Use of Artifical Intelligence"/>
        <s v="Algorithms: preventing automated discrimination"/>
        <s v="Guidelines for Human-AI Interaction"/>
        <s v="Progress report"/>
        <s v="From Principles to Practice: An interdisciplinary framework to operationalise AI ethics"/>
        <s v="Strengthening international cooperation on AI, Progress report"/>
        <s v="Ethics Guidelines for Trustworthy AI"/>
        <s v="Working Paper on Privacy and Artificial Intelligence"/>
        <s v="Final remarks of the thematic session on AI and criminal law, The case of automated vehicles"/>
        <s v="Saudi Arabia National AI Strategy"/>
        <s v="WHO Guidance: Ethics and governance of artificial intelligence for health"/>
        <s v="Input on the European Commission White Paper “On Artificial Intelligence – A European approach to excellence and trust”"/>
        <s v="The Ethics of Artifical Intelligence"/>
        <s v="Conclusions of the Expert Seminar on E-relevance of Culture in the age of AI"/>
        <s v="Guidelines of the Committee of Ministers of the Council of Europe on online dispute resolution mechanisms in civil and administrative court proceedings"/>
        <s v="Guidelines of the Committee of Ministers of the Council of Europe on upholding equality and protecting against discrimination and hate during the Covid-19 pandemic and similar crises in the future"/>
        <s v="Guidelines to respect, protect and fulfil the rights of the child in the digital environment"/>
        <s v="Recommendation of the Committee of Ministers to member States on the roles and responsibilities of internet intermediaries"/>
        <s v="Recommendation on Big Data for culture, literacy and democracy"/>
        <s v="Governing Artificial Intelligence. Upholding Human Rights &amp; Dignity"/>
        <s v="Review into Bias in Algorithmic Decision-making"/>
        <s v="Big data, artificial intelligence, machine learning and data protection"/>
        <s v="Guidelines on the protection of individuals with regard to the processing of personal data in a world of Big Data"/>
        <s v="A governance framework for algorithmic accountability and transparency"/>
        <s v="Joint Report on Digital Technologies and Elections"/>
        <s v="Report on Information Disorder Toward an interdisciplinary framework for research and policy making"/>
        <s v="Ethical by Design: Ethics Best Practices for Natural Language Processing"/>
        <s v="Ethics: a vital part of responsible AI deployment"/>
        <s v="Trust in Artificial Intelligence: A Five Countries Study"/>
        <s v="Digital Roadmap Austria"/>
        <s v="A Code of Ethics for the Human Robot Interaction"/>
        <s v="National strategies on Artificial Intelligence: A European perspective, 2021 edition"/>
        <s v="Uncovered, The Discoverability of Public Interest Content Online"/>
        <s v="Recommendation of the Parliamentary Assembly of the Council of Europe about Mass Surveillance - Recommendation 2067(2015)"/>
        <s v="Responsible AI – Key Themes, Concerns &amp; Recommendations for European Research and Innovation Summary of Consultation with Multidisciplinary Experts"/>
        <s v="Report “Democracy hacked how to respond”"/>
        <s v="Report on ‘The brain-computer interface: new rights or new threats to fundamental freedoms?’"/>
        <s v="Report on “artificial intelligence and labour markets: friend or foe?”"/>
        <s v="Trustworthy AI in health. Background paper for the G20 AI Dialogue, Digital Economy Task Force"/>
        <s v="Europe’s approach to artificial intelligence: how AI strategy is evolving"/>
        <s v="Dutch Artificial Intelligence Manifesto"/>
        <s v="A guide to good practice for digital and data-driven health technologies"/>
        <s v="Artificial Intelligence and public services"/>
        <s v="Principles for a fundamental rights-compliant use of digital technologies in electoral processes"/>
        <s v="Statement on Computing and Network Security"/>
        <s v="Responsible Development of AI"/>
        <s v="Trustworthy AI in Aotearoa"/>
        <s v="Intel’s AI Privacy Policy White Paper. Protecting individuals’ privacy and data in the artificial intelligence world"/>
        <s v="Multilateral initiatives for upholding human rights in digital technologies: A task for the UN or for liberal democracies?"/>
        <s v="Conclusions of the European Council Meeting"/>
        <s v="Ethical Framework for Artificial Intelligence in Colombia"/>
        <s v="Gender Equality, Youth and Digitalisation - Presidency Conclusions"/>
        <s v="Presidency conclusions - The Charter of Fundamental Rights in the context of Artificial Intelligence and Digital Change"/>
        <s v="Joint Statement on Artificial Intelligence and Human Rights"/>
        <s v="La diffusion des données décisionnelles et la jurisprudence : Quelle jurisprudence à l'ère des données ouvertes ?"/>
        <s v="Critical Engineering Working Manifesto"/>
        <s v="ACT Project - Projet AJC (Autonomisation des acteurs judiciaires par la Cyberjustice)"/>
        <s v="SAP’s guiding principles for artificial intelligence"/>
        <s v="What Future for European Robotics? JRC Conference and Workshop Report"/>
        <s v="Study on the Human Rights Dimensions of Automated Data Processing techniques"/>
        <s v="The AI Manifesto"/>
        <s v="Assessment List for Trustworthy Artificial Intelligence (ALTAI) for self-assessment"/>
        <s v="Serment d’Hippocrate pour Data Scientist"/>
        <s v="Responsible AI for Empowered Teams"/>
        <s v="DeepMind Ethics &amp; Society Principles, Safety &amp; Ethics"/>
        <s v="A way forward for the D9 in the age of AI: An industry view"/>
        <s v="Harmonising artificial intelligence: The role of standards in the EU AI Regulation"/>
        <s v="Draft Information Sharing Code of Practice"/>
        <s v="Coordinated Plan on Artificial Intelligence 2021 Review"/>
        <s v="New national innovation centre to put UK at forefront of big data"/>
        <s v="Policy Recommendations on Augmented Intelligence in Health Care H-480.940"/>
        <s v="Comprehensive European industrial policy on artificial intelligence and robotics"/>
        <s v="Identification and assessment of existing and draft EU legislation in the digital field"/>
        <s v="AI Governance: A Research Agenda"/>
        <s v="Policy paper on A Sector Deal between government and the Artificial Intelligence sector"/>
        <s v="Recommendations for the Federal Government’s Strategy on Artificial Intelligence"/>
        <s v="AI road map to improve PH productivity"/>
        <s v="Action Plan for AI and Cybersecurity"/>
        <s v="Towards Trustworthy AI: Malta Ethical AI Framework for public consultation"/>
        <s v="Harmonious Artificial Intelligence Principles"/>
        <s v="National Conception of Informatisation of public sector of the Slovak Republic"/>
        <s v="Strategic Priority the Open Data"/>
        <s v="European industrial policy on artificial intelligence and robotics"/>
        <s v="Ethically Aligned Design. A Vision for Prioritizing Human Well-being with Autonomous and Intelligent Systems, version 2"/>
        <s v="Using artificial intelligence in the workplace: What are the main ethical risks?"/>
        <s v="Principles for Digital Development"/>
        <s v="Deon - An Ethics Checklist for data scientists"/>
        <s v="Report on intellectual property rights for the development of artificial intelligence technologies"/>
        <s v="National Artificial Intelligence Strategy"/>
        <s v="Holberton Turing Oath"/>
        <s v="Algorithm Charter for Aotearoa New Zealand"/>
        <s v="AI, the global landscape of ethics guidelines"/>
        <s v="The global landscape of AI ethics guidelines"/>
        <s v="Guidelines for the responsible use of artificial intelligence and other digital technologies in human resources - Richtlinien für den verantwortungsvollen Einsatz von Künstlicher Intelligenz und weiteren digitalen Technologien in der Personalarbeit"/>
        <s v="Guidelines for Artificial Intelligence"/>
        <s v="Road to the Adoption of Artificial Intelligence by the Public Sector"/>
        <s v="A Proposal for Identifying and Managing Bias in Artificial Intelligence"/>
        <s v="A multi-dimensional approach to disinformation"/>
        <s v="Protecting Fundamental Rights in the Digital Age - 2021 Annual Report on the Application of the EU Charter of Fundamental Rights"/>
        <s v="Ethical Principles for Artificial Intelligence and Data Analytics"/>
        <s v="Artificial Intelligence: A european perspective"/>
        <s v="Responsible AI – Maturing from theory to practice"/>
        <s v="EDPS calls for closer alignment between consumer and data protection rules in the EU"/>
        <s v="Final Report on Big Data"/>
        <s v="Code of Practice on Disinformation"/>
        <s v="Data for the Benefit of the People"/>
        <s v="Communication on the Digital Education Action Plan"/>
        <s v="National strategies on Artificial Intelligence: A European perspective, 2022 edition"/>
        <s v="AI4Belgium: AI National Strategy"/>
        <s v="Declaration on cooperation on AI"/>
        <s v="Democracy and digitalisation"/>
        <s v="Digital Finance Strategy for the EU"/>
        <s v="Making the most of the EU’s innovative potential: An intellectual property action plan to support the EU’s recovery and resilience"/>
        <s v="Proposal for a Regulation on a European approach for Artificial Intelligence (AI Act)"/>
        <s v="Report of COMEST on Robotics Ethics"/>
        <s v="Prolegomena to a White Paper on an Ethical Framework for a Good AI Society"/>
        <s v="Preparing for the future of Artificial Intelligence"/>
        <s v="Resolution with recommendations to the Commission on Civil Law Rules on Robotics"/>
        <s v="Rome Call for AI Ethics"/>
        <s v="Towards an AI Strategy in Mexico. Harnessing the AI Revolution"/>
        <s v="Big Data and Security Policies: Serving Security, Protecting Freedom"/>
        <s v="Advisory Statement on Human Ethics in Artificial Intelligence and Big Data Research"/>
        <s v="Everyday Ethics for Artificial Intelligence. A practical guide for designers &amp; developers"/>
        <s v="AI for the public sector: Report of the “4 th Peer Learning Workshop on the use and impact of AI in public services”, 28 October 2021"/>
        <s v="Initial Code of Conduct for Data-Driven Health and Care Technology"/>
        <s v="Study on the use of innovative technologies in the justice field"/>
        <s v="2022 AI Principles Progress Update"/>
        <s v="Civil Rights Principles for the Era of Big Data"/>
        <s v="Policy Briefing: Algorithmic Impact Assessments"/>
        <s v="Human rights in the robot age Challenges arising from the use of robotics, artificial intelligence, and virtual and augmented reality"/>
        <s v="Bias in algorithms: Artificial intelligence and discrimination"/>
        <s v="Governing data and artificial intelligence for all: model for sustainable and just data governance"/>
        <s v="Liability for Artificial Intelligence and other emerging digital technologies"/>
        <s v="Glossary of human-centric artificial intelligence"/>
        <s v="Taking an ethical approach to artificial intelligence."/>
        <s v="Report on Artificial Intelligence and Human Society (Unofficial translation)"/>
        <s v="The Effects of AI on the Working Lives of Women"/>
        <s v="A Method for Ethical AI in Defence"/>
        <s v="Opinion 3/2018 on online manipulation and personal data"/>
        <s v="International Charter for Inclusive AI"/>
        <s v="Adopted Opinion Investing in a smart, innovative and sustainable industry"/>
        <s v="Adopted Opinion on Building a European Data Economy"/>
        <s v="OpenAI Charter"/>
        <s v="Governance of Artificial Intelligence in Finance"/>
        <s v="Model Rules on Impact Assessment of Algorithmic Decision-Making Systems Used by Public Administration"/>
        <s v="Safeguarding human rights in the era of artificial intelligence"/>
        <s v="Report on The Age of Digital Interdependence"/>
        <s v="“ARCC”: An Ethical Framework for Artificial Intelligence"/>
        <s v="Responsible use of AI for public policy: Data science toolkit"/>
        <s v="Responsible use of Artificial Intelligence (AI) - Guiding Principles"/>
        <s v="Study on Understanding algorithmic decision-making"/>
        <s v="Five guiding principles for responsible use of AI in healthcare and healthy living"/>
        <s v="Ethical issues arising from the police use of live facial recognition technology"/>
        <s v="Governance Guidelines for Implementation of AI Principles"/>
        <s v="Algorithmic decision making for the benefit of consumers. Position paper executive summary"/>
        <s v="Artificial intelligence: questions of interpretation and application of international law in so far as the EU is affected in the areas of civil and military uses and of state authority outside the scope of criminal justice"/>
        <s v="AI needs an ethical compass. This tool can help"/>
        <s v="Plans to develop a National Artificial Intelligence Framework"/>
        <s v="How can humans keep the upper hand? Report on the ethical matters raised by AI algorithms"/>
        <s v="Artificial intelligence: the promises and the threats"/>
        <s v="Humans and Societies at the Age of Artificial Intelligence"/>
        <s v="Draft report on artificial intelligence in a digital age"/>
        <s v="A Framework for the Ethical use of advanced Data Science Methodes in the Humanitarian Sector"/>
        <s v="EU Legislation in Progress - AI Act"/>
        <s v="AI Now"/>
        <s v="Digital Decisions"/>
        <s v="Guiding Principles for Automated Decision-Making in the EU"/>
        <s v="Digital automation and the future of work"/>
        <s v="Improving working conditions using Artificial Intelligence"/>
        <s v="Initial Appraisal of a European Commission Impact Assessment"/>
        <s v="Report with recommendations to the Commission on Civil liability regime for artificial intelligence"/>
        <s v="Singapore’s Approach to AI Governance"/>
        <s v="Assessing Technology Readiness Levels for Artificial Intelligence"/>
        <s v="Establishing a pro-innovation approach to regulating AI: An overview of the UK’s emerging approach"/>
        <s v="Recommendation, Unboxing artificial intelligence: 10 steps to protect human rights"/>
        <s v="Artificial Intelligence: opportunities, risks and recommendations for the financial sector"/>
        <s v="Declaration by the Committee of Ministers on the manipulative capabilities of algorithmic processes"/>
        <s v="Resolution on artificial intelligence in criminal matters law and its use by the police and judicial authorities in criminal matters"/>
        <s v="Resolution on Fundamental rights implications of big data: privacy, data protection, non-discrimination, security and law-enforcement"/>
        <s v="Report on the need for democratic governance of artificial intelligence"/>
        <s v="Algorithms and Economic Justice: A Taxonomy of Harms and a Path Forward for the Federal Trade Commission"/>
        <s v="A Proposed Model Artificial Intelligence Governance Framework"/>
        <s v="Study on the implications of advanced digital technologies (including AI systems) for the concept of responsibility within a human rights framework"/>
        <s v="European Artificial Intelligence (AI) leadership, the path for an integrated vision"/>
        <s v="Seeking Ground Rules for AI"/>
        <s v="AI Cybersecurity Challenges"/>
        <s v="Artificial Intelligence Needs Assessment - Survey In Africa"/>
        <s v="Malicious Use and Abuse of Artificial Intelligence"/>
        <s v="Testing and Auditing of AI Systems"/>
        <s v="Advancing accountability in AI - Governing and managing risks throughout the lifecycle for trustworthy AI"/>
        <s v="AI Taiwan Action Plan"/>
        <s v="Automating Injustice: The Use of Artificial Intelligence &amp; Automated Decision-Making Systems in Criminal Justice in Europe"/>
        <s v="Building Ethics into Privacy Frameworks for Big Data and AI"/>
        <s v="AI Ethics Resources"/>
        <s v="Big Data and Competition - Big Data und Wettbewerb"/>
        <s v="Tenets"/>
        <s v="Key points of the Federal Government for a strategy artificial intelligence"/>
        <s v="National Strategy for Artificial Intelligence - Nationale Strategie für Künstliche Intelligenz"/>
        <s v="Artificial Intelligence Mission Austria 2030"/>
        <s v="Assessing Big Data"/>
        <s v="AI Principles"/>
        <s v="Regulating AI in Europe: four problems and four solutions"/>
        <s v="Coordinated plan on AI"/>
        <s v="AI for Humanity"/>
        <s v="Guidance on AI and data protection"/>
        <s v="AI Watch: AI Standardisation Landscape - State of play and link to the EC proposal for an AI regulatory framework"/>
        <s v="COMEST Report on Robotics"/>
        <s v="Principle of Artificial Intelligence Ethics for the intelliagence community"/>
        <s v="French Presidency Statement on “Digital Challenges for Justice in Europe”"/>
        <s v="Law, Technology and Innovation"/>
        <s v="Towards regulation of AI Systems"/>
        <s v="Social Principles of Human-Centric AI"/>
        <s v="The New Frontier: Artificial intelligence at work"/>
        <s v="White Paper on AI - A European approach to excellence and trust"/>
        <s v="Declaration by the Committee of Ministers on the risks of computer-assisted or artificial-intelligence-enabled decision making in the field of the social safety net"/>
        <s v="Data quality and artificial intelligence – mitigating bias and error to protect fundamental rights"/>
        <s v="Principles of robotics: regulating robots in the real world"/>
        <s v="The Future Computed – Artificial intelligence and its role in society"/>
        <s v="Artificial intelligence and employment"/>
        <s v="Ethical Aspects of Autonomous and Intelligent Systems"/>
        <s v="G20 Ministerial Statement on Trade and Digital Economy"/>
        <s v="How to prevent Discriminatory Outcomes in Machine Learning"/>
        <s v="Ethical Guidelines of the German Informatics Society"/>
        <s v="Conclusions from the Conference &quot;Human Rights in the Era of AI - Europe as international Standard Setter for Artificial Intelligence&quot;"/>
        <s v="The GNI Principles on Freedom of Expression and Privacy"/>
        <s v="Montréal Declaration for a Responsible Development of Artificial Intelligence"/>
        <s v="Globalpolicy.ai: Achieving impact through intergovernmental co-operation on artificial intelligence"/>
        <s v="An external advisory council to help advance the responsible development of AI"/>
        <s v="Analysis of current global AI developments with a focus on Europe"/>
        <s v="AI Principles of Telefónica"/>
        <s v="AI National Strategy"/>
        <s v="Safety First for Automated Driving – Proposed technical standards for the development of Automated Driving"/>
        <s v="People + AI Guidebook"/>
        <s v="Towards a Standard for Identifying and Managing Bias in Artificial Intelligence Managing Bias in Artificial Intelligence"/>
        <s v="A Guide to using AI in the Public Sector and a Selection of Use-cases"/>
        <s v="2019-2021 Strategic Plan"/>
        <s v="Trust Manifesto"/>
        <s v="AI: Here for Good, A National Artificial Intelligence Strategy for Ireland"/>
        <s v="Mid- to Long-Term Master Plan in Preparation for the Intelligent Information Society"/>
        <s v="Artificial Intelligence Strategy"/>
        <s v="The National Reform Programme for 2018"/>
        <s v="National orientation for artificial intelligence - Nationell inriktning för artificiell intelligens"/>
        <s v="National Approach to Artificial Intelligence"/>
        <s v="Draft Research Code of Practice and Draft Accreditation Criteria"/>
        <s v="Draft Statistics Statement of Principles and Draft Code of Practice on changes to data systems"/>
        <s v="‘Principled’ artificial intelligence could improve justice"/>
        <s v="RANZCR Ethical Principles for AI in Medicine - Consultation"/>
        <s v="Data protection and Big Data - Datenschutz und Big Data"/>
        <s v="Industrial Strategy: Building a Britain fit for the future"/>
        <s v="10 ethische Leitlinien für die Digitalisierung von Unternehmen (10 ethical guidelines for the digitalisation of companies)"/>
        <s v="Data Ethics Framework"/>
        <s v="The Malicious Use of Artificial Intelligence: Forecasting, Prevention, and Mitigation"/>
        <s v="Declaration of the Ethical Principles for AI"/>
        <s v="Principios de IA de la OCDE"/>
        <s v="Strategic Action Plan for Artificial Intelligence"/>
        <s v="Principles to Promote Fairness, Ethics, Accountability and Transparency (FEAT) in the Use of Artificial Intelligence and Data Analytics in Singapore’s Financial Sector"/>
        <s v="AI Ethics"/>
        <s v="Li Yanhong's Four Principles of AI Ethics"/>
        <s v="The FLY AI Report: Demystifying and Accelerating AI in Aviation/ATM"/>
        <s v="Transparency and Trust in the Cognitive Era"/>
        <s v="Trusted AI (AI Explainability 360 Open Source Toolkit)"/>
        <s v="Ethics policy"/>
        <s v="Building an AI World: Report on National and Regional AI Strategies"/>
        <s v="Ethical Design Manifesto"/>
        <s v="Use of Biometric Data and Technologies"/>
        <s v="Ethics and Human Rights"/>
        <s v="2020 Handbook on AI and International Law"/>
        <s v="Artificil intelligence in the audiovisual sector"/>
        <s v="Guidance on the AI auditing framework"/>
        <s v="Ethics Framework"/>
        <s v="Big Data and the insurance sector"/>
        <s v="Guidance on political campaigning"/>
        <s v="Toward a G20 Framework for Artificial Intelligence in the Workplace"/>
        <s v="Manifesto for Data Practices"/>
        <s v="Information on processing and access to geolocation data"/>
        <s v="Draft AI R&amp;D Guidelines for International Discussions"/>
        <s v="Draft AI Utilization Principles"/>
        <s v="Artificial intelligence in road transport - Cost of non-Europe report"/>
        <s v="The Toronto Declaration: Protecting the right to equality and non-discrimination in machine learning systems"/>
        <s v="Ethical OS Framework. A guide to anticipating the future impact of today’s technology"/>
        <s v="Perspectives on Issues in AI Governance"/>
        <s v="Big Data: New Challenges for Law and Ethics, International scientific conference"/>
        <s v="Defining Artificial Intelligence : towards an operational definition and taxonomy of artificial intelligence"/>
        <s v="IEEE P7000 Standards Projects"/>
        <s v="Ethics by Design: An organizational approach to responsible use of technology"/>
        <s v="Artificial Intelligence Work: Four perspectives on economics, employment, knowledge and ethics - Tekoälyajan työ: neljä näkökulmaa talouteen, työllisyyteen, osaamiseen ja etiikkaan"/>
        <s v="Artificial intelligence in Healthcare"/>
        <s v="A Moral Framework for Understanding of Fair ML through Economic Models of Equality of Opportunity"/>
        <s v="IA Ethics Self-Assessment for Actors of the Entrepreneurial Ecosystem"/>
        <s v="The Ethical Framework for AI in Education"/>
        <s v="Responsible use of AI for public policy: Project formulation manual"/>
        <s v="Privacy, Data and Technology: Human Rights Challenges in the Digital Age"/>
        <s v="Vienna Manifesto on Digital Humanism"/>
        <s v="Statement on Algorithmic Transparency and Accountability"/>
        <s v="Global opinion and expectations about AI"/>
        <s v="Standardization in the area of Artificial Intelligence (ISO/IEC JTC 1/SC 42)"/>
        <s v="Strategic Program on Artificiel Intelligence 2022-2024"/>
        <s v="Action Plan for a Sustainable Planet in the Digital Age"/>
        <s v="AI Strategy 2019 – AI for Everyone: People, Industries, Regions and Governments"/>
        <s v="The Japanese Society for Artificial Intelligence Ethical Guidelines"/>
        <s v="For a meaningful Artificial Intelligence. Towards a French and European strategy"/>
        <s v="Blockchain &amp; Artificial Intelligence task force"/>
        <s v="9 Theses on opportunities and risks, democratic legitimation and constitutional control in the algorithmization of administration - 9 Thesen zu Chancen und Risiken, demokratischer Legitimation und rechtsstaatlicher Kontrolle bei der Algorithmisierung der "/>
        <s v="Hambacher Erklärung zur Künstlichen Intelligenz – Sieben datenschutzrechtliche Anforderungen (Hambach Declaration on Artificial Intelligence – seven requirements for data protection)"/>
        <s v="Murphy and Wood’s three laws of Responsible Robotics"/>
        <s v="Comparison of National Strategies to Promote Artificial Intelligence - Part 1"/>
        <s v="Comparison of National Strategies to Promote Artificial Intelligence - Part 2"/>
        <s v="Auditing the quality of datasets used in algorithmic decision-making systems"/>
        <s v="How the EU Can Achieve Legally Trustworthy AI: A Response to the European Commission’s Proposal for an Artificial Intelligence Act"/>
        <s v="Pacte pour une intelligence artificielle égalitaire entre les femmes et les hommes"/>
        <s v="Certification of processes for AI"/>
        <s v="Study on the relevance and impact of artificial intelligence for company law and corporate governance"/>
        <s v="UAE Strategy for AI"/>
        <s v="The impact of Artificial Intelligence on learning, teaching, and education"/>
        <s v="AI Certification Programme"/>
        <s v="Ethical Toolkit for Engineering/Design Practice"/>
        <s v="MIT Schwarzman College of Computing Task Force Working Group on Social Implications and Responsibilities of Computing Final Report"/>
        <s v="The State of AI 2022"/>
        <s v="National AI Strategy"/>
        <s v="Artificial Intelligence: open questions about gender inclusion"/>
        <s v="Joint insurance industry point of view paper: We need rules of the road for responsible AI and data science"/>
        <s v="New Generation AI Governance Principles – Developing Responsible AI"/>
        <s v="Towards Responsible Artificial Intelligence Innovation - Second Interpol-UNICRI Report on AI for law enforcement"/>
        <s v="Introducing Stanford's Human-Centered AI Initiative"/>
        <s v="Recommendations on Updating the National Artificial Intelligence Research and Development Strategic Plan"/>
        <s v="Inclusive Design"/>
        <s v="Indonesia National Strategy on AI (Stranas KA)"/>
        <s v="Livre blanc de la sécurité intérieure"/>
        <s v="Charter of Digital Rights"/>
        <s v="Artificial Intelligence: Problems and Solutions - 2018"/>
        <s v="AI Strategy of Ukraine"/>
        <s v="AI Development Policy in Poland"/>
        <s v="Assumptions for the AI strategy in Poland Action plan of the Ministry of Digitization - Założenia do strategii AI w Polsce Plan działań Ministerstwa Cyfryzacji"/>
        <s v="Dutch digitalisation strategy"/>
        <s v="Policy Guidance on AI for Children"/>
        <s v="Work in the age of artificial intelligence. Four perspectives on the economy, employment, skills and ethics"/>
        <s v="Artificial intelligence programme"/>
        <s v="Steering AI and Advanced ICTs for Knowledge Societies: A Rights, Openness, Access, and Multi-Stakeholder Perspective"/>
        <s v="Finland’s Age of Artificial Intelligence"/>
        <s v="Artificial Intelligence Risk Management Framework (AI RMF 1.0)"/>
        <s v="Civil liability regime for artificial intelligence - European added value assessment"/>
        <s v="Strategy for the Development of AI in the Republic of Serbia for the period of 2020-2025"/>
        <s v="Governmental strategy, For a sustainable digitized Sweden-a digitization strategy"/>
        <s v="Aurora AI"/>
        <s v="EU guidelines on ethics in artificial intelligence: Context and implementation"/>
        <s v="Three-Year Action Plan for Promoting Development of a New Generation Artificial Intelligence Industry"/>
        <s v="Summary of the NATO Artificial Intelligence Strategy"/>
        <s v="AI: Intelligent machines, smart policies (Conference Summary)"/>
        <s v="How to strengthen personal integrity"/>
        <s v="Z-Inspection"/>
        <s v="Artificial Intelligence National Policy of Chile"/>
        <s v="Feasibility study on the establishment of a certification mechanism for artificial intelligence tools and services"/>
        <s v="Artificial Intelligence for Europe"/>
        <s v="The State of AI Ethics (Volume 5, July 2021)"/>
        <s v="The State of AI Ethics (Volume 6, February 2022)"/>
        <s v="Effective Ad Archives"/>
        <s v="Data Science Oath"/>
        <s v="Designing an ethical, socially accountable facial recognition system A vision from Thales"/>
        <s v="Study supporting the impact assessment of the AI regulation"/>
        <s v="Technical study on online dispute resolution mechanisms"/>
        <s v="Regulatory Technology for the 21st Century"/>
        <s v="Digital Technology and Healthcare. Which Ethical Issues for which Regulations?"/>
        <s v="Algo.Rules"/>
        <s v="A practical guide to Responsible Artificial Intelligence (AI)"/>
        <s v="Organisation Best Practices from The Foundation for Best Practices in Machine Learning"/>
        <s v="Smart Dubai AI Ethics Principles &amp; Guidelines"/>
        <s v="AI Singapore"/>
        <s v="Ten simple rules for responsible Big Data research"/>
        <s v="Opinion on artificial intelligence and fundamental rights"/>
        <s v="Ensuring American Leadership in Automated Vehicle Technologies - Automated Vehicles 4.0"/>
        <s v="AI UX: 7 principles of designing Good AI Products"/>
        <s v="An Artificial Intelligence Standards Roadmap: Making Australia’s Voice Heard"/>
        <s v="Guidelines on Artificial Intelligence and Data Protection"/>
        <s v="Ethics and algorithmic processes for decision making and decision support"/>
        <s v="The Manifesto for Ethical AI"/>
        <s v="The Practical Guide to Ethical AI"/>
        <s v="Data Ethics Checklist"/>
        <s v="Les mesures publiques dans les stratégies gouvernementales en matière d'intelligence artifcielle : une perspective internationale"/>
        <s v="TrUE AI"/>
        <s v="Strategic Priority the Data Management"/>
        <s v="For a mastered, useful and demystified artificial intelligence - Pour une intelligence artificielle maîtrisée, utile et démystifiée"/>
        <s v="Study on Discrimination, artificial intelligence, and algorithmic decision-making"/>
        <s v="Open Ethics Manifesto"/>
        <s v="AI Impact assessment"/>
        <s v="Principles &amp; approaches"/>
        <s v="Recommendation on Technological convergence, AI and human rights"/>
        <s v="Human Inside"/>
        <s v="Study on eHealth, Interoperability of Health Data and Artificial Intelligence for Health and Care in the European Union"/>
        <s v="A blueprint for building national compute capacity for artificial intelligence"/>
        <s v="National Strategy for Artificial Intelligence"/>
        <s v="Statement on Artificial Intelligence, Robotics and 'Autonomous' Systems"/>
        <s v="Artificial Intelligence and Children's Rights"/>
        <s v="Challenges and limits of an open source approach to Artificial Intelligence"/>
        <s v="Harnessing the power of AI and emerging technologies - Background paper for the CDEP Ministerial meeting"/>
        <s v="Identifying and characterising AI adopters - A novel approach based on big data"/>
        <s v="Identifying artificial intelligence actors using online data"/>
        <s v="Labour-saving technologies and employment levels - Are robots really making workers redundant?"/>
        <s v="OECD AI Policy Observatory"/>
        <s v="OECD Framework for the classification of AI Systems"/>
        <s v="OECD Principles on AI"/>
        <s v="Communication on Building Trust in Human-Centric AI"/>
        <s v="AI Index 2021"/>
        <s v="The ethics of artificial intelligence: Issues and initiatives"/>
        <s v="Artificial Intelligence and the fisheries sector"/>
        <s v="The supply, demand and characteristics of the AI workforce across OECD countries"/>
        <s v="Tools and Ethics for Applied Behavioural Insights: The BASIC Toolkit"/>
        <s v="Užupis Principles for Trustworthy AI Design"/>
        <s v="Culture, Platforms and Machines: The Impact of AI on the Diversity of Cultural Expressions"/>
        <s v="Guidelines for AI procurement"/>
        <s v="Using artificial intelligence to help combat COVID-19"/>
        <s v="Artificial intelligence and privacy"/>
        <s v="White paper: A Framework for Responsible Limits on Facial Recognition Use Case: Flow Management"/>
        <s v="From What to How: An Initial Review of Publicly Available AI Ethics Tools, Methods and Research to Translate Principles into Practices"/>
        <s v="Explaining decisions made with AI"/>
        <s v="Finnish One Hundred - A New Opportunity 2018-2037 - Suomen sata uutta mahdollisuutta 2018–2037"/>
        <s v="Action Plan of the Federal Government on the Report of the Ethics Committee Automated and Networked Driving (Ethics Rules for Driving Computers) - Maßnahmenplan der Bundesregierung zum Bericht der Ethik-Kommission Automatisiertes und Vernetztes Fahren (Et"/>
        <s v="Future Technology Artificial Intelligence as a Success Factor for a Strong and Innovative Europe - A Statement on the EU Commission's White Paper on AI (German)"/>
        <s v="Study Commission &quot;Artificial Intelligence Social Responsibility and Economic, Social and Ecological Potential&quot;"/>
        <s v="A smart bureaucrat's guide to AI regulation"/>
        <s v="Ethical Codex for Data-Based Value Creation: For Public Consultation"/>
        <s v="Declaration on Youth Participation in AI Governance"/>
        <s v="Recommendation on the Ethics of Artificial Intelligence"/>
        <s v="Responsible AI in Consumer Enterprise"/>
        <s v="AI Policy Principles"/>
        <s v="Getting the future right – Artificial intelligence and fundamental rights"/>
        <s v="Pervasive Data Ethics"/>
        <s v="Artificial intelligence, blockchain and the future of Europe: How disruptive technologies create opportunities for a green and digital economy"/>
        <s v="US LEADERSHIP IN AI: A Plan for Federal Engagement in Developing Technical Standards and Related Tools"/>
        <s v="Traffic law amended with definition of an autonomous vehicle."/>
        <s v="AI &amp; Data Topical Guide Series"/>
        <s v="Artificial Intelligence market and capital flows"/>
        <s v="Plan Nacional de Inteligencia Artificial"/>
        <s v="Responsible bots: 10 guidelines for developers of conversational AI"/>
        <s v="National Strategy for AI"/>
        <s v="Report of the Special Rapporteur to the General Assembly on AI and its impact on freedom of opinion and expression"/>
        <s v="PWC's Responsible AI"/>
        <s v="Discussion Paper: National Strategy for Artificial Intelligence"/>
        <s v="The responsible AI framework"/>
        <s v="AI and digital tools in workplace management and evaluation: An assessment of EU's legal framework"/>
        <s v="Annual Reports - Data Ethics"/>
        <s v="Ethical, social, and political challenges of Artificial Intelligence in Health"/>
        <s v="Guide on the use of Artificial Intelligence-based tools by lawyers and law firms in the EU"/>
        <s v="Auditing and Achieving Intersectional Fairness in Classification Problems"/>
        <s v="Meeting the new challenges to equality and non-discrimination from increased digitisation and the use of Artificial Intelligence"/>
        <s v="Automating Society Report"/>
        <s v="Discussion Paper on Artificial Intelligence (AI) and Personal Data - Fostering Responsible Development and Adoption of AI"/>
        <s v="Principles"/>
        <s v="Government by Algorithm: Artificial Intelligence in Federal Administrative Agencies"/>
        <s v="Linking artifical intelligence principles"/>
        <s v="Non-paper on the impact of artificial intelligence and freedom of expression"/>
        <s v="Responsible Design Assistant"/>
        <s v="AI4People—An Ethical Framework for a Good AI Society: Opportunities, Risks, Principles, and Recommendations"/>
        <s v="Critiquing the Reasons for Making Artificial Moral Agents"/>
        <s v="Beijing Consensus on Artificial Intelligence and Education"/>
        <s v="Trusted AI  "/>
        <s v="Climate Change and AI: Recommendations for Government Action"/>
        <s v="Artificial Intelligence and its Impact on Young People"/>
        <s v="Shanghai Declaration"/>
        <s v="Study on AI And Big Data: A Blueprint for a human rights, social and ethical impact assessment"/>
        <s v="Statement on Artificial Intelligence"/>
        <s v="Shanghai Initiative on Artificial Intelligence Security Development"/>
        <s v="Artificial Intelligence in smart cities and urban mobility"/>
        <s v="National Strategy on AI"/>
        <s v="Statute book of good practices in data protection for Big Data - Código de buenas prácticas en protección de datos para proyectos de Big Data"/>
        <s v="Artificial Intelligence Economic importance, social challenges, human responsibility"/>
        <s v="White Paper on AI standardization"/>
        <s v="Malta, the ultimate AI Launchpad: A strategy and vision for AI in Malta 2030"/>
        <s v="The practical application of the Guiding Principles on Business and Human Rights to the activities of technology companies - Report of the Office of the United Nations High Commissioner for Human Rights"/>
        <s v="Guiding Principles on Trusted AI Ethics"/>
        <s v="Next Generation Artifical Intelligence Plan"/>
        <s v="Data Ethics Principles"/>
        <s v="Artificial Intelligence Technology Strategy"/>
        <s v="Artificial Intelligence: a strategic vision for Luxembourg"/>
        <s v="Discussion paper on Governance of the Artificial Intelligence Strategy for Europe"/>
        <s v="Preliminary study on the technical and legal aspects relating to the desirability of a standard-setting instrument on the ethics of artificial intelligence"/>
        <s v="The future of work and education in the digital age"/>
        <s v="Privacy and Freedom of Expression In the Age of Artificial Intelligence"/>
        <s v="Opportunities and drawbacks of using artificial intelligence for training"/>
        <s v="Business Principles and Policies"/>
        <s v="Artificial Intelligence (AI) in Health"/>
        <s v="Recommendation of the Council on Artificial Intelligence"/>
        <s v="6 Principles of AI"/>
        <s v="Trustworthy AI in education: promises and challenges. Background paper for the G20 AI Dialogue, Digital Economy Task Force"/>
        <s v="The Ethics of Technology in the Intelligent Age - Reshaping Trust in a Digital Society"/>
        <s v="Artificial Intelligence and National Security"/>
        <s v="IBM’s Principles for Trust and Transparency"/>
        <s v="Artificial Intelligence Act: Analysis &amp; Recommendations"/>
        <s v="Advancing AI ethics beyond compliance From principles to practice"/>
        <s v="Summary of events - AI Policy Conference"/>
        <s v="The responsible Machine Learning Principles"/>
        <s v="The Critical Engineering Manifesto"/>
        <s v="Tieto’s AI ethics guidelines"/>
        <s v="Ethical by Design: Principles for Good Technology"/>
        <s v="The role of Artificial Intelligence in the European Green Deal"/>
        <s v="Measuring the environmental impacts of artificial intelligence compute and applications - The AI Footprint"/>
        <s v="Principles for Accountable Algorithms and a Social Impact Statement for Algorithms"/>
        <s v="The Good Technology Standard (Draft)"/>
        <s v="The Partnership of the Future"/>
        <s v="Concept note Artificial intelligence and criminal law responsibility in Council of Europe"/>
        <s v="Artificial Intelligence at the service of the citizen"/>
        <s v="The impact of Artificial Intelligence on the Doctor-Patient Relationship"/>
        <s v="Top 10 Principles for Ethical Artificial Intelligence"/>
        <s v="Facial Recognition Technology and the Growing Power of Artificial Intelligence: Report of the Standing Committee on Access to Information, Privacy and Ethics"/>
        <s v="Taking Stock of Automated Decision-Making in the EU"/>
        <s v="AI RFX Procurement Framework"/>
        <s v="Declaration on AI in the Nordic-Baltic Region"/>
        <s v="Regulation of Artificial Intelligence in Selected Jurisdictions"/>
        <s v="Person identification, human rights and ethical principles - Rethinking biometrics in the era of artificial intelligence"/>
        <s v="Ethics of AI in Radiology: European and North American Multisociety Statement"/>
        <s v="AI in Egypt"/>
        <s v="Artificial intelligence impact assessment"/>
        <s v="Report on legal aspects of « autonomous vehicles »"/>
        <s v="Artificial Intelligence and Machine Learning: Policy Paper"/>
        <s v="Data Ethics Canvas"/>
        <s v="AI Strategy of Catalonia"/>
        <s v="Human Rights in the Robot Age Report"/>
        <s v="State of the art in the use of emerging technologies in the public sector"/>
        <s v="Facial Recognition Principles"/>
        <s v="Ethics of Artificial Intelligence: Case Studies and Options for Addressing Ethical Challenges"/>
        <s v="Bridges to the future of education: Policy recommendations for the digital age"/>
        <s v="The 3rd Insdustrial Revolution Strategy Study"/>
        <s v="Universal Guidelines for Artificial Intelligence"/>
        <s v="Beijing Artificial Intelligence Principles"/>
        <s v="Policy brief on Discrimination at Recruitment and Selection"/>
        <s v="Algorithmic Impact Assessment (AIA)"/>
        <s v="Directive on Automated Decision-Making"/>
        <s v="Government of Canada Strategic Plan for Information Management and Information Technology 2017-2021"/>
        <s v="Machine learning: the power and promise of computers that learn by example"/>
        <s v="#BigData: Discrimination in data-supported decision making"/>
        <s v="National AI Strategy: Unlocking Tunisia’s capabilities potential."/>
        <s v="AI Ethics Principles"/>
        <s v="Study on the impact of predictive technologies and AI on the audiovisual sector, including possible specific measures to put into place in order to ensure freedom of expression and cultural diversity"/>
        <s v="State of implementation of the OECD AI Principles"/>
        <s v="AI Ethics Kakao"/>
        <s v="Feasibility Study on a legal framework on AI design, development and application based on CoE standards"/>
        <s v="The National Artificial Intelligence Research and Development Strategic Plan"/>
        <s v="Responsible AI practices"/>
        <s v="United Nations Activities on Artificial Intelligence (AI) 2021"/>
        <s v="Report of the Special Rapporteur on the right to privacy"/>
        <s v="Stop explaining black box machine learning models for high stakes decisions and use interpretable models instead"/>
        <s v="United Nations Development Program - Digital Strategy 2022-2025"/>
        <s v="Report on the Risks and Benefits of Artificial Intelligence and Robotics (link broken)"/>
        <s v="Artificial Intelligence. The Public Policy Opportunity"/>
        <s v="Regulating AI to protect the consumer: Position Paper on the AI Act"/>
        <s v="Opinion of the Data Ethics Commission on the National AI strategy"/>
        <s v="Defining AMIA's artificial intelligence principles"/>
        <s v="AI in the UK: ready, willing and able?"/>
        <s v="Digitalwallonia4AI"/>
        <s v="Artificial Intelligence and Education: A critical view through the lens of human rights, democracy and the rule of law"/>
        <s v="Developing a Shared Vision of Ethical AI in Education: An Invitation to Participate"/>
        <s v="Draft text of the Recommendation on the ethics of artificial intelligence"/>
        <s v="I'd blush if I could"/>
        <s v="Human rights impact assessment of digital activities"/>
        <s v="Preliminary study on the Ethics of Artificial Intelligence"/>
        <s v="Regulating for European AI that Protects and Advances Equality"/>
        <s v="European Declaration on Digital Rights and Principles for the Digital Decade"/>
        <s v="Business Ethics and Artificial Intelligence"/>
        <s v="Principles for the safe and effective use of data and analytics"/>
        <s v="Toward a draft text of a Recommendation on the Ethics of Artificial Intelligence (working document)"/>
        <s v="Study Requested by the Committee on Industry, Research Energy, European AI leadership"/>
        <s v="AI, human rights, democracy and the rule of law: A primer prepared for the Council of Europe"/>
        <s v="Report on Big Data and Health"/>
        <s v="Declaration on Ethics and Data Protection in Artificial Intelligence"/>
        <s v="Report on Justice by algorithm (the role of artificial intelligence in policing and criminal justice systems)"/>
        <s v="L'intelligence artificielle dans l'administration publique au Québec"/>
        <s v="Recommendation on Human Rights Impacts of Algorithmic Systems"/>
        <s v="Report on AI and Data Protection Challenges and Possible Remedies"/>
        <s v="Artificial Intelligence and the Future of Work"/>
        <s v="Putting AI ethics to work: are the tools fit for purpose?"/>
        <s v="Design Ethically Toolkit"/>
        <s v="Automated and connected automated driving - Automatisiertes und Vernetztes Fahren"/>
        <s v="Guidelines on facial recognition"/>
        <s v="The ethical issues of the application of artificial intelligence in healthcare: a systematic scoping review"/>
        <s v="Pervade project: Pervasive Data Ethics for computanional research"/>
        <s v="Artificial Intelligence diplomacy"/>
        <s v="Charlevoix Common Vision for the Future of Artificial Intelligence"/>
        <s v="Oxford - Munich code of conduct"/>
        <s v="Report with recommendations to the Commission on Civil Law Rules on Robotics"/>
        <s v="AI Code of Ethics"/>
        <s v="AI Index 2018"/>
        <s v="Ethics in robotics research. CERNA Mission and Context"/>
        <s v="Human rights in the age of Artificial Intelligence"/>
        <s v="Artificial Intelligence in Society"/>
        <s v="Intel Recommends Public Policy Principles for Artificial Intelligence"/>
        <s v="The Ethics of AI Ethics - An Evaluation of Guidelines"/>
        <s v="Algorithms and fundamental rights - Algoritmes en grondrechten"/>
        <s v="Data Ethics Decision Aid (DEDA)"/>
        <s v="Leading the way into the age of artiﬁcial intelligence"/>
        <s v="Künstliche Intelligenz – Gemeinwohl als Maßstabm Gute Arbeit als Prinzip"/>
        <s v="Verivox/Pro7 Selbstverpflichtung (Commitment)"/>
        <s v="Vodafone AI Framework"/>
        <s v="AI Sector Deal"/>
        <s v="Introducing Unity’s Guiding Principles for Ethical AI – Unity Blog"/>
        <s v="Biometric Recognition and Behavioural Detection"/>
        <s v="White Paper: How to Prevent Discriminatory Outcomes in Machine Learning"/>
        <s v="Executive Order on Maintaining American Leadership in Artificial Intelligence"/>
        <s v="Guidance for Regulation of Artificial Intelligence Applications"/>
        <s v="AI Portugal 2030"/>
        <s v="Position on Robotics and Artificial Intelligence"/>
        <s v="AI procurement in a box: AI government procurement guidelines."/>
        <s v="Twitter Moments guidelines and principles"/>
        <s v="Sony Group AI Ethics Guidelines"/>
        <s v="Artificial intelligence in Swedish business and society"/>
        <s v="QCRI Center for Artificial Intelligence"/>
        <s v="Ambitious, safe, responsible: our approach to the delivery of AI-enabled capability in Defence"/>
        <s v="AI Now 2018 Report"/>
        <s v="Building a National AI Research Resource: A Blueprint for the National Research Cloud  National  AI Research  Resource: A Blueprint for  the National  Research Cloud"/>
        <s v="Generating evidence for artificial intelligence-based medical devices: A framework for training, validation and evaluation"/>
        <s v="Report on preventing discrimination caused by the use of artificial intelligence"/>
        <s v="Artificial Intelligence. Australia's Ethics Framework. A discussion paper"/>
        <s v="Artificial Intelligence in public services - Overview of the use and impact of AI in public services in the EU"/>
      </sharedItems>
    </cacheField>
    <cacheField name="Institution" numFmtId="0">
      <sharedItems containsBlank="1">
        <s v="."/>
        <s v="University of Stanford, SRI International, MIT, OpenAI, McKinsey Global Institute, Partnership on AI, Harvard University"/>
        <s v="European Commission"/>
        <s v="Vrije Universiteit Brussel"/>
        <s v="House of Lords, Justice and Home affairs Committee (United Kingdom)"/>
        <s v="European Commission (European network of legal experts in&#10;  gender equality and non-discrimination)"/>
        <s v="Accenture"/>
        <s v="Accenture UK"/>
        <s v="Council of Europe"/>
        <s v="The Information Accountability Foundation"/>
        <s v="Samsung Research"/>
        <s v="AccessNow"/>
        <s v="The European Robotics Research Network (EURON)"/>
        <s v="Adapt Center"/>
        <s v="ADEL"/>
        <s v="The Alan Turing Institute"/>
        <s v="CIGREF/Syntec Numérique"/>
        <s v="University of Birmingham"/>
        <s v="Council of Europe: European Commission for the efficiency of Justice (CEPEJ)"/>
        <s v="Centre on AI Technology for Humanking (AiTH) at NUS Business School"/>
        <s v="AI Council (United Kingdom)"/>
        <s v="Department for Digital, Culture, Media &amp; Sport and Department for Business, Energy &amp; Industrial Strategy (United Kingdom)"/>
        <s v="AI Now Institute"/>
        <s v="Parliament Science and Technology Committee (United Kingdom)"/>
        <s v="Council of the European Union"/>
        <s v="Future of Humanity Institute, University of Oxford"/>
        <s v="National Science and Technology Council (US)"/>
        <s v="AISOMA"/>
        <s v="AISP"/>
        <s v="Ministry of Internal Affairs and Communications"/>
        <s v="The Future Society Science Law and Society (SLS) Initiative"/>
        <s v="World Economic Forum (WEF)"/>
        <s v="All Tech is Human"/>
        <s v="European Economic and Social Committee (EESC)"/>
        <s v="Allen Institute for Artificial Intelligence – AI2 (Oren Etzioni, professor of Computer Science)"/>
        <s v="Council of Europe (Parliamentary Assembly)"/>
        <s v="Research ICT Africa"/>
        <s v="Google"/>
        <s v="Future of Privacy Forum"/>
        <s v="Article 29 Working Party"/>
        <s v="Association for Computing Machinery - Future of Computing Machinery"/>
        <s v="World Federation of Engineering Organizations (WEFO)"/>
        <s v="TBS Canada"/>
        <s v="Association for Computing Machinery (ACM)"/>
        <s v="European Commission (Joint Research Centre, AI Watch)"/>
        <s v="Association of Nordic Engineers, IEEE, the Data Ethics ThinkDoTank (DataEthics.eu), University of Copenhagen"/>
        <s v="European Digital Rights (EDRi)"/>
        <s v="Australian Human Rights Commission"/>
        <s v="National New Generation Artificial Intelligence Governance Expert Committee"/>
        <s v="Austrian Council For Robotics And Artificial Intelligence"/>
        <s v="Women leading in AI"/>
        <s v="Axon"/>
        <s v="BCG, Bucerius Law School, LegalTech Deutschland"/>
        <s v="Berkman Klein Center (University of Harvard)"/>
        <s v="European Parliament"/>
        <s v="ITechLaw"/>
        <s v="National Institute of Standards and Technology (NIST) (US)"/>
        <s v="Bitkom"/>
        <s v="United Nations (OHCHR)"/>
        <s v="Brazil’s Ministry of Science, Technology, Innovations and Communications"/>
        <s v="Council of Europe and Finnish Presidency of the Committee of Ministers"/>
        <s v="Bundesverband KI"/>
        <s v="Conference of the Independent Federal and State Data Protection Supervisory Authorities - Datenschutzkonferenz (Germany)"/>
        <s v="Ministry of Industry and Trade of Czech Republic"/>
        <s v="CBS (Statistics Netherlands)"/>
        <s v="European Union Intellectual Property Office (EUIPO)"/>
        <s v="Center for Democracy &amp; technology (CDT)"/>
        <s v="Center for Humane Technology"/>
        <s v="Microsoft"/>
        <s v="Centre for Data Ethics and Innovation"/>
        <s v="Defense Innovation Board"/>
        <s v="Centre for Information Policy Leadership (CIPL)"/>
        <s v="Centre for the Governance of AI (GovAI)"/>
        <s v="Australian Strategic Policy Institute (ASPI), University of Adelaide, Australian Institute for Machine Learning"/>
        <s v="United Nations Educational Scientific and Cultural Organization (UNESCO)"/>
        <s v="University of Cambridge"/>
        <s v="Fundamental Rights Agency (FRA)"/>
        <s v="Charta of digital networking"/>
        <s v="Chinese AI Industry Alliance (AIIA)"/>
        <s v="CIFAR"/>
        <s v="Always Designing for People"/>
        <s v="Swiss Academy of Technical Sciences (SATW)"/>
        <s v="Cities Coalition for Digital Rights"/>
        <s v="Sage"/>
        <s v="Commission de réflexion sur l’Éthique de la Recherche en sciences et technologies du Numérique d’Allistene (CERNA - France)"/>
        <s v="OP Group"/>
        <s v="Commission du droit de l'Ontario"/>
        <s v="The German Ethics Council"/>
        <s v="Eindhoven University of Technology"/>
        <s v="Commission nationale informatique et libertés (CNIL - France)"/>
        <s v="European Commission (AI HLEG)"/>
        <s v="Congress (US)"/>
        <s v="Conseil d'Etat (France)"/>
        <s v="Conseil National des Barreaux (CNB)"/>
        <s v="Conseil National du Numérique (CNN - France)"/>
        <s v="Fraunhofer Institute for Intelligent Analysis and Information Systems IAIS "/>
        <s v="Défenseur des droits (in partnership with CNIL)"/>
        <s v="Council of Europe (CAHAI)"/>
        <s v="AIEI Group"/>
        <s v="Brookings, Centre for European Policy Studies"/>
        <s v="International Working Group on Data Protection on Telecommunications"/>
        <s v="Council of Europe (CDPC)"/>
        <s v="The Saudi Data and Artificial Intelligence Authority"/>
        <s v="World Health Organization (WHO)"/>
        <s v="University of Stanford"/>
        <s v="Machine Intelligence Research Institute"/>
        <s v="Council of Europe and Croatian Presidency of the Committee of Ministers"/>
        <s v="Council of Europe (Committee of Ministers)"/>
        <s v="Data &amp; Society"/>
        <s v="Information Commissioner's Office"/>
        <s v="Council of Europe (Consultative Committee of the Convention 108)"/>
        <s v="Council of Europe (DG1 and Venice Commission)"/>
        <s v="Council of Europe (DG1)"/>
        <s v="Thomson Reuters"/>
        <s v="Orange"/>
        <s v="KPMG, University of Queensland"/>
        <s v="Federal Chancellery, Federal Ministry for Digital and Economic Affairs (Austria)"/>
        <s v="University of Notre Dame"/>
        <s v="Council of Europe (MSI-REF)"/>
        <s v="HUB4NGI"/>
        <s v="Organisation for Economic Co-operation and Development (OECD)"/>
        <s v="Special Interest Group on Artificial Intelligence (SIGAI), ICT Platform Netherlands (IPN)"/>
        <s v="UK Department of Health &amp; Social Care"/>
        <s v="Council of Europe (Venice Commission)"/>
        <s v="AI Forum"/>
        <s v="Intel Corporation"/>
        <s v="Presidential advisory for economic affairs and digital transformation (Colombia)"/>
        <s v="Freedom Online Coalition"/>
        <s v="Cour de cassation (France)"/>
        <s v="Critical Engineering Working Group"/>
        <s v="Cyberjustice Laboratory"/>
        <s v="SAP"/>
        <s v="European Commission (Joint Research Centre)"/>
        <s v="Council of Europe (MSI-NET)"/>
        <s v="BlackBerry"/>
        <s v="DataforGood"/>
        <s v="Dataiku"/>
        <s v="DeepMind"/>
        <s v="Digital Future for Europe coalition"/>
        <s v="University of Oxford, Oxford Internet Institute"/>
        <s v="Department for Digital, Culture, Media &amp; Sport (United Kingdom)"/>
        <s v="American Medical Association (AMA)"/>
        <s v="Centre for the Governance of AI, Future of Humanity Institute, University of Oxford"/>
        <s v="Data Ethics Commission (Germany)"/>
        <s v="The Philippine government"/>
        <s v="Department of Economy, Science and Innovation (Flanders, Belgium)"/>
        <s v="Parliamentary Secretariat for Financial Services, DIgital Economy and Innovation (Malta)"/>
        <s v="Research Center for Brain-inspired Intelligence, Institute of Automation, Chinese Academy of Sciences"/>
        <s v="Deputy Prime Minister of the Slovak Republic for Investment and Informatics"/>
        <s v="Institute of Electrical and Electronics Engineers (IEEE), The IEEE Global Initiative on Ethics of Autonomous and Intelligent Systems"/>
        <s v="Digital Impact Alliance (DIAL)"/>
        <s v="DrivenData"/>
        <s v="Department of Business, Enterprise and Innovation (DBEI) of Ireland"/>
        <s v="The Holberton-Turing Oath"/>
        <s v="New Zealand Government; Stats NZ"/>
        <s v="ETH Zurich"/>
        <s v="Ethics council HR Tech - Ethikbeirat HR Tech"/>
        <s v="Deutsche Telekom"/>
        <s v="Software &amp; Information Industry Association (SIIA), Public Policy Division"/>
        <s v="PriceWaterhouseCoopers (PWC)"/>
        <s v="European Data Protection Supervisor (EDPS)"/>
        <s v="ESMA (European Securities and Markets Authority), EBA (European Banking Authority), EIOPA (European Insurance and Occupational Pensions Authority) and the Joint Committtee of the European Supervisory Authorities, Joint Committee"/>
        <s v="Danish Expert Group on Data Ethics - Ekspertgruppen om DATAETIK"/>
        <s v="AI4Belgium Coalition"/>
        <s v="COMEST/UNESCO"/>
        <s v="Oxford Internet Institute"/>
        <s v="Executive Office of the President; National Science and Technology Council; Committee on Technology"/>
        <s v="RenAIssance Foundation"/>
        <s v="British Embassy Mexico City"/>
        <s v="The Netherlands Scientific Council for Government Policy"/>
        <s v="National Research Council Canada"/>
        <s v="IBM"/>
        <s v="Department of Health &amp; Social Care"/>
        <s v="Leadership Conference on Civil and Human Rights"/>
        <s v="Institute for the Future of Work"/>
        <s v="The Rathenau Instituut"/>
        <s v="European Commission (Expert group on liability and new technologies)"/>
        <s v="Adobe"/>
        <s v="Advisory Board on Artificial Intelligence and Human Society (initiative of the Minister of State for Science and Technology Policy)"/>
        <s v="United Nations Educational Scientific and Cultural Organization (UNESCO), Organisation for Economic Co-operation and Development (OECD), Inter-American Development Bank (IDB)"/>
        <s v="Department of Defence (Australia)"/>
        <s v="Orange; Arborus"/>
        <s v="OpenAI"/>
        <s v="Autorité de contrôle prudentiel et de résolution (ACPR - France)"/>
        <s v="European Law Institute (ELI)"/>
        <s v="Council of Europe (Commissioner for Human Rights)"/>
        <s v="United Nations, UN Secretary-General’s High-level Panel on Digital Cooperation"/>
        <s v="Tencent Research Institute"/>
        <s v="Inter-American Development Bank"/>
        <s v="Treasury Board (Canada)"/>
        <s v="Philips"/>
        <s v="Biometrics and Forensics Ethics Group (BFEG)"/>
        <s v="Ministry of Economy, Trade and Industry (Japan)"/>
        <s v="Federation of German Consumer Organisations"/>
        <s v="The Leadership Conference on Civil and Human Rights"/>
        <s v="IDEO"/>
        <s v="Prime Minister of Malaysia"/>
        <s v="French Data Protection Authority (CNIL)"/>
        <s v="European Commission (DG for Education, Youth, Sport and Culture)"/>
        <s v="The Humanitarian Data Science and Ethics Group"/>
        <s v="Center for Democracy &amp; Technology"/>
        <s v="Personal Data Protection Commission Singapore"/>
        <s v="Commission de Surveillance du Secteur Financier"/>
        <s v="Yale Law School"/>
        <s v="Personal Data Commission Singapore"/>
        <s v="Council of Europe (MSI-AUT)"/>
        <s v="The New York Times"/>
        <s v="European Union Agency for Cybersecurity (ENISA)"/>
        <s v="EUROPOL"/>
        <s v="ExamAI"/>
        <s v="Executive Yuan (Taiwan)"/>
        <s v="Fair Trials"/>
        <s v="IAPP"/>
        <s v="Fast.ai"/>
        <s v="Federal Cartel Office - Bundeskartellamt (Germany)"/>
        <s v="Partnership on AI"/>
        <s v="Federal Government (Germany)"/>
        <s v="Federal Ministry for Transport, Innovation and Technology, Federal Ministry for Digital and Economic Affairs (Austria)"/>
        <s v="Federal Ministry of Education and Research (Germany) - ABIDA"/>
        <s v="Future of Life Institute"/>
        <s v="Ada Lovelace Institute"/>
        <s v="France"/>
        <s v="Information Commissioner Office"/>
        <s v="Office of the Director of National Intelligence"/>
        <s v="French Presidency of the Committee of Ministers"/>
        <s v="DTIBR (Centro de pesquisa em direito, tecnologia e inovaçao), Expert Editora Digital"/>
        <s v="Cabinet Office (Japan)"/>
        <s v="Engineering and Physical Sciences Research Council UK (EPSRC)"/>
        <s v="Institute of Electrical and Electronics Engineers (IEEE)"/>
        <s v="G20"/>
        <s v="German Informatics Society - Gesellschaft für Informatik"/>
        <s v="German Presidency of the Committee of Ministers"/>
        <s v="Global Network Initiative"/>
        <s v="Université de Montréal"/>
        <s v="Globalpolicy.ai"/>
        <s v="Konrad-Adenauer-Stiftung"/>
        <s v="Telefonica Executive Committee"/>
        <s v="Government CIO Office, Ministry of Economic Affairs and Communications (Estonia)"/>
        <s v="Ministry of Local Government and Modernisation (Norway)"/>
        <s v="Aptiv, Audi, BMW, Daimler and other automotive companies"/>
        <s v="Google - People + AI Research (PAIR)"/>
        <s v="Government Digital Service and Office for Artificial Intelligence (United Kingdom)"/>
        <s v="Government ICT Authority (Israel)"/>
        <s v="ArmAI"/>
        <s v="Government of Ireland"/>
        <s v="Government of the Republic of Korea"/>
        <s v="Government of the Republic of Lithuania"/>
        <s v="Government offices - Regeringskansliet (Sweden)"/>
        <s v="Government Offices (Sweden)"/>
        <s v="Government Statistics Authority (United Kingdom)"/>
        <s v="H5 (Nicolas Economou)"/>
        <s v="Royal Australian and New Zealand College of Radiologists"/>
        <s v="Handelsblatt Research Institute"/>
        <s v="HM Government (United Kingdom)"/>
        <s v="Hochschule der Medien"/>
        <s v="Central Digital &amp; Data Office"/>
        <s v="Future of Humanity Institute; University of Oxford; Centre for the Study of Existential Risk; University of Cambridge; Center for a New American Security; Electronic Frontier Foundation; OpenAI"/>
        <s v="IA Lalam"/>
        <s v="IA2030Mx"/>
        <s v="Ministry of Economic Affairs and Climate Policy (Netherlands)"/>
        <s v="Monetary Authority of Singapore"/>
        <m/>
        <s v="EUROCONTROL"/>
        <s v="Icelandic Institute for Intelligent Machines (IIIM)"/>
        <s v="ind.ie"/>
        <s v="Independent Advisory Group (IAG) on the Use of Biometric Data (Scotland)"/>
        <s v="India Government"/>
        <s v="Indian Society of Artificial Intelligence and Law (ISAIL)"/>
        <s v="Council of Europe (European Audiovisual Observatory)"/>
        <s v="Digital Catapult"/>
        <s v="Information Commissioner’s Office (ICO - United Kingdom)"/>
        <s v="Information Commissioner’s Office (United Kingdom)"/>
        <s v="CIGI Gentre for International Governance Innovation"/>
        <s v="The Linux Foundation"/>
        <s v="Inspector General for the Protection of Personal Data (Poland)"/>
        <s v="Institute for Information and Communications Policy (IICP), The Conference toward AI Network Society"/>
        <s v="Access Now ; Amnesty International"/>
        <s v="Institute for the Future, Omidyar Networks Tech and Society Solutions Lab"/>
        <s v="Institute of Criminology at the Faculty of Law of Ljubljana"/>
        <s v="World Economic Forum (WEF), Deloitte and the Markkula Center for Applied Ethics at Santa Clara University"/>
        <s v="Ministry of Economic Affairs and Employment (Finland)"/>
        <s v="Academy of Medical Royal Colleges"/>
        <s v="The Insitute for Ethical AI in Education"/>
        <s v="New Zealand Human Rights Commission"/>
        <s v="TU Wien"/>
        <s v="Ipsos"/>
        <s v="ISO"/>
        <s v="Italian Government"/>
        <s v="United Nations, Secretary General's Envoy on Technology"/>
        <s v="Japanese Government"/>
        <s v="Japanese Society for Artificial Intelligence"/>
        <s v="Mission Villani"/>
        <s v="Kenyan Government"/>
        <s v="KI + VERWALTUNG"/>
        <s v="Konferenz der unabhängigen Datenschutzaufsichtsbehörden des Bundes und der Länder (Conference of the independent data protection supervisory authorites in Germany)"/>
        <s v="KU Leuven, University of Birmingham, University of Edimburgh"/>
        <s v="Laboratoire de l'égalité"/>
        <s v="Laboratoire National de métrologie et d'Essai (LNE - France)"/>
        <s v="United Arab Emirates Government"/>
        <s v="Malta Digital Innovation Authority"/>
        <s v="Markkula Center"/>
        <s v="Massachusetts Institute of Technology"/>
        <s v="Mc Kinsey"/>
        <s v="Department for Digital, Culture, Media &amp; Sport and Department for Business, Energy &amp; Industrial Strategy - Office for AI (United Kingdom)"/>
        <s v="W20"/>
        <s v="National New Generation AI Promotion Office / National New Generation Artificial Intelligence Governance Committee"/>
        <s v="United Nations (UNICRI), Interpol"/>
        <s v="Stanford University Human-Centered Artificial Intelligence"/>
        <s v="University of Stanford, Stanford Institute for Human-centered AI"/>
        <s v="Microsoft Design"/>
        <s v="Minister of Research and Technology of Indonesia"/>
        <s v="Ministère de l'intérieur (France)"/>
        <s v="Ministerio de asuntos economicos y transformacion digital (Spain)"/>
        <s v="Ministry of Defense of the Russian Federation"/>
        <s v="Ministry of Digital Transformation (Ukraine)"/>
        <s v="Ministry of Digitisation (Poland)"/>
        <s v="United Nations Children's Fund (UNICEF)"/>
        <s v="Ministry of Economic Affairs and Employment"/>
        <s v="Ministry of economic development (Italy)"/>
        <s v="Ministry of Education, Science and Technological Development (Serbia)"/>
        <s v="Ministry of Enterprise and Innovation (Sweden)"/>
        <s v="Ministry of Finance (Finland)"/>
        <s v="Ministry of Industry and Information Technology (MIIT) (China)"/>
        <s v="NATO"/>
        <s v="Ministry of Justice (Sweden)"/>
        <s v="Z-Inspection"/>
        <s v="Ministry of Science, Technology, Knowledge and Innovation of Chile"/>
        <s v="Council of Europe (CEPEJ)"/>
        <s v="Montreal AI Ethics Institute"/>
        <s v="Mozilla Foundation"/>
        <s v="National Academies of Science, Engineering &amp; Medecine"/>
        <s v="Thales"/>
        <s v="Council of Europe (CDCJ)"/>
        <s v="World Economic Forum (WEF), Global Future Council on Agile Governance"/>
        <s v="French National Ethical Consultative Committee for Life Sciences and Health (CCNE)"/>
        <s v="Bertelsmann Stiftung, iRights.lab"/>
        <s v="Foundation for Best Practices in Machine Learning (FBPML)"/>
        <s v="Smart Dubai"/>
        <s v="National Research Foundation (Singapore)"/>
        <s v="PLOS Computational Biology"/>
        <s v="Commission nationale consultative des droits de l'Homme (CNCDH - France)"/>
        <s v="National Science and Technology Council, United States Department of Transportation (US)"/>
        <s v="UX Studio Team"/>
        <s v="Standards Australia"/>
        <s v="AlgorithmWatch"/>
        <s v="Numeum"/>
        <s v="O'Reilly"/>
        <s v="OBVIA"/>
        <s v="Office of the Vice-President of the Government for Investment and Informatisation"/>
        <s v="Office parlementaire d’évaluation des choix scientifiques et technologiques (France)"/>
        <s v="Council of Europe (ECRI)"/>
        <s v="Open Ethics Initiative"/>
        <s v="Open Loop"/>
        <s v="Ministry of Finance and Ministry of Industry, Business and Financial Affairs (Danemark)"/>
        <s v="European Commission, European Group on Ethics in Science and New Technologies"/>
        <s v="Republic of Užupis"/>
        <s v="The Norwegian Data Protection Authority"/>
        <s v="Information Commissioner’s Office, The Alan Turing Institute (United Kingdom)"/>
        <s v="Parliament (Finland)"/>
        <s v="Parliament (Germany)"/>
        <s v="University of Bath"/>
        <s v="Swiss Alliance for Data-Intensive Services"/>
        <s v="Council of Europe (Youth Department)"/>
        <s v="Integrate.ai"/>
        <s v="Information Technology Industry (ITI) Council"/>
        <s v="Pervade at University of Maryland"/>
        <s v="European Commission, European Investment Bank"/>
        <s v="Poland"/>
        <s v="Policy Action Network"/>
        <s v="President of Argentina"/>
        <s v="Presidential executive order (Russia)"/>
        <s v="United Nations, Secretary General"/>
        <s v="National Institution for Transforming India (Niti Aayog)"/>
        <s v="PriceWaterhouseCoopers (PwC) UK"/>
        <s v="Privacy Commissioner for Personal Data (Hong Kong)"/>
        <s v="Future Advocacy"/>
        <s v="Council of Bars and Law Societies of Europe (CCBE), European Lawyers Fundation (ELF)"/>
        <s v="QuantumBlack (McKinsey)"/>
        <s v="European Network of Equality Bodies (EQUINET)"/>
        <s v="reputable.AI"/>
        <s v="Stanford Law School"/>
        <s v="Organization for Security and Co-operation in Europe (OSCE)"/>
        <s v="Responsible AI institute"/>
        <s v="AI4People; Atomium-EISMD"/>
        <s v="Technical University of Delft"/>
        <s v="Salesforce research"/>
        <s v="Global Partnership on Artificial Intelligence (GPAI), Climate Change AI, Centre for AI&amp;Climate"/>
        <s v="Shanghai YoungAI"/>
        <s v="Polytechnic University of Turin"/>
        <s v="Canada, France"/>
        <s v="Sohu"/>
        <s v="Spain"/>
        <s v="Spanish Agency for Data Protection (AEPD - Spain)"/>
        <s v="Standards Admin of China"/>
        <s v="United Nations (Human Rights Council)"/>
        <s v="Telia Company"/>
        <s v="State Council (China)"/>
        <s v="Data Ethics"/>
        <s v="Strategic Council for Ai Technology (Japan)"/>
        <s v="The Government of the Grand Duchy of Luxembourg"/>
        <s v="T20"/>
        <s v="Privacy International &amp; Article 19"/>
        <s v="Telefonica"/>
        <s v="Royal College of Physicians"/>
        <s v="Tencent"/>
        <s v="Tencent Technology News, Tencent Research Institute, Tencent AI Lab"/>
        <s v="ALLAI"/>
        <s v="RegHorizon, ETH Zurich"/>
        <s v="The Institute for Ethical AI &amp; Machine Learning"/>
        <s v="The Critical Engineering Working Group"/>
        <s v="Tieto"/>
        <s v="The Ethics Center"/>
        <s v="Organisation for Economic Co-operation and Development (OECD), GPAI"/>
        <s v="Fairness, Accountability, and Transparency in Machine Learning (FATML)"/>
        <s v="The Good Technology Collective"/>
        <s v="Satya Nadella"/>
        <s v="Agenzia per l'Italia Digitale (AGID)"/>
        <s v="Council of Europe (CDBIO)"/>
        <s v="UNI Global Union"/>
        <s v="Chambre des communes (Canada)"/>
        <s v="The Institute for Ethical AI &amp; ML"/>
        <s v="Nordic Council of Ministers for Digitalisation 2017-2020 (MR-DIGITAL)"/>
        <s v="The Law Library of the Congress"/>
        <s v="American College of Radiology; European Society of Radiology; Radiology Society of North America; Society for Imaging Informatics in Medicine; European Society of Medical Imaging Informatics; Canadian Association of Radiologists; American Association of P"/>
        <s v="The National Council for Artificial Intelligence (Egypt)"/>
        <s v="AI Recht"/>
        <s v="The Internet Society"/>
        <s v="The Open Data Institute"/>
        <s v="Federal Ministry of Education and Research; Federal Ministry for Economic Affairs and Labour and Social Affairs Energy"/>
        <s v="Government of Catalonia (Spain)"/>
        <s v="The Rathenau Institute"/>
        <s v="University of Central Lancashire, University of Nottingham, University De Monfort"/>
        <s v="Think 20 (T20)"/>
        <s v="Third Industrial Revolution Consulting Group (Luxembourg)"/>
        <s v="The Public Voice"/>
        <s v="International Research Center for AI Ethics and Governance"/>
        <s v="TNO (Netherlands)"/>
        <s v="The Royal Society"/>
        <s v="Tunisia’s Secretary of State for Research"/>
        <s v="Department of Industry, Science, Energy and Resources (Australia)"/>
        <s v="Council of Europe (Eurimages)"/>
        <s v="Kakako Corp"/>
        <s v="National Science and Technology Council, Networking and Information Technology Research and Development Subcommittee (US)"/>
        <s v="United Nations (ITU)"/>
        <s v="University of Duke"/>
        <s v="United Nations (UNDP)"/>
        <s v="United Nations (UNICRI)"/>
        <s v="Bureau européen des Unions des Consommateurs (BEUC)"/>
        <s v="American Medical Informatics Association (AMIA)"/>
        <s v="UK House of Lords, Select Committee on Artificial Intelligence"/>
        <s v="Walloon Government (Belgium)"/>
        <s v="Council of Europe (Education Department)"/>
        <s v="University of Buckingham"/>
        <s v="The Danish Institute for Human Rights"/>
        <s v="European Union"/>
        <s v="Institute of Business Ethics"/>
        <s v="Stats New Zealand and Office of the Privacy Commissioner"/>
        <s v="The Alan Turing Institute, Council of Europe"/>
        <s v="International Conference of Data Protection and Privacy Commissioners (ICDPPC)"/>
        <s v="Université de Laval"/>
        <s v="DGB"/>
        <s v="University of Southampton"/>
        <s v="Ethics Committee of the Federal Ministry of Transport and Digital Infrastructure (BMVI) - Ethkikkommission des Bundesministeriums für Verkehr und digitale Infrastruktur (Germany)"/>
        <s v="University of Maastricht"/>
        <s v="University of Maryland"/>
        <s v="G7"/>
        <s v="University of Oxford, University of Granada"/>
        <s v="Commission for the Implementation of the Code of Ethics in the Field of Artificial Intelligence"/>
        <s v="CERNA (Allistene)"/>
        <s v="Access Now"/>
        <s v="University of Tübingen"/>
        <s v="University of Utrecht"/>
        <s v="University of Utrecht, University of Duisburg"/>
        <s v="Ver.di"/>
        <s v="Verivox"/>
        <s v="Vodafone Group"/>
        <s v="Unity Technologies"/>
        <s v="WEF, Global Future Council on Human Rights 2016-2018"/>
        <s v="White House (US)"/>
        <s v="Coordination Office of INCoDe.2030 Initiative, Portuguese Science and Technology Foundation (FCT), Portuguese Innovation Agency (ANI), Ciência Viva and the Portuguese Agency for Administrative Modernisation (AMA)"/>
        <s v="The Greens (Green Working Group Robots)"/>
        <s v="Twitter"/>
        <s v="Sony"/>
        <s v="Sweden’s innovation agency (Vinnova)"/>
        <s v="Qatar Computing Research Institute (QCRI)"/>
        <s v="UK Ministry of Defence"/>
        <s v="HAI, University of Stanford, Stanford Law School"/>
        <s v="Australian Government - Department of Industry Innovation and Science"/>
      </sharedItems>
    </cacheField>
    <cacheField name="URL" numFmtId="0">
      <sharedItems containsBlank="1">
        <s v="https://hdsr.mitpress.mit.edu/pub/l0jsh9d1/release/8"/>
        <s v="https://manyfesto.ai/"/>
        <m/>
        <s v="https://aiindex.stanford.edu/wp-content/uploads/2022/03/2022-AI-Index-Report_Master.pdf"/>
        <s v="https://eur-lex.europa.eu/legal-content/en/TXT/?uri=CELEX%3A52021DC0118"/>
        <s v="https://osf.io/preprints/socarxiv/j36ke/"/>
        <s v="http://it.people.com.cn/n1/2020/0309/c1009-31622757.html"/>
        <s v="https://github.com/freeai-manifesto/manifesto"/>
        <s v="https://publications.parliament.uk/pa/ld5802/ldselect/ldjusthom/180/180.pdf"/>
        <s v="https://op.europa.eu/en/publication-detail/-/publication/082f1dbc-821d-11eb-9ac9-01aa75ed71a1"/>
        <s v="https://www.accenture.com/t20160629T012639Z__w__/us-en/_acnmedia/PDF-24/Accenture-Universal-Principles-Data-Ethics.pdf new URL https://fr.scribd.com/document/450122018/Accenture-Universal-Principles-Data-Ethics#"/>
        <s v="https://www.accenture.com/gb-en/company-responsible-ai-robotics"/>
        <s v="https://hai.stanford.edu/sites/default/files/ai_index_2019_report.pdf"/>
        <s v="https://www.coe.int/en/web/artificial-intelligence/ai-and-control-of-covid-19-coronavirus"/>
        <s v="https://bigdata.fpf.org/wp-content/uploads/2015/11/IAF-Unified-Ethical-Frame-for-Big-Data-Analysis.pdf"/>
        <s v="https://research.samsung.com/artificial-intelligence"/>
        <s v="accessnow.org/wp-content/uploads/2018/11/mapping_regulatory_proposals_for_AI_in_EU.pdf"/>
        <s v="http://www.roboethics.org/index_file/Roboethics%20Roadmap%20Rel.1.2.pdf"/>
        <s v="https://www.ethicscanvas.org/index.html"/>
        <s v="http://www.adel-label.com/adel/"/>
        <s v="https://www.turing.ac.uk/sites/default/files/2019-06/understanding_artificial_intelligence_ethics_and_safety.pdf"/>
        <s v="https://www.cigref.fr/wp/wp-content/uploads/2019/02/Cigref-Syntec-Digital-Ethics-Guide-for-Professionals-of-Digital-Age-2018-October-EN.pdf"/>
        <s v="https://rm.coe.int/huderaf-coe-final-1-2752-6741-5300-v-1/1680a3f688"/>
        <s v="https://papers.ssrn.com/sol3/papers.cfm?abstract_id=3435011"/>
        <s v="https://rm.coe.int/ethical-charter-en-for-publication-4-december-2018/16808f699c"/>
        <s v="https://drive.google.com/uc?export=download&amp;id=1aRyqczni56ONA9PVExt2DrrJ1ATGKSu0"/>
        <s v="https://assets.publishing.service.gov.uk/media/5ff3bc6e8fa8f53b76ccee23/AI_Council_AI_Roadmap.pdf"/>
        <s v="https://www.gov.uk/government/publications/growing-the-artificial-intelligence-industry-in-the-uk"/>
        <s v="https://ainowinstitute.org/wp-content/uploads/2023/04/AI_Now_2017_Report.pdf"/>
        <s v="https://publications.parliament.uk/pa/cm201719/cmselect/cmsctech/351/351.pdf"/>
        <s v="http://data.consilium.europa.eu/doc/document/ST-14411-2018-INIT/en/pdf"/>
        <s v="https://www.fhi.ox.ac.uk/wp-content/uploads/Standards_-FHI-Technical-Report.pdf"/>
        <s v="https://obamawhitehouse.archives.gov/sites/default/files/whitehouse_files/microsites/ostp/NSTC/preparing_for_the_future_of_ai.pdf"/>
        <s v="https://assets.ctfassets.net/8wprhhvnpfc0/3JOy5k4f1YSCQOi8MCCmA2/97010d04fbc7892662ce8b2469dc1601/AI_Now_2016_Report.pdf"/>
        <s v="https://www.aisoma.de/wp-content/uploads/2021/01/Overview-of-National-AI-Strategies.pdf"/>
        <s v="https://aisp.upenn.edu/wp-content/uploads/2022/07/AISP-Toolkit_5.27.20.pdf"/>
        <s v="https://www.mofa.go.jp/policy/economy/g20_summit/osaka19/pdf/documents/en/annex_08.pdf"/>
        <s v="https://thefuturesociety.org/principles-law-and-society-initiative/"/>
        <s v="https://www.weforum.org/agenda/2019/06/4-steps-to-developing-responsible-ai/"/>
        <s v="https://alltechishuman.org/ai-human-rights-report"/>
        <s v="https://eur-lex.europa.eu/legal-content/EN/TXT/PDF/?uri=CELEX:52016IE5369&amp;from=EN"/>
        <s v="https://www.nytimes.com/2017/09/01/opinion/artificial-intelligence-regulations-rules.html"/>
        <s v="https://www.accessnow.org/cms/assets/uploads/2022/11/Access-Now-Version-Human-Rights-Implications-of-Algorithmic-Impact-Assessments_-Priority-Recommendations-to-Guide-Effective-Development-and-Use.pdf"/>
        <s v="https://pace.coe.int/files/28737/pdf"/>
        <s v="https://researchictafrica.net/ranitp2019-2-ai-ethics/"/>
        <s v="https://blog.google/technology/ai/ai-principles/"/>
        <s v="https://fpf.org/wp-content/uploads/2017/12/FPF-Automated-Decision-Making-Harms-and-Mitigation-Charts.pdf"/>
        <s v="https://fpf.org/wp-content/uploads/2022/05/FPF-ADM-Report-R2-singles.pdf"/>
        <s v="https://ec.europa.eu/newsroom/document.cfm?doc_id=47742"/>
        <s v="https://perma.cc/K22T-5DFU"/>
        <s v="https://www.acm.org/binaries/content/assets/public-policy/usacm/2018-usacm-statement-law-enforcement-access.pdf"/>
        <s v="http://www.wfeo.org/big-data-and-ai-principles-in-engineering/"/>
        <s v="https://buyandsell.gc.ca/cds/public/2018/06/28/05baa93c08b6f2d3000855170f831066/ABES.PROD.PW__EE.B017.E33657.EBSU000.PDF"/>
        <s v="https://www.acm.org/binaries/content/assets/public-policy/2017_joint_statement_iotprivacysecurity.pdf"/>
        <s v="https://www.acm.org/code-of-ethics"/>
        <s v="https://publications.jrc.ec.europa.eu/repository/bitstream/JRC126665/jrc126665_sustainable_implementation_of_ai_in_public_services_technical-report_v2.pdf"/>
        <s v="https://standards.ieee.org/initiatives/autonomous-intelligence-systems/ethical-dilemmas-ai-report/"/>
        <s v="https://edri.org/wp-content/uploads/2021/01/EDRi-open-letter-AI-red-lines.pdf"/>
        <s v="https://tech.humanrights.gov.au/sites/default/files/2021-05/AHRC_RightsTech_2021_Final_Report.pdf"/>
        <s v="https://www.newamerica.org/cybersecurity-initiative/digichina/blog/translation-chinese-expert-group-offers-governance-principles-responsible-ai/"/>
        <s v="https://www.acrai.at/wp-content/uploads/2019/04/190315_Ratsempfehlung_zum_Strategieprozess_AIM_AT_2030.pdf"/>
        <s v="https://www.bmk.gv.at/dam/jcr:8acef058-7167-4335-880e-9fa341b723c8/aimat_ua.pdf"/>
        <s v="https://womenleadinginai.org/wp-content/uploads/2019/02/WLiAI-Report-2019.pdf"/>
        <s v="https://www.axon.com/news/technology/axon-committed-to-listening-and-learning"/>
        <s v="https://web-assets.bcg.com/3a/4a/66275bf64d92b78b8fabeb3fe705/22-05-31-the-future-of-digital-justice-bls-bcg-web.pdf"/>
        <s v="https://ssrn.com/abstract=3518482"/>
        <s v="https://www.europarl.europa.eu/doceo/document/A-9-2020-0186_EN.pdf"/>
        <s v="https://www.itechlaw.org/publication/responsible-ai-2021-update/"/>
        <s v="https://nvlpubs.nist.gov/nistpubs/ir/2021/NIST.IR.8312.pdf"/>
        <s v="https://www.bitkom.org/sites/default/files/file/import/150901-Bitkom-Positionspapier-Big-Data-Leitlinien.pdf"/>
        <s v="https://www.bitkom.org/Bitkom/Publikationen/Empfehlungen-fuer-den-verantwortlichen-Einsatz-von-KI-und-automatisierten-Entscheidungen-Corporate-Digital-Responsibility-and-Decision-Making.html"/>
        <s v="https://www.ohchr.org/en/calls-for-input/2021/right-privacy-digital-age-report-2021"/>
        <s v="https://www.gov.br/mcti/pt-br/centrais-de-conteudo/comunicados-mcti/estrategia-digital-brasileira/digitalstrategy.pdf"/>
        <s v="https://www.acm.org/binaries/content/assets/public-policy/2017_usacm_statement_accessibility.pdf"/>
        <s v="https://rm.coe.int/conclusions-helsinki-conference-26-27-02-2019/168093bfca"/>
        <s v="https://ki-verband.de/ki-guetesiegel-ai-made-in-germany"/>
        <s v="https://www.europarl.europa.eu/doceo/document/TA-9-2022-0140_EN.pdf"/>
        <s v="https://www.datenschutz.bremen.de/sixcms/media.php/13/Hambacher_Erklaerung_englisch.pdf"/>
        <s v="https://www.mpo.cz/assets/en/guidepost/for-the-media/press-releases/2019/5/NAIS_eng_web.pdf."/>
        <s v="https://www.cbs.nl/-/media/_pdf/2018/48/verkennend%20onderzoek%20naar%20het%20gebruik%20van%20algoritmen%20binnen%20overheidsorganisaties.pdf"/>
        <s v="https://euipo.europa.eu/tunnel-web/secure/webdav/guest/document_library/observatory/documents/reports/2022_Impact_AI_on_the_Infringement_and_Enforcement_CR_Designs/2022_Impact_AI_on_the_Infringement_and_Enforcement_CR_Designs_FullR_en.pdf"/>
        <s v="https://www.cdt.info/ddtool/"/>
        <s v="https://www.humanetech.com/technologists#principles"/>
        <s v="https://www.microsoft.com/en-us/research/blog/research-collection-research-supporting-responsible-ai/"/>
        <s v="https://www.gov.uk/government/publications/covid-19-repository-and-public-attitudes-retrospective"/>
        <s v="https://media.defense.gov/2019/Oct/31/2002204458/-1/-1/0/DIB_AI_PRINCIPLES_PRIMARY_DOCUMENT.PDF"/>
        <s v="https://www.huntonprivacyblog.com/wp-content/uploads/sites/28/2020/03/cipl-hunton_andrews_kurth_legal_note_-_how_gdpr_regulates_ai__12_march_2020_-1.pdf"/>
        <s v="https://uploads-ssl.webflow.com/614b70a71b9f71c9c240c7a7/630534b77182a3513398500f_Brussels_Effect_GovAI.pdf"/>
        <s v="https://ad-aspi.s3.ap-southeast-2.amazonaws.com/2023-01/SR183%20AI%20Your%20questions%20answered.pdf?VersionId=RDGO41fuPaLXTscqQt0SKCfOkLU0G7.6"/>
        <s v="https://fr.unesco.org/sites/default/files/20210526mappingecosystemeiadsmaghreb.pdf"/>
        <s v="https://papers.ssrn.com/sol3/papers.cfm?abstract_id=3824736"/>
        <s v="https://fra.europa.eu/sites/default/files/fra_uploads/fra-2019-facial-recognition-technology-focus-paper-1_en.pdf"/>
        <s v="https://charta-digitale-vernetzung.de/app/uploads/2016/11/Charter-of-Digital-Networking.pdf"/>
        <s v="https://www.newamerica.org/cybersecurity-initiative/digichina/blog/translation-chinese-ai-alliance-drafts-self-discipline-joint-pledge/"/>
        <s v="https://ainowinstitute.org/wp-content/uploads/2023/04/AI_Now_2019_Report.pdf"/>
        <s v="https://www.cifar.ca/ai/pan-canadian-artificial-intelligence-strategy"/>
        <s v="https://www.adp.com/-/media/adp/redesign2018/pdf/data-privacy/ai-ethics-statement.pdf?rev=f155df771fea4850b310f17ca407f3f1&amp;hash=73364D9FB41931A7C1887B976538BE5C"/>
        <s v="https://www.satw.ch/fileadmin/user_upload/documents/02_Themen/08_Kuenstliche-Intelligenz/SATW-Swiss_AI_Strategy.pdf"/>
        <s v="https://citiesfordigitalrights.org/assets/Declaration_Cities_for_Digital_Rights.pdf"/>
        <s v="https://www.sage.com/investors/-/media/files/company/documents/pdf/business%20builders/latest%20news/business%20builders%20ethics%20of%20code.pdf"/>
        <s v="http://cerna-ethics-allistene.org/digitalAssets/38/38704_Avis_robotique_livret.pdf"/>
        <s v="https://www.op.fi/documents/20556/63695/Teko%C3%A4lyn+eettiset+periaatteet+EN/870b1f83-37bb-6013-f2b5-976d6d49aa85"/>
        <s v="https://www.lco-cdo.org/wp-content/uploads/2021/12/Comparing-European-and-Canadian-AI-Regulation-Final-November-2021.pdf"/>
        <s v="https://www.ethikrat.org/fileadmin/Publikationen/Stellungnahmen/englisch/opinion-big-data-and-health-summary.pdf"/>
        <s v="https://link.springer.com/article/10.1007/s10115-011-0463-8"/>
        <s v="https://www.cnil.fr/sites/default/files/atoms/files/cameras-intelligentes-augmentees_position_cnil.pdf"/>
        <s v="https://www.cnil.fr/sites/default/files/atoms/files/cnil_rapport_ai_gb_web.pdf"/>
        <s v="https://www.cnil.fr/en/self-assessment-guide-artificial-intelligence-ai-systems"/>
        <s v="https://ec.europa.eu/newsroom/dae/document.cfm?doc_id=60343"/>
        <s v="https://www.congress.gov/bill/116th-congress/house-bill/6216/text"/>
        <s v="https://www.conseil-etat.fr/Media/actualites/documents/2022/11-novembre/etude-ia-nouvelle-version"/>
        <s v="https://www.cnb.avocat.fr/fr/actualites/preconisations-dactions-pour-les-legaltechs-du-domaine-de-la-jurimetrie"/>
        <s v="https://cnnumerique.fr/files/uploads/2022/HumainsMachines/CNNum_Humains_machines_Quelles_interactions_au_travail_2022.pdf"/>
        <s v="https://www3.weforum.org/docs/WEF_Artificial_Intelligence_for_Children_2022.pdf"/>
        <s v="https://www.ki.nrw/wp-content/uploads/2020/03/Whitepaper_Thrustworthy_AI.pdf"/>
        <s v="https://www.defenseurdesdroits.fr/sites/default/files/2023-07/ddd_rapport_algorithmes_2020_EN_20200531.pdf"/>
        <s v="https://www.microsoft.com/en-us/research/uploads/prod/2019/01/Guidelines-for-Human-AI-Interaction-camera-ready.pdf"/>
        <s v="https://search.coe.int/cm/Pages/result_details.aspx?ObjectID=09000016809ed062"/>
        <s v="https://www.ai-ethics-impact.org/resource/blob/1961130/c6db9894ee73aefa489d6249f5ee2b9f/aieig---report---download-hb-data.pdf"/>
        <s v="https://www.brookings.edu/wp-content/uploads/2021/10/Strengthening-International-Cooperation-AI_Oct21.pdf"/>
        <s v="https://www.aepd.es/sites/default/files/2019-12/ai-ethics-guidelines.pdf"/>
        <s v="https://www.datenschutz-berlin.de/fileadmin/user_upload/pdf/publikationen/berlin-group/2018/2018-IWGDPT-Working_Paper_Artificial_Intelligence.pdf"/>
        <s v="https://rm.coe.int/cdpc-2018-18-draft-programme-thematic-session-artificial-intelligence-/16808e64ab"/>
        <s v="https://kawa-news.com/en/saudi-arabia-unveils-national-ai-strategy/."/>
        <s v="https://iris.who.int/bitstream/handle/10665/341996/9789240029200-eng.pdf?sequence=1"/>
        <s v="https://hai.stanford.edu/sites/default/files/2020-07/HAI_WhitePaper_v4B.pdf"/>
        <s v="https://intelligence.org/files/EthicsofAI.pdf"/>
        <s v="https://rm.coe.int/e-relevance-of-culture-in-the-age-of-ai-expert-seminar-on-culture-crea/168091e688"/>
        <s v="https://search.coe.int/cm/Pages/result_details.aspx?ObjectId=0900001680a2cf96"/>
        <s v="https://edoc.coe.int/en/module/ec_addformat/download?cle=b430bedaf544d495473ae9767afc7111&amp;k=c3e8ae10658de1d4a47cbcf479c3c201"/>
        <s v="https://rm.coe.int/guidelines-to-respect-protect-and-fulfil-the-rights-of-the-child-in-th/16808d881a"/>
        <s v="https://search.coe.int/cm/Pages/result_details.aspx?ObjectID=0900001680790e14"/>
        <s v="https://rm.coe.int/1680750d68"/>
        <s v="https://datasociety.net/wp-content/uploads/2018/10/DataSociety_Governing_Artificial_Intelligence_Upholding_Human_Rights.pdf"/>
        <s v="https://assets.publishing.service.gov.uk/media/60142096d3bf7f70ba377b20/Review_into_bias_in_algorithmic_decision-making.pdf"/>
        <s v="https://ico.org.uk/media/for-organisations/documents/2013559/big-data-ai-ml-and-data-protection.pdf"/>
        <s v="https://rm.coe.int/16806ebe7a"/>
        <s v="http://www.europarl.europa.eu/RegData/etudes/STUD/2019/624262/EPRS_STU(2019)624262_EN.pdf"/>
        <s v="https://www.venice.coe.int/webforms/documents/?pdf=CDL-AD(2019)016-e"/>
        <s v="https://rm.coe.int/information-disorder-toward-an-interdisciplinary-framework-for-researc/168076277c"/>
        <s v="https://aclanthology.org/W17-1604.pdf"/>
        <s v="https://www.orange-business.com/en/blogs/ethics-vital-part-responsible-ai-deployment"/>
        <s v="https://assets.kpmg.com/content/dam/kpmg/au/pdf/2021/trust-in-ai-multiple-countries.pdf"/>
        <s v="https://www.digitalaustria.gv.at/dam/jcr:9b934433-f8e7-452f-bc86-cea60b214839/BMF%20Nationaler%20Fahrplan%202023-final-28112023-barrierefrei_EN_Korr.pdf"/>
        <s v="https://www3.nd.edu/~dhoward1/a-code-of-ethics-for-the-human-robot-interaction-profession-riek-howard.pdf"/>
        <s v="https://publications.jrc.ec.europa.eu/repository/bitstream/JRC122684/ai_watch_report_national_ai_strategies.pdf"/>
        <s v="https://rm.coe.int/publication-content-prioritisation-report/1680a07a57"/>
        <s v="https://pace.coe.int/en/files/21694/html"/>
        <s v="https://ec.europa.eu/futurium/en/system/files/ged/responsible_ai_consultation_-_public_recommendations_v1.0.pdf"/>
        <s v="http://assembly.coe.int/nw/xml/XRef/Xref-XML2HTML-EN.asp?fileid=28598&amp;lang=en"/>
        <s v="https://pace.coe.int/files/28722/pdf"/>
        <s v="https://pace.coe.int/files/28738/pdf"/>
        <s v="https://www.oecd.org/health/trustworthy-artificial-intelligence-in-health.pdf"/>
        <s v="https://www.accessnow.org/wp-content/uploads/2020/12/Europes-approach-to-AI-strategy-is-evolving.pdf"/>
        <s v="http://ii.tudelft.nl/bnvki/wp-content/uploads/2018/09/Dutch-AI-Manifesto.pdf"/>
        <s v="https://www.gov.uk/government/publications/code-of-conduct-for-data-driven-health-and-care-technology/initial-code-of-conduct-for-data-driven-health-and-care-technology"/>
        <s v="https://www.europarl.europa.eu/RegData/etudes/BRIE/2021/662936/IPOL_BRI(2021)662936_EN.pdf"/>
        <s v="https://www.venice.coe.int/webforms/documents/?pdf=CDL-AD(2020)037-e"/>
        <s v="https://www.acm.org/binaries/content/assets/public-policy/2017_usacm_statement_computingandnetworksecurity.pdf"/>
        <s v="https://ai.google/static/documents/responsible-development-of-ai.pdf"/>
        <s v="https://data.govt.nz/assets/data-ethics/algorithm/Trustworthy-AI-in-Aotearoa-March-2020.pdf"/>
        <s v="https://community.intel.com/legacyfs/online/files/Intels-AI-Privacy-Policy-White-Paper-2018.pdf"/>
        <s v="https://www.europarl.europa.eu/RegData/etudes/BRIE/2022/729376/EPRS_BRI(2022)729376_EN.pdf"/>
        <s v="http://www.consilium.europa.eu/media/21620/19-euco-final-conclusions-en.pdf"/>
        <s v="https://mycloud.coe.int/s/FFFMLg884J6W3na"/>
        <s v="https://www.consilium.europa.eu/media/37363/gender-equality_text-adopted.pdf"/>
        <s v="https://www.consilium.europa.eu/media/46496/st11481-en20.pdf"/>
        <s v="https://freedomonlinecoalition.com/wp-content/uploads/2021/06/FOC-Joint-Statement-on-Artificial-Intelligence-and-Human-Rights.pdf"/>
        <s v="https://www.courdecassation.fr/files/files/Publications/Divers/Rapport%20open%20data/Rapport_La_Diffusion_des_donn%C3%A9es_d%C3%A9cisionnelles_et_la_jurisprudence.pdf"/>
        <s v="https://criticalengineering.org/en"/>
        <s v="https://www.ajcact.org"/>
        <s v="https://www.sap.com/documents/2018/09/940c6047-1c7d-0010-87a3-c30de2ffd8ff.html"/>
        <s v="https://publications.jrc.ec.europa.eu/repository/bitstream/JRC125343/what-future-for-european-robotics.pdf"/>
        <s v="https://rm.coe.int/algorithms-and-human-rights-en-rev/16807956b5"/>
        <s v="https://blogs.blackberry.com/en/2019/09/the-ai-manifesto"/>
        <s v="https://ec.europa.eu/newsroom/dae/document.cfm?doc_id=68342"/>
        <s v="https://dataforgood.fr/projects/sermenthippocrate/"/>
        <s v="https://pages.dataiku.com/white-paper-responsible-ai-myths?utm_id=14648494480--127992688035--545776075822--ethical%20ai&amp;utm_source=emea-adwords&amp;utm_medium=paid-search&amp;utm_campaign=CONTENT%20Responsible%20AI%20Myths%20vs%20Reality&amp;gclid=CjwKCAiA7IGcBhA8Eiw"/>
        <s v="https://www.deepmind.com/about/ethics-and-society, https://www.deepmind.com/safety-and-ethics"/>
        <s v="https://www.publicfirst.co.uk/wp-content/uploads/2019/05/A-way-forward-for-the-D9-in-the-age-of-AI-v4.pdf"/>
        <s v="https://www.oii.ox.ac.uk/news-events/reports/harmonising-artificial-intelligence/"/>
        <s v="https://www.gov.uk/government/uploads/system/uploads/attachment_data/file/709519/2018-05_PSD_Debt_and_Fraud_Draft_Information_Sharing_Code_of_Practice.pdf"/>
        <s v="https://digital-strategy.ec.europa.eu/en/library/coordinated-plan-artificial-intelligence-2021-review"/>
        <s v="https://www.gov.uk/government/news/new-national-innovation-centre-to-put-uk-at-forefront-of-big-data"/>
        <s v="https://policysearch.ama-assn.org/policyfinder/detail/augmented%20intelligence?uri=%2FAMADoc%2FHOD.xml-H-480.940.xml"/>
        <s v="https://www.europarl.europa.eu/doceo/document/TA-8-2019-0081_EN.html"/>
        <s v="https://www.europarl.europa.eu/RegData/etudes/STUD/2022/703345/IPOL_STU(2022)703345_EN.pdf"/>
        <s v="https://www.fhi.ox.ac.uk/wp-content/uploads/GovAI-Agenda.pdf"/>
        <s v="https://www.gov.uk/government/publications/artificial-intelligence-sector-deal"/>
        <s v="https://www.bmi.bund.de/SharedDocs/downloads/EN/themen/it-digital-policy/recommendations-data-ethics-commission.pdf;jsessionid=F3332ECDBF9E5FFDB93910C64986F0D9.2_cid295?__blob=publicationFile&amp;v=4"/>
        <s v="https://www.pna.gov.ph/articles/1075265."/>
        <s v="https://www.ewi-vlaanderen.be/sites/default/files/quaternota_aan_de_vlaamse_regering_-_vlaams_beleidsplan_artificiele_intelligentie.pdf"/>
        <s v="https://malta.ai/wp-content/uploads/2019/08/Malta_Towards_Ethical_and_Trustworthy_AI.pdf"/>
        <s v="http://harmonious-ai.org/"/>
        <s v="http://www.informatizacia.sk/narodna-koncepcia-informatizacie-verejnej-spravy--2016-/22662c"/>
        <s v="http://www.informatizacia.sk/strategicke-priority-erf/24190c"/>
        <s v="http://www.europarl.europa.eu/doceo/document/TA-8-2019-0081_EN.pdf"/>
        <s v="https://standards.ieee.org/wp-content/uploads/import/documents/other/ead_v2.pdf"/>
        <s v="https://www.oecd-ilibrary.org/docserver/840a2d9f-en.pdf?expires=1700910639&amp;id=id&amp;accname=guest&amp;checksum=B51C7549ABDB00F26FD7F4D8546E78D4"/>
        <s v="https://digitalprinciples.org/"/>
        <s v="https://deon.drivendata.org/"/>
        <s v="https://www.europarl.europa.eu/doceo/document/A-9-2020-0176_EN.pdf"/>
        <s v="https://enterprise.gov.ie/en/publications/national-ai-strategy.html"/>
        <s v="https://github.com/Holberton-Turing/oath/blob/master/The_Holberthon-Turing_Oath.md"/>
        <s v="https://data.govt.nz/assets/data-ethics/algorithm/Algorithm-Charter-2020_Final-English-1.pdf"/>
        <s v="https://arxiv.org/ftp/arxiv/papers/1906/1906.11668.pdf"/>
        <s v="https://www.nature.com/articles/s42256-019-0088-2"/>
        <s v="https://www.ethikbeirat-hrtech.de/wp-content/uploads/2019/09/Ethikbeirat_und_Richtlinien_Konsultationsfassung_final.pdf"/>
        <s v="https://www.telekom.com/en/company/digital-responsibility/details/artificial-intelligence-ai-guideline-524366"/>
        <s v="https://op.europa.eu/fr/publication-detail/-/publication/34251428-dc12-11ec-a534-01aa75ed71a1"/>
        <s v="https://nvlpubs.nist.gov/nistpubs/SpecialPublications/NIST.SP.1270-draft.pdf"/>
        <s v="https://op.europa.eu/en/publication-detail/-/publication/6ef4df8b-4cea-11e8-be1d-01aa75ed71a1/language-en"/>
        <s v="https://commission.europa.eu/system/files/2021-12/1_1_179442_ann_rep_en_0.pdf new url https://ec.europa.eu/commission/presscorner/detail/en/ip_21_6699"/>
        <s v="https://history.siia.net/Portals/0/pdf/Policy/Ethical%20Principles%20for%20Artificial%20Intelligence%20and%20Data%20Analytics%20SIIA%20Issue%20Brief.pdf?ver=2017-11-06-160346-990"/>
        <s v="https://publications.jrc.ec.europa.eu/repository/handle/JRC113826"/>
        <s v="https://www.pwc.com/gx/en/issues/data-and-analytics/artificial-intelligence/what-is-responsible-ai/pwc-responsible-ai-maturing-from-theory-to-practice.pdf"/>
        <s v="https://edps.europa.eu/node/4907"/>
        <s v="https://www.esma.europa.eu/sites/default/files/library/jc-2018-04_joint_committee_final_report_on_big_data.pdf"/>
        <s v="https://digital-strategy.ec.europa.eu/en/news/code-practice-disinformation"/>
        <s v="https://cis-india.org/internet-governance/files/data-for-the-benefit-of-people"/>
        <s v="https://education.ec.europa.eu/focus-topics/digital-education/action-plan"/>
        <s v="https://www.ai4belgium.be/wp-content/uploads/2019/04/report_en.pdf"/>
        <s v="https://ec.europa.eu/jrc/communities/en/community/digitranscope/document/eu-declaration-cooperation-artificial-intelligence#:~:text=Declaration%20signed%20at%20Digital%20Day%20on%2010th%20April%202018.&amp;text=This%20Declaration%20builds%20on%20the,of%20a%20"/>
        <s v="https://op.europa.eu/o/opportal-service/download-handler?identifier=651a6438-7357-11ec-9136-01aa75ed71a1&amp;format=pdf&amp;language=en&amp;productionSystem=cellar&amp;part="/>
        <s v="https://eur-lex.europa.eu/legal-content/EN/TXT/HTML/?uri=CELEX:52020DC0591&amp;from=EN"/>
        <s v="https://ec.europa.eu/docsroom/documents/43845"/>
        <s v="https://digital-strategy.ec.europa.eu/en/library/proposal-regulation-european-approach-artificial-intelligence"/>
        <s v="https://unesdoc.unesco.org/ark:/48223/pf0000253952"/>
        <s v="https://papers.ssrn.com/sol3/papers.cfm?abstract_id=3198732"/>
        <s v="http://www.europarl.europa.eu/sides/getDoc.do?pubRef=-//EP//TEXT+TA+P8-TA-2017-0051+0+DOC+XML+V0//EN"/>
        <s v="https://www.romecall.org/wp-content/uploads/2022/03/RomeCall_Paper_web.pdf"/>
        <s v="https://7da2ca8d-b80d-4593-a0ab-5272e2b9c6c5.filesusr.com/ugd/7be025_e726c582191c49d2b8b6517a590151f6.pdf"/>
        <s v="https://english.wrr.nl/binaries/wrr-eng/documenten/policy-briefs/2017/01/31/big-data-and-security-policies-serving-security-protecting-freedom/WRR_PB6_BigDataAndSecurityPolicies.pdf"/>
        <s v="https://nrc.canada.ca/en/corporate/values-ethics/research-involving-human-participants/advisory-statement-human-ethics-artificial-intelligence-big-data-research-2017"/>
        <s v="https://www.ibm.com/watson/assets/duo/pdf/everydayethics.pdf"/>
        <s v="https://publications.jrc.ec.europa.eu/repository/bitstream/JRC127944/JRC127944_01.pdf"/>
        <s v="https://op.europa.eu/en/publication-detail/-/publication/4fb8e194-f634-11ea-991b-01aa75ed71a1"/>
        <s v="https://ai.google/static/documents/ai-principles-2022-progress-update.pdf"/>
        <s v="https://civilrights.org/2014/02/27/civil-rights-principles-era-big-data/"/>
        <s v="https://global-uploads.webflow.com/5f57d40eb1c2ef22d8a8ca7e/62349d0fc097275eec2a930c_IFOW-AIA%20Policy%20Paper%20(v8-18.03.22).pdf"/>
        <s v="https://www.rathenau.nl/sites/default/files/2018-02/Human%20Rights%20in%20the%20Robot%20Age-Rathenau%20Instituut-2017.pdf"/>
        <s v="https://fra.europa.eu/sites/default/files/fra_uploads/fra-2022-bias-in-algorithms_en.pdf"/>
        <s v="https://www.europarl.europa.eu/RegData/etudes/STUD/2022/729533/EPRS_STU(2022)729533_EN.pdf"/>
        <s v="https://ec.europa.eu/newsroom/dae/document.cfm?doc_id=63199"/>
        <s v="https://publications.jrc.ec.europa.eu/repository/bitstream/JRC129614/JRC129614_01.pdf"/>
        <s v="https://www.adobe.com/about-adobe/aiethics.html"/>
        <s v="https://www8.cao.go.jp/cstp/tyousakai/ai/summary/aisociety_en.pdf"/>
        <s v="https://unesdoc.unesco.org/ark:/48223/pf0000380861"/>
        <s v="https://www.dst.defence.gov.au/sites/default/files/publications/documents/A%20Method%20for%20Ethical%20AI%20in%20Defence.pdf"/>
        <s v="https://edps.europa.eu/sites/edp/files/publication/18-03-19_online_manipulation_en.pdf"/>
        <s v="https://charteia.arborus.org/en/"/>
        <s v="https://www.eesc.europa.eu/en/our-work/opinions-information-reports/opinions/investing-smart-innovative-and-sustainable-industry-referral"/>
        <s v="https://webapi2016.eesc.europa.eu/v1/documents/EESC-2017-00654-00-00-AC-TRA-en.docx/content"/>
        <s v="https://openai.com/charter/"/>
        <s v="https://acpr.banque-france.fr/sites/default/files/medias/documents/20200612_ai_governance_finance.pdf"/>
        <s v="https://www.europeanlawinstitute.eu/fileadmin/user_upload/p_eli/Publications/ELI_Model_Rules_on_Impact_Assessment_of_ADMSs_Used_by_Public_Administration.pdf"/>
        <s v="https://www.coe.int/en/web/commissioner/-/safeguarding-human-rights-in-the-era-of-artificial-intelligence?inheritRedirect=true"/>
        <s v="https://www.un.org/en/pdfs/DigitalCooperation-report-for%20web.pdf"/>
        <s v="https://www.tisi.org/13747"/>
        <s v="https://publications.iadb.org/publications/english/document/Responsible-use-of-AI-for-public-policy-Data-science-toolkit.pdf"/>
        <s v="https://www.canada.ca/en/government/system/digital-government/modern-emerging-technologies/responsible-use-ai.html#toc1"/>
        <s v="https://www.europarl.europa.eu/RegData/etudes/STUD/2019/624261/EPRS_STU(2019)624261_EN.pdf"/>
        <s v="https://www.philips.com/a-w/about/news/archive/blogs/innovation-matters/2020/20200121-five-guiding-principles-for-responsible-use-of-ai-in-healthcare-and-healthy-living.html"/>
        <s v="https://assets.publishing.service.gov.uk/government/uploads/system/uploads/attachment_data/file/781745/Facial_Recognition_Briefing_BFEG_February_2019.pdf"/>
        <s v="https://www.meti.go.jp/shingikai/mono_info_service/ai_shakai_jisso/pdf/20220128_2.pdf"/>
        <s v="https://www.vzbv.de/sites/default/files/downloads/2019/07/19/19-06-25_vzbv_positions_adm_control_summary_en.pdf"/>
        <s v="https://www.europarl.europa.eu/doceo/document/TA-9-2021-0009_EN.pdf"/>
        <s v="https://www.ideo.com/blog/ai-needs-an-ethical-compass-this-tool-can-help"/>
        <s v="https://opengovasia.com/plans-for-cloud-first-strategy-and-national-ai-framework-revealed-at-29th-msc-malaysia-implementation-council-meeting/."/>
        <s v="https://unesdoc.unesco.org/ark:/48223/pf0000265211"/>
        <s v="https://op.europa.eu/en/publication-detail/-/publication/a72ac1a9-98e2-11eb-b85c-01aa75ed71a1/language-en"/>
        <s v="https://www.europarl.europa.eu/doceo/document/AIDA-PR-680928_EN.pdf"/>
        <s v="https://5f2cd2ba-741c-4b29-ae47-00a8291b1d3c.filesusr.com/ugd/d1cf5c_6af8feb771194453817d62c92cee2a21.pdf"/>
        <s v="https://www.europarl.europa.eu/RegData/etudes/BRIE/2021/698792/EPRS_BRI(2021)698792_EN.pdf"/>
        <s v="https://ainowinstitute.org/wp-content/uploads/2023/04/AI-Now-2023-Landscape-Report-FINAL.pdf"/>
        <s v="https://cdt.org/wp-content/uploads/2015/04/Digital-Decisions-Project-Description.pdf"/>
        <s v="https://www.europeanlawinstitute.eu/fileadmin/user_upload/p_eli/Publications/ELI_Innovation_Paper_on_Guiding_Principles_for_ADM_in_the_EU.pdf"/>
        <s v="https://www.europarl.europa.eu/RegData/etudes/STUD/2021/656311/EPRS_STU(2021)656311_EN.pdf"/>
        <s v="http://www.europarl.europa.eu/RegData/etudes/STUD/2021/662911/IPOL_STU(2021)662911_EN.pdf"/>
        <s v="https://op.europa.eu/fr/publication-detail/-/publication/c721f802-9ce7-11e7-b92d-01aa75ed71a1/language-en"/>
        <s v="https://www.europarl.europa.eu/doceo/document/A-9-2020-0178_EN.pdf"/>
        <s v="https://www.pdpc.gov.sg/Help-and-Resources/2020/01/Model-AI-Governance-Framework"/>
        <s v="https://publications.jrc.ec.europa.eu/repository/bitstream/JRC122014/jrc122014_ai_watch_assessing_technology_readiness_levels_for_artificial_intelligence-1.pdf"/>
        <s v="https://www.gov.uk/government/publications/establishing-a-pro-innovation-approach-to-regulating-ai/establishing-a-pro-innovation-approach-to-regulating-ai-policy-statement"/>
        <s v="https://rm.coe.int/unboxing-artificial-intelligence-10-steps-to-protect-human-rights-reco/1680946e64"/>
        <s v="https://www.cssf.lu/en/Document/white-paper-artificial-intelligence-opportunities-risks-and-recommendations-for-the-financial-sector/"/>
        <s v="https://search.coe.int/cm/pages/result_details.aspx?ObjectId=090000168092dd4b"/>
        <s v="https://www.europarl.europa.eu/doceo/document/TA-9-2021-0405_EN.html"/>
        <s v="http://www.europarl.europa.eu/sides/getDoc.do?pubRef=-//EP//TEXT+TA+P8-TA-2017-0076+0+DOC+XML+V0//EN"/>
        <s v="https://pace.coe.int/files/28742/pdf"/>
        <s v="https://yjolt.org/sites/default/files/23_yale_j.l._tech._special_issue_1.pdf"/>
        <s v="https://www.pdpc.gov.sg/-/media/files/pdpc/pdf-files/resource-for-organisation/ai/sgmodelaigovframework2.ashx"/>
        <s v="https://rm.coe.int/responsability-and-ai-en/168097d9c5"/>
        <s v="https://www.europarl.europa.eu/RegData/etudes/STUD/2018/626074/IPOL_STU(2018)626074_EN.pdf"/>
        <s v="https://www.nytimes.com/2019/03/01/business/ethical-ai-recommendations.html"/>
        <s v="https://www.enisa.europa.eu/publications/artificial-intelligence-cybersecurity-challenges/@@download/fullReport"/>
        <s v="https://unesdoc.unesco.org/ark:/48223/pf0000375322"/>
        <s v="https://www.europol.europa.eu/publications-documents/malicious-uses-and-abuses-of-artificial-intelligence direct download link https://www.europol.europa.eu/cms/sites/default/files/documents/malicious_uses_and_abuses_of_artificial_intelligence_europol.pdf"/>
        <s v="https://testing-ai.gi.de/english"/>
        <s v="https://www.oecd-ilibrary.org/deliver/2448f04b-en.pdf?itemId=%2Fcontent%2Fpaper%2F2448f04b-en&amp;mimeType=pdf"/>
        <s v="https://english.ey.gov.tw/News3/9E5540D592A5FECD/1dec0902-e02a-49c6-870d-e77208481667"/>
        <s v="https://www.fairtrials.org/automating-injustice"/>
        <s v="https://iapp.org/media/pdf/resource_center/building_ethics_into_privacy_frameworks_white_paper.pdf"/>
        <s v="https://www.fast.ai/2018/09/24/ai-ethics-resources/"/>
        <s v="http://www.bundeskartellamt.de/SharedDocs/Publikation/DE/Schriftenreihe_Digitales/Schriftenreihe_Digitales_1.pdf?__blob=publicationFile&amp;v=3"/>
        <s v="https://partnershiponai.org/about/#:~:text=Our%20Tenets&amp;text=We%20will%20educate%20and%20listen,work%2C%20and%20address%20their%20questions.&amp;text=We%20are%20committed%20to%20open,and%20legal%20implications%20of%20AI."/>
        <s v="https://www.bmwi.de/Redaktion/DE/Downloads/E/eckpunktepapier-ki.pdf?__blob=publicationFile&amp;v=10"/>
        <s v="https://www.ki-strategie-deutschland.de/home.html?file=files/downloads/Nationale_KI-Strategie_engl.pdf"/>
        <s v="https://www.abida.de/en"/>
        <s v="https://futureoflife.org/open-letter/ai-principles/"/>
        <s v="https://www.adalovelaceinstitute.org/wp-content/uploads/2022/03/Expert-opinion-Lilian-Edwards-Regulating-AI-in-Europe.pdf"/>
        <s v="https://ec.europa.eu/newsroom/dae/document.cfm?doc_id=56018"/>
        <s v="https://www.aiforhumanity.fr/en/"/>
        <s v="https://ico.org.uk/media2/ga4lfb5d/guidance-on-ai-and-data-protection-all-2-0-38.pdf"/>
        <s v="https://publications.jrc.ec.europa.eu/repository/bitstream/JRC125952/ai_watch_task_9_standardization_activity_mapping_v5.1.3.pdf"/>
        <s v="https://www.intelligence.gov/principles-of-artificial-intelligence-ethics-for-the-intelligence-community"/>
        <s v="https://rm.coe.int/final-declaration-of-the-french-presidency-conference-of-mj-coe-15-oct/168098383f"/>
        <s v="https://joelgomez.abogado.digital/2021-law-technology-and-innovation-v-ii/"/>
        <s v="https://rm.coe.int/prems-107320-gbr-2018-compli-cahai-couv-texte-a4-bat-web/1680a0c17a"/>
        <s v="https://www.cas.go.jp/jp/seisaku/jinkouchinou/pdf/humancentricai.pdf"/>
        <s v="https://global-uploads.webflow.com/5f57d40eb1c2ef22d8a8ca7e/62459a045de6afc1d9973bf4_The%20New%20Frontier%20-%20Artificial%20Intelligence%20at%20Work%5B4%5D.pdf"/>
        <s v="https://commission.europa.eu/system/files/2020-02/commission-white-paper-artificial-intelligence-feb2020_en.pdf"/>
        <s v="https://search.coe.int/cm/Pages/result_details.aspx?ObjectId=0900001680a1cb98"/>
        <s v="https://fra.europa.eu/sites/default/files/fra_uploads/fra-2019-data-quality-and-ai_en.pdf"/>
        <s v="https://www.tandfonline.com/doi/epdf/10.1080/09540091.2016.1271400?needAccess=true&amp;role=button"/>
        <s v="https://news.microsoft.com/cloudforgood/_media/downloads/the-future-computed-english.pdf"/>
        <s v="https://www.oecd-ilibrary.org/deliver/c2c1d276-en.pdf?itemId=%2Fcontent%2Fpaper%2Fc2c1d276-en&amp;mimeType=pdf"/>
        <s v="http://globalpolicy.ieee.org/wp-content/uploads/2019/06/IEEE19002.pdf"/>
        <s v="https://www.mofa.go.jp/files/000486596.pdf"/>
        <s v="http://www3.weforum.org/docs/WEF_40065_White_Paper_How_to_Prevent_Discriminatory_Outcomes_in_Machine_Learning.pdf"/>
        <s v="https://gi.de/ethicalguidelines"/>
        <s v="https://germanycoe.de/storage/documents/Conference_Conclusions.pdf"/>
        <s v="https://globalnetworkinitiative.org/wp-content/uploads/2018/04/GNI-Principles-on-Freedom-of-Expression-and-Privacy.pdf"/>
        <s v="https://declarationmontreal-iaresponsable.com/wp-content/uploads/2023/04/UdeM_Decl-IA-Resp_LA-Declaration-ENG_WEB_09-07-19.pdf"/>
        <s v="http://globalpolicy.ai"/>
        <s v="https://www.blog.google/technology/ai/external-advisory-council-help-advance-responsible-development-ai/"/>
        <s v="https://www.kas.de/documents/252038/7995358/Analysis+of+current+global+AI+developments+with+a+focus+on+Europe.pdf/da00b869-cc82-03e4-a45d-b74357fdd9c1?version=1.0&amp;t=1606820629157"/>
        <s v="https://www.telefonica.com/wp-content/uploads/sites/7/2021/11/principios-ai-eng-2018.pdf"/>
        <s v="https://f98cc689-5814-47ec-86b3-db505a7c3978.filesusr.com/ugd/7df26f_27a618cb80a648c38be427194affa2f3.pdf"/>
        <s v="https://www.regjeringen.no/contentassets/1febbbb2c4fd4b7d92c67ddd353b6ae8/en-gb/pdfs/ki-strategi_en.pdf"/>
        <s v="https://www.heise.de/downloads/18/2/7/0/8/1/7/0/safety-first-for-automated-driving.pdf"/>
        <s v="https://pair.withgoogle.com/"/>
        <s v="https://tsapps.nist.gov/publication/get_pdf.cfm?pub_id=934464"/>
        <s v="https://www.gov.uk/government/collections/a-guide-to-using-artificial-intelligence-in-the-public-sector"/>
        <s v="https://www.gov.il/BlobFolder/generalpage/strategic_plan_19/en/STRATIGY-%20ICT%20AUTHORITY%20-%20ENGLISH.pdf."/>
        <s v="https://www.arm.com/blogs/blueprint/wp-content/uploads/2019/11/Arm-AI-Trust-Manifesto-2019.pdf"/>
        <s v="https://enterprise.gov.ie/en/Publications/Publication-files/National-AI-Strategy.pdf"/>
        <s v="https://k-erc.eu/wp-content/uploads/2017/12/Master-Plan-for-the-intelligent-information-society.pdf"/>
        <s v="http://kurklt.lt/wp-content/uploads/2018/09/StrategyIndesignpdf.pdf"/>
        <s v="https://commission.europa.eu/document/download/ff57e883-cbd7-41dc-81f4-40dc025257e7_en?filename=2018-european-semester-national-reform-programme-lithuania-en.pdf"/>
        <s v="https://www.northsweden.eu/media/2789/2018ai_webb.pdf"/>
        <s v="https://www.government.se/491fa7/contentassets/fe2ba005fb49433587574c513a837fac/national-approach-to-artificial-intelligence.pdf"/>
        <s v="https://www.gov.uk/government/uploads/system/uploads/attachment_data/file/709514/2018-05-16_Research_Code_of_Practice_and_Accreditation_Criteria.pdf"/>
        <s v="https://www.gov.uk/government/uploads/system/uploads/attachment_data/file/709515/2018-05-16_Statistics_Statement-of-Principles_and_CoP_Data_Systems.pdf"/>
        <s v="https://www.abajournal.com/legalrebels/article/a_principled_artificial_intelligence_could_improve_justice"/>
        <s v="https://www.ranzcr.com/college/document-library/ethical-principles-for-ai-in-medicine"/>
        <s v="https://www.umweltdialog.de/de-wAssets/docs/2014-Dokumente-zu-Artikeln/leitfaden_unternehmen.pdf"/>
        <s v="https://assets.publishing.service.gov.uk/government/uploads/system/uploads/attachment_data/file/664563/industrial-strategy-white-paper-web-ready-version.pdf"/>
        <s v="https://www.hdm-stuttgart.de/digitale-ethik/digitalkompetenz/ethische_unternehmensleitlinien;%20https://www.hdm-stuttgart.de/grimm/material/ethische_unternehmensleitlinien/material/UN_Regeln_booklet"/>
        <s v="https://www.gov.uk/government/publications/data-ethics-framework/data-ethics-framework-2020"/>
        <s v="https://arxiv.org/pdf/1802.07228.pdf"/>
        <s v="https://ia-latam.com/etica-ia-latam/"/>
        <s v="https://www.ia2030.mx/principios-ia"/>
        <s v="https://knowledge4policy.ec.europa.eu/sites/default/files/netherlands-ai-strategy-report.pdf"/>
        <s v="https://www.mas.gov.sg/-/media/MAS/News-and-Publications/Monographs-and-Information-Papers/FEAT-Principles-Updated-7-Feb-19.pdf"/>
        <s v="https://www.ibm.com/artificial-intelligence/ethics"/>
        <s v="https://www.fonow.com/view/208592.html"/>
        <s v="https://www.eurocontrol.int/sites/default/files/2020-03/eurocontrol-fly-ai-report-032020.pdf"/>
        <s v="https://www.ibm.com/blogs/think/2017/01/ibm-cognitive-principles/"/>
        <s v="https://www.research.ibm.com/artificial-intelligence/trusted-ai/"/>
        <s v="http://www.iiim.is/ethics-policy/"/>
        <s v="https://cifar.ca/wp-content/uploads/2020/05/buildinganaiworld_eng.pdf"/>
        <s v="https://ind.ie/ethical-design/"/>
        <s v="https://www2.gov.scot/About/Review/biometric-data new url https://www.gov.scot/publications/report-independent-advisory-group-use-biometric-data-scotland/"/>
        <s v="https://indiaai.gov.in/research-reports/responsible-ai-part-1-principles-for-responsible-ai"/>
        <s v="https://issuu.com/indiansocietyai/docs/2020_handbook_on_artificial_intelligence_and_inter"/>
        <s v="https://rm.coe.int/iris-special-2-2020en-artificial-intelligence-in-the-audiovisual-secto/1680a11e0b"/>
        <s v="https://ico.org.uk/media/2617219/guidance-on-the-ai-auditing-framework-draft-for-consultation.pdf"/>
        <s v="https://www.digicatapult.org.uk/wp-content/uploads/2023/06/DC_AI_Ethics_Framework-2021.pdf"/>
        <s v="https://ico.org.uk/about-the-ico/news-and-events/news-and-blogs/2017/03/blog-big-data-and-the-insurance-sector/"/>
        <s v="https://ico.org.uk/media/for-organisations/documents/1589/promotion_of_a_political_party.pdf"/>
        <s v="https://www.cigionline.org/documents/1454/Paper%20No.178.pdf"/>
        <s v="https://datapractices.org/manifesto/"/>
        <s v="http://www.giodo.gov.pl/pl/1520297/10068"/>
        <s v="https://www.soumu.go.jp/main_content/000507517.pdf"/>
        <s v="https://www.soumu.go.jp/main_content/000581310.pdf"/>
        <s v="https://www.europarl.europa.eu/RegData/etudes/STUD/2021/654212/EPRS_STU(2021)654212_EN.pdf"/>
        <s v="https://www.torontodeclaration.org/declaration-text/english/"/>
        <s v="https://ethicalos.org/wp-content/uploads/2018/08/Ethical-OS-Toolkit-2.pdf"/>
        <s v="https://ai.google/static/documents/perspectives-on-issues-in-ai-governance.pdf"/>
        <s v="https://big-data-ljubljana-2017.weebly.com/uploads/1/1/9/1/1191873/big-data-2017-print.pdf"/>
        <s v="https://op.europa.eu/o/opportal-service/download-handler?identifier=6cc0f1b6-59dd-11ea-8b81-01aa75ed71a1&amp;format=pdf&amp;language=en&amp;productionSystem=cellar&amp;part="/>
        <s v="https://ethicsinaction.ieee.org/#set-the-standard"/>
        <s v="https://www3.weforum.org/docs/WEF_Ethics_by_Design_2020.pdf"/>
        <s v="https://julkaisut.valtioneuvosto.fi/bitstream/handle/10024/160980/TEMjul_21_2018_Work_in_the_age.pdf"/>
        <s v="https://www.aomrc.org.uk/wp-content/uploads/2019/01/Artificial_intelligence_in_healthcare_0119.pdf"/>
        <s v="https://arxiv.org/abs/1809.03400"/>
        <s v="https://publications.iadb.org/publications/english/document/Ethical-Assessment-of-AI-for-Actors-within-the-Entrepreneurial-Ecosystem-Application-Guide.pdf"/>
        <s v="https://www.buckingham.ac.uk/wp-content/uploads/2021/03/The-Institute-for-Ethical-AI-in-Education-The-Ethical-Framework-for-AI-in-Education.pdf"/>
        <s v="https://publications.iadb.org/publications/english/document/Responsible-use-of-AI-for-public-policy-Project-formulation-manual.pdf"/>
        <s v="https://www.hrc.co.nz/files/5715/2575/3415/Privacy_Data_Technology_-_Human_Rights_Challenges_in_the_Digital_Age_FINAL.pdf"/>
        <s v="https://dighum.ec.tuwien.ac.at/dighum-manifesto/"/>
        <s v="https://www.acm.org/binaries/content/assets/public-policy/2017_usacm_statement_algorithms.pdf"/>
        <s v="https://www.ipsos.com/sites/default/files/ct/news/documents/2022-01/Global-opinions-and-expectations-about-AI-2022.pdf"/>
        <s v="https://www.iso.org/committee/6794475.html"/>
        <s v="https://assets.innovazione.gov.it/1637777513-strategic-program-aiweb.pdf"/>
        <s v="https://wedocs.unep.org/bitstream/handle/20.500.11822/38482/CODES_ActionPlan.pdf"/>
        <s v="https://www8.cao.go.jp/cstp/english/outline_strategy_2022.pdf"/>
        <s v="http://ai-elsi.org/wp-content/uploads/2017/05/JSAI-Ethical-Guidelines-1.pdf"/>
        <s v="https://www.jaist.ac.jp/~bao/AI/OtherAIstrategies/MissionVillani_Report_ENG-VF.pdf"/>
        <s v="https://kenyanwallstreet.com/kenya-govt-unveils-11-member-blockchain-ai-taskforce-headed-by-bitange-ndemo/"/>
        <s v="https://www.zukunft-der-verwaltungsgerichtsbarkeit.de/media/pages/ki-und-verwaltung/709898829-1580462498/9-theses-en.pdf"/>
        <s v="https://www.datenschutz.rlp.de/fileadmin/lfdi/Konferenzdokumente/Datenschutz/DSK/Entschliessungen/097_Hambacher_Erklaerung.pdf"/>
        <s v="https://www.inf.ufrgs.br/~prestes/Courses/Robotics/beyond%20asimov.pdf"/>
        <s v="https://www.kas.de/documents/252038/4521287/Comparison+of+National+Strategies+to+Promote+Artificial+Intelligence+Part+1.pdf/397fb700-0c6f-88b6-46be-2d50d7942b83?version=1.1&amp;t=1560500570070"/>
        <s v="https://www.kas.de/documents/252038/4521287/Comparison+of+National+Strategies+to+Promote+Artificial+Intelligence+Part+2.pdf/4c6f3a0d-beaa-09f3-1db4-c66467739653?version=1.1&amp;t=1560500520623"/>
        <s v="https://www.europarl.europa.eu/RegData/etudes/STUD/2022/729541/EPRS_STU(2022)729541_EN.pdf"/>
        <s v="https://papers.ssrn.com/sol3/papers.cfm?abstract_id=3899991"/>
        <s v="https://www.laboratoiredelegalite.org/le-pacte-pour-une-intelligence-artificielle-egalitaire-entre-les-femmes-et-les-hommes/"/>
        <s v="https://www.lne.fr/en/service/certification/certification-processes-ai"/>
        <s v="https://op.europa.eu/en/publication-detail/-/publication/13e6a212-6181-11ec-9c6c-01aa75ed71a1/language-en"/>
        <s v="https://op.europa.eu/o/opportal-service/download-handler?identifier=5cb8eee3-e888-11e8-b690-01aa75ed71a1&amp;format=pdf&amp;language=en&amp;productionSystem=cellar&amp;part="/>
        <s v="https://mdia.gov.mt/wp-content/uploads/2020/07/itas-sandbox-consultation-document-v1.0.pdf"/>
        <s v="https://www.scu.edu/ethics-in-technology-practice/ethical-toolkit/"/>
        <s v="http://web.mit.edu/comptfreport/sirc.pdf"/>
        <s v="https://www.mckinsey.com/capabilities/quantumblack/our-insights/the-state-of-ai-in-2022-and-a-half-decade-in-review"/>
        <s v="https://www.gov.uk/government/publications/national-ai-strategy/national-ai-strategy-html-version"/>
        <s v="https://webfoundation.org/docs/2018/06/AI-Gender.pdf"/>
        <s v="https://query.prod.cms.rt.microsoft.com/cms/api/am/binary/RWFKCm"/>
        <s v="http://chinainnovationfunding.eu/dt_testimonials/publication-of-the-new-generation-ai-governance-principles-developing-responsible-ai/ new url https://www.chinadaily.com.cn/a/201906/17/WS5d07486ba3103dbf14328ab7.html"/>
        <s v="http://www.unicri.it/sites/default/files/2020-07/UNICRI-INTERPOL_Report_Towards_Responsible_AI_Innovation_0.pdf"/>
        <s v="https://hai.stanford.edu/news/introducing-stanfords-human-centered-ai-initiative"/>
        <s v="https://hai.stanford.edu/sites/default/files/2022-03/White%20Paper%20-%20Recommendations%20on%20Updating%20the%20National%20AI%20R%26D%20Strategy.pdf"/>
        <s v="https://www.microsoft.com/design/inclusive/"/>
        <s v="https://ai-innovation.id/server/static/ebook/stranas-ka.pdf."/>
        <s v="https://www.interieur.gouv.fr/Actualites/L-actu-du-Ministere/Livre-blanc-de-la-securite-interieure?utm_source=POLITICO.EU&amp;utm_campaign=4a2811137a-EMAIL_CAMPAIGN_2020_12_02_09_59&amp;utm_medium=email&amp;utm_term=0_10959edeb5-4a2811137a-190482161"/>
        <s v="https://portal.mineco.gob.es/RecursosArticulo/mineco/ministerio/participacion_publica/audiencia/ficheros/Charter%20of%20Digital%20Rights.pdf"/>
        <s v="http://mil.ru/conferences/is-intellekt.htm."/>
        <s v="https://thedigital.gov.ua/news/mikhaylo-fedorov-rozvivayuchi-sferu-shtuchnogo-intelektu-mi-zabezpechuemo-konkurentospromozhnist-ukraini-na-mizhnarodnomu-rinku?fbclid=IwAR0HilGr0J-yptpdAO1J6EhmFv50LcsloiwjJba--inpyawI-mnpQToWK68"/>
        <s v="https://www.gov.pl/attachment/a8ea194c-d0ce-404e-a9ca-e007e9fbc93e"/>
        <s v="https://www.gov.pl/web/cyfryzacja/sztuczna-inteligencja-polska-2118"/>
        <s v="https://www.nederlanddigitaal.nl/binaries/nederlanddigitaal-nl/documenten/publicaties/2019/09/30/english-version-of-the-dutch-digitalisation-strategy/Nederlandse_Digitaliseringsstrategie_ENG.pdf"/>
        <s v="https://www.unicef.org/globalinsight/media/2356/file/UNICEF-Global-Insight-policy-guidance-AI-children-2.0-2021.pdf"/>
        <s v="https://julkaisut.valtioneuvosto.fi/bitstream/handle/10024/160980/TEMjul_21_2018_Work_in_the_age.pdf?sequence=1&amp;isAllowed=y"/>
        <s v="https://tem.fi/en/artificial-intelligence-programme"/>
        <s v="https://unesdoc.unesco.org/in/documentViewer.xhtml?v=2.1.196&amp;id=p::usmarcdef_0000372132&amp;file=/in/rest/annotationSVC/DownloadWatermarkedAttachment/attach_import_7b0b5c12-3b53-4b84-8796-b39dc4bceb09%3F_%3D372132eng.pdf&amp;locale=en&amp;multi=true&amp;ark=/ark:/48223/p"/>
        <s v="http://julkaisut.valtioneuvosto.fi/bitstream/handle/10024/160391/TEMrap_47_2017_verkkojulkaisu.pdf"/>
        <s v="https://nvlpubs.nist.gov/nistpubs/ai/NIST.AI.100-1.pdf"/>
        <s v="https://www.mise.gov.it/images/stories/documenti/Strategia-Nazionale-Intelligenza-Artificiale-Bozza-Consultazione.pdf"/>
        <s v="https://www.europarl.europa.eu/thinktank/en/document.html?reference=EPRS_STU(2020)654178"/>
        <s v="https://www.srbija.gov.rs/tekst/en/149169"/>
        <s v="http://www.regeringen.se/49adea/contentassets/5429e024be6847fc907b786ab954228f/digitaliseringsstrategin_slutlig_170518-2.pdf"/>
        <s v="https://vm.fi/en/auroraai-en"/>
        <s v="https://www.europarl.europa.eu/RegData/etudes/BRIE/2019/640163/EPRS_BRI(2019)640163_EN.pdf"/>
        <s v="https://www.newamerica.org/cybersecurity-initiative/digichina/blog/translation-chinese-government-outlines-ai-ambitions-through-2020/"/>
        <s v="https://www.nato.int/cps/en/natohq/official_texts_187617.htm"/>
        <s v="https://www.oecd.org/en/publications/ai-intelligent-machines-smart-policies_f1a650d9-en.html"/>
        <s v="http://www.regeringen.se/4ac6ee/contentassets/56e701d354824bcb9826ea0839ab28f3/sa-starker-vi-den-personliga-integriteten-sou-201752"/>
        <s v="https://z-inspection.org/about/"/>
        <s v="https://www.minciencia.gob.cl/uploads/filer_public/bc/38/bc389daf-4514-4306-867c-760ae7686e2c/documento_politica_ia_digital_.pdf"/>
        <s v="https://rm.coe.int/feasability-study-en-cepej-2020-15/1680a0adf4"/>
        <s v="https://eur-lex.europa.eu/legal-content/EN/TXT/PDF/?uri=CELEX:52018DC0237&amp;from=EN"/>
        <s v="https://montrealethics.ai/wp-content/uploads/2021/09/State-of-AI-Ethics-Report-Volume-5-July-2021.pdf"/>
        <s v="https://montrealethics.ai/wp-content/uploads/2022/01/State-of-AI-Ethics-Report-Volume-6-February-2022.pdf"/>
        <s v="https://blog.mozilla.org/en/mozilla/facebook-and-google-this-is-what-an-effective-ad-archive-api-looks-like/"/>
        <s v="https://nap.nationalacademies.org/read/24886/chapter/7#33"/>
        <s v="https://www.thalesgroup.com/sites/default/files/database/document/2021-11/gov-wp-facial-recognition-2021.pdf"/>
        <s v="https://digital-strategy.ec.europa.eu/en/library/study-supporting-impact-assessment-ai-regulation"/>
        <s v="https://rm.coe.int/cdcj-2018-5e-technical-study-odr/1680913249"/>
        <s v="https://www3.weforum.org/docs/WEF_Regulatory_Tech_for_the_21st_Century_2022.pdf"/>
        <s v="https://www.allistene.fr/files/2019/05/rapportCCNE-CERNA-Version-anglaise.pdf"/>
        <s v="https://algorules.org/en/home/"/>
        <s v="https://www.pwc.com/gx/en/issues/data-and-analytics/artificial-intelligence/what-is-responsible-ai/responsible-ai-practical-guide.pdf"/>
        <s v="https://drive.google.com/file/d/1h_9IiL-EkVHJ82upaXkUqpH-JboNyk1c/view"/>
        <s v="https://www.digitaldubai.ae/docs/default-source/ai-principles-resources/ai-ethics.pdf"/>
        <s v="https://www.aisingapore.org/"/>
        <s v="https://journals.plos.org/ploscompbiol/article/file?id=10.1371/journal.pcbi.1005399&amp;type=printable"/>
        <s v="https://www.cncdh.fr/sites/default/files/2022-05/A%20-%202022%20-%206%20%20-%20EN%20%20Artificial%20intelligence%20and%20fundamental%20rights%2C%20april%202022.pdf"/>
        <s v="https://www.transportation.gov/sites/dot.gov/files/docs/policy-initiatives/automated-vehicles/360956/ensuringamericanleadershipav4.pdf"/>
        <s v="https://uxstudioteam.com/ux-blog/ai-ux/"/>
        <s v="https://www.standards.org.au/getmedia/ede81912-55a2-4d8e-849f-9844993c3b9d/1515-An-Artificial-Intelligence-Standards-Roadmap12-02-2020.pdf.aspx"/>
        <s v="https://rm.coe.int/guidelines-on-artificial-intelligence-and-data-protection/168091f9d8"/>
        <s v="https://algorithmwatch.org/wp-content/uploads/2017/06/AlgorithmWatch_Working-Paper_No_2_Ethics_ADM.pdf"/>
        <s v="https://ai-ethical.com/en/manifesto/"/>
        <s v="https://ai-ethical.com/wp-content/uploads/2022/12/2022-SN-Guide-Methodo-IA-Ethiques-web-version.pdf"/>
        <s v="https://www.oreilly.com/ideas/of-oaths-and-checklists"/>
        <s v="https://www.docdroid.com/kI3bJmo/mesures-publiques-dans-strategies-gouvernementales-ia-obiva-202202-pdf"/>
        <s v="https://www.thalesgroup.com/en/group/journalist/press_release/thales-true-ai-approach-artificial-intelligence-be-unveiled-paris"/>
        <s v="http://www.informatizacia.sk/ext_dok-uppvii_sp_manazment_udajov_vfinal/24196c"/>
        <s v="http://www.senat.fr/rap/r16-464-1/r16-464-11.pdf"/>
        <s v="https://rm.coe.int/discrimination-artificial-intelligence-and-algorithmic-decision-making/1680925d73"/>
        <s v="https://openethics.ai/manifesto/"/>
        <s v="https://d32j3j47emgb6f.cloudfront.net/wp-content/uploads/2021/01/AI_Impact_Assessment_A_Policy_Prototyping_Experiment.pdf"/>
        <s v="https://www.microsoft.com/en-us/ai/principles-and-approach?activetab=pivot1:primaryr5"/>
        <s v="https://assembly.coe.int/nw/xml/XRef/Xref-XML2HTML-en.asp?fileid=23726&amp;lang=en"/>
        <s v="https://www.orange.com/en/Human-Inside/Mag/Hello-I-am-AI."/>
        <s v="https://www.digitalhealthnews.eu/images/stories/pdf/artificial_intelligence_in_healthcare-final_report.pdf"/>
        <s v="https://www.oecd-ilibrary.org/deliver/876367e3-en.pdf?itemId=%2Fcontent%2Fpaper%2F876367e3-en&amp;mimeType=pdf"/>
        <s v="https://en.digst.dk/media/19337/305755_gb_version_final-a.pdf"/>
        <s v="https://www.telekom.com/resource/blob/532446/f32ea4f5726ff3ed3902e97dd945fa14/dl-180710-ki-leitlinien-en-data.pdf"/>
        <s v="https://www.unicef.org/innovation/media/10726/file/Executive%20Summary:%20Memorandum%20on%20Artificial%20Intelligence%20and%20Child%20Rights.pdf"/>
        <s v="https://www.europarl.europa.eu/thinktank/en/document/IPOL_STU(2021)662908"/>
        <s v="https://www.oecd-ilibrary.org/deliver/f94df8ec-en.pdf?itemId=%2Fcontent%2Fpaper%2Ff94df8ec-en&amp;mimeType=pdf"/>
        <s v="https://www.oecd-ilibrary.org/deliver/154981d7-en.pdf?itemId=%2Fcontent%2Fpaper%2F154981d7-en&amp;mimeType=pdf"/>
        <s v="https://www.oecd-ilibrary.org/deliver/1f5307e7-en.pdf?itemId=%2Fcontent%2Fpaper%2F1f5307e7-en&amp;mimeType=pdf"/>
        <s v="https://www.oecd-ilibrary.org/deliver/9ce86ca5-en.pdf?itemId=%2Fcontent%2Fpaper%2F9ce86ca5-en&amp;mimeType=pdf"/>
        <s v="https://oecd.ai"/>
        <s v="https://www.oecd-ilibrary.org/docserver/cb6d9eca-en.pdf?expires=1704208445&amp;id=id&amp;accname=guest&amp;checksum=D4906A98889E61868DDDE97B27971025"/>
        <s v="https://www.oecd.org/going-digital/ai/principles/"/>
        <s v="https://ec.europa.eu/newsroom/dae/document.cfm?doc_id=58496"/>
        <s v="https://hai.stanford.edu/research/ai-index-2021"/>
        <s v="https://www.europarl.europa.eu/RegData/etudes/STUD/2020/634452/EPRS_STU(2020)634452_EN.pdf"/>
        <s v="https://www.europarl.europa.eu/RegData/etudes/STUD/2022/699643/IPOL_STU(2022)699643_EN.pdf"/>
        <s v="https://www.oecd-ilibrary.org/deliver/bb17314a-en.pdf?itemId=%2Fcontent%2Fpaper%2Fbb17314a-en&amp;mimeType=pdf"/>
        <s v="https://www.oecd.org/gov/regulatory-policy/BASIC-Toolkit-web.pdf"/>
        <s v="http://uzhupisembassy.eu/wp-content/uploads/2019/07/Uzupis-Principles-for-Trustworthy-AI.pdf"/>
        <s v="https://en.unesco.org/creativity/sites/creativity/files/12igc_inf4_en.pdf"/>
        <s v="https://www3.weforum.org/docs/WEF_Guidelines_for_AI_Procurement.pdf"/>
        <s v="https://read.oecd-ilibrary.org/view/?ref=130_130771-3jtyra9uoh&amp;title=Using-artificial-intelligence-to-help-combat-COVID-19"/>
        <s v="https://www.datatilsynet.no/globalassets/global/english/ai-and-privacy.pdf"/>
        <s v="https://www3.weforum.org/docs/WEF_Framework_for_action_Facial_recognition_2020.pdf"/>
        <s v="https://arxiv.org/abs/1905.06876"/>
        <s v="https://ico.org.uk/media/for-organisations/guide-to-data-protection/key-dp-themes/explaining-decisions-made-with-artificial-intelligence-1-0.pdf"/>
        <s v="https://www.eduskunta.fi/FI/tietoaeduskunnasta/julkaisut/Documents/tuvj_1%2B2018.pdf"/>
        <s v="http://dipbt.bundestag.de/doc/btd/18/135/1813500.pdf"/>
        <s v="https://dip21.bundestag.de/dip21/btd/19/221/1922181.pdf"/>
        <s v="https://www.bundestag.de/en/committees/bodies/study/artificial_intelligence"/>
        <s v="https://joanna-bryson.blogspot.com/2019/01/a-smart-bureaucrats-guide-to-ai.html"/>
        <s v="https://digitalcollection.zhaw.ch/bitstream/11475/24226/4/2020_Christen-etal_Ethical-Codex_Recommendations.pdf"/>
        <s v="https://rm.coe.int/declaration-on-youth-participation-in-ai-governance-eng-08122020/1680a0a745"/>
        <s v="https://unesdoc.unesco.org/ark:/48223/pf0000381137"/>
        <s v="https://bruce2b.files.wordpress.com/2019/08/d3dd6-responsible2bai2bin2bconsumer2benterprise.pdf"/>
        <s v="https://www.itic.org/policy/artificial-intelligence/itis-global-ai-policy-recommendations"/>
        <s v="https://fra.europa.eu/sites/default/files/fra_uploads/fra-2020-artificial-intelligence_en.pdf"/>
        <s v="https://pervade.umd.edu/our-team/"/>
        <s v="https://www.eib.org/attachments/thematic/artificial_intelligence_blockchain_and_the_future_of_europe_report_en.pdf"/>
        <s v="https://www.nist.gov/system/files/documents/2019/08/10/ai_standards_fedengagement_plan_9aug2019.pdf"/>
        <s v="http://prawo.sejm.gov.pl/isap.nsf/download.xsp/WDU20180000317/T/D20180317L.pdf"/>
        <s v="https://policyaction.org.za/ai-data-topical-guide-series;https://policyaction.org.za/sites/default/files/PAN_TopicalGuide_AIData1_IntroSeries_Elec.pdf;https://policyaction.org.za/sites/default/files/PAN_TopicalGuide_AIData2_CrimePolicing_Elec.pdf;https://"/>
        <s v="https://www.europarl.europa.eu/RegData/etudes/STUD/2021/662912/IPOL_STU(2021)662912_EN.pdf"/>
        <s v="https://uai.edu.ar/ciiti/2019/buenos-aires/downloads/B1/JA-Plan-Nacional-IA.pdf."/>
        <s v="https://www.microsoft.com/en-us/research/uploads/prod/2018/11/Bot_Guidelines_Nov_2018.pdf"/>
        <s v="https://namib.online/wp-content/uploads/2019/10/%D0%9E-%D1%80%D0%B0%D0%B7%D0%B2%D0%B8%D1%82%D0%B8%D0%B8-%D0%B8%D1%81%D0%BA%D1%83%D1%81%D1%81%D1%82%D0%B2%D0%B5%D0%BD%D0%BD%D0%BE%D0%B3%D0%BE-%D0%B8%D0%BD%D1%82%D0%B5%D0%BB%D0%BB%D0%B5%D0%BA%D1%82%D0%B0-%D0%B"/>
        <s v="https://freedex.org/wp-content/blogs.dir/2015/files/2018/10/AI-and-FOE-GA.pdf"/>
        <s v="https://www.pwc.com/gx/en/issues/data-and-analytics/artificial-intelligence/what-is-responsible-ai.html"/>
        <s v="https://indiaai.gov.in/documents/pdf/NationalStrategy-for-AI-Discussion-Paper.pdf"/>
        <s v="https://www.europarl.europa.eu/RegData/etudes/STUD/2022/729516/EPRS_STU(2022)729516_EN.pdf"/>
        <s v="https://www.pcpd.org.hk/english/resources_centre/publications/annual_report/files/anreport18_02.pdf"/>
        <s v="https://cms.wellcome.org/sites/default/files/ai-in-health-ethical-social-political-challenges.pdf"/>
        <s v="https://www.ccbe.eu/fileadmin/speciality_distribution/public/documents/IT_LAW/ITL_Reports_studies/EN_ITL_20220331_Guide-AI4L.pdf"/>
        <s v="https://arxiv.org/pdf/1911.01468.pdf"/>
        <s v="https://ai.equineteurope.org/system/files/2021-04/EQUINET_REGULATING%20FOR%20AN%20EQUAL%20AI_2020_report.pdf"/>
        <s v="https://automatingsociety.algorithmwatch.org/report2020/policy-recommendations/"/>
        <s v="https://www.pdpc.gov.sg/-/media/Files/PDPC/PDF-Files/Resource-for-Organisation/AI/Discussion-Paper-on-AI-and-PD---050618.pdf"/>
        <s v="https://www.reputable.ai/principles"/>
        <s v="https://law.stanford.edu/wp-content/uploads/2020/02/ACUS-AI-Report.pdf"/>
        <s v="http://www.linking-ai-principles.org/about"/>
        <s v="https://www.osce.org/files/f/documents/b/a/447829.pdf"/>
        <s v="https://oproma.github.io/rai-trustindex/"/>
        <s v="https://link.springer.com/content/pdf/10.1007/s11023-018-9482-5.pdf"/>
        <s v="https://www.ncbi.nlm.nih.gov/pmc/articles/PMC6591188/"/>
        <s v="https://unesdoc.unesco.org/ark:/48223/pf0000368303"/>
        <s v="https://www.salesforceairesearch.com/trusted-ai"/>
        <s v="https://gpai.ai/projects/responsible-ai/environment/climate-change-and-ai.pdf"/>
        <s v="https://rm.coe.int/ai-report-bil-final/16809f9a88"/>
        <s v="https://www.shkjdw.gov.cn/c/2019-08-30/517552.shtml"/>
        <s v="https://pdf.sciencedirectassets.com/271884/1-s2.0-S0267364918X00053/1-s2.0-S0267364918302012/main.pdf?X-Amz-Security-Token=IQoJb3JpZ2luX2VjEBoaCXVzLWVhc3QtMSJHMEUCIQDRmIZM7EFFry858ooKfG1Wu6tmvc%2BERQuQ96R8mzJjQwIgAreFnPvZspgxDOYES0a6w%2BMX5DQjd4gUnbb6paXc"/>
        <s v="https://www.international.gc.ca/world-monde/international_relations-relations_internationales/europe/2018-06-07-france_ai-ia_france.aspx?lang=eng"/>
        <s v="https://www.sohu.com/a/254630629_260616"/>
        <s v="http://www.europarl.europa.eu/RegData/etudes/BRIE/2021/662937/IPOL_BRI(2021)662937_EN.pdf"/>
        <s v="https://www.lamoncloa.gob.es/presidente/actividades/Documents/2020/021220-ENIA.pdf"/>
        <s v="https://www.aepd.es/media/guias/guia-codigo-de-buenas-practicas-proyectos-de-big-data.pdf"/>
        <s v="https://www.bitkom.org/sites/default/files/file/import/171101-PP-Artificial-Intelligence-ENG-Web.pdf"/>
        <s v="https://cset.georgetown.edu/publication/artificial-intelligence-standardization-white-paper/"/>
        <s v="https://malta.ai/wp-content/uploads/2019/11/Malta_The_Ultimate_AI_Launchpad_vFinal.pdf"/>
        <s v="https://reliefweb.int/attachments/41159932-9621-46ca-af1b-c57fe8a24da0/G2232396.pdf"/>
        <s v="https://www.teliacompany.com/assets/u5c1v3pt22v8/2vc3JrcTrqI77ww43dChjh/a1ddbf5d79d203a1aa3cceb3e43c719d/Telia_Company-s_Guiding_principles_for_AI_Ethics.pdf"/>
        <s v="https://digichina.stanford.edu/work/full-translation-chinas-new-generation-artificial-intelligence-development-plan-2017/#:~:text=By%202025%2C%20a%20new%20generation,global%20high%2Dend%20value%20chain."/>
        <s v="https://dataethics.eu/data-ethics-principles/"/>
        <s v="https://www.nedo.go.jp/content/100865202.pdf"/>
        <s v="https://digital-luxembourg.public.lu/sites/default/files/2020-09/AI_EN_0.pdf"/>
        <s v="https://data.consilium.europa.eu/doc/document/ST-11352-2018-INIT/en/pdf"/>
        <s v="https://unesdoc.unesco.org/ark:/48223/pf0000367422.locale=en"/>
        <s v="https://www.g20-insights.org/wp-content/uploads/2019/04/T20-Recommendations-Report_TF7-The-Future-of-Work-and-Education-in-the-Digital-Age.pdf"/>
        <s v="https://www.article19.org/wp-content/uploads/2018/04/Privacy-and-Freedom-of-Expression-In-the-Age-of-Artificial-Intelligence-1.pdf"/>
        <s v="https://www.oecd-ilibrary.org/deliver/22729bd6-en.pdf?itemId=%2Fcontent%2Fpaper%2F22729bd6-en&amp;mimeType=pdf"/>
        <s v="https://www.telefonica.com/en/sustainability-innovation/how-we-work/business-principles/"/>
        <s v="https://www.rcplondon.ac.uk/projects/outputs/artificial-intelligence-ai-health"/>
        <s v="https://legalinstruments.oecd.org/en/instruments/OECD-LEGAL-0449"/>
        <s v="https://tech.qq.com/a/20190711/004971.htm"/>
        <s v="https://web-archive.oecd.org/2020-07-23/559610-trustworthy-artificial-intelligence-in-education.pdf"/>
        <s v="https://www.thalesgroup.com/en/artificial-intelligence-and-national-security"/>
        <s v="https://www.ibm.com/policy/trust-principles/"/>
        <s v="https://allai.nl/wp-content/uploads/2021/08/EU-Proposal-for-Artificial-Intelligence-Act-Analysis-and-Recommendations.pdf"/>
        <s v="https://www.ibm.com/downloads/cas/J2LAYLOZ"/>
        <s v="https://reghorizon.com/wp-content/uploads/2021/02/RegHorizon-AI-Policy-Conference-2020-Summary.pdf"/>
        <s v="https://ethical.institute/principles.html"/>
        <s v="https://www.tietoevry.com/contentassets/b097de43d84d4c84832f1fff2cb6a30d/tieto-s-ai-ethics-guidelines.pdf"/>
        <s v="https://ethics.org.au/ethical-by-design/"/>
        <s v="https://www.europarl.europa.eu/RegData/etudes/STUD/2021/662906/IPOL_STU(2021)662906_EN.pdf"/>
        <s v="https://www.oecd-ilibrary.org/docserver/7babf571-en.pdf?expires=1700910550&amp;id=id&amp;accname=guest&amp;checksum=A3116351E36F167E26FDAA8262575B12"/>
        <s v="https://www.fatml.org/resources/principles-for-accountable-algorithms"/>
        <s v="https://github.com/GoodTechnologyCollective/GTS"/>
        <s v="https://slate.com/technology/2016/06/microsoft-ceo-satya-nadella-humans-and-a-i-can-work-together-to-solve-societys-challenges.html"/>
        <s v="https://rm.coe.int/cdpc-2018-14rev-artificial-intelligence-and-criminal-law-project-2018-/16808e64ad"/>
        <s v="https://ai-white-paper.readthedocs.io/en/latest/"/>
        <s v="https://rm.coe.int/inf-2022-5-report-impact-of-ai-on-doctor-patient-relations-e/1680a68859"/>
        <s v="https://uniglobalunion.org/wp-content/uploads/uni_ethical_ai.pdf"/>
        <s v="https://www.ourcommons.ca/Content/Committee/441/ETHI/Reports/RP11948475/ethirp06/ethirp06-e.pdf"/>
        <s v="https://algorithmwatch.org/wp-content/uploads/2019/01/Automating_Society_Report_2019.pdf"/>
        <s v="https://ethical.institute/rfx.html"/>
        <s v="https://www.norden.org/en/declaration/ai-nordic-baltic-region"/>
        <s v="https://www.loc.gov/law/help/artificial-intelligence/regulation-artificial-intelligence.pdf"/>
        <s v="https://www.europarl.europa.eu/RegData/etudes/STUD/2021/697191/EPRS_STU(2021)697191_EN.pdf"/>
        <s v="https://bioethics.miami.edu/_assets/pdf/information-technology-and-ethics/ai-and-big-data-resources/ethics-of-ai-in-radiology.pdf"/>
        <s v="https://aicm.ai.gov.eg//en/Resources/EgyptianCharterForResponsibleAIEnglish-v1.0.pdf"/>
        <s v="https://airecht.nl/s/Artificial-Intelligence-Impact-Assessment-English.pdf"/>
        <s v="https://pace.coe.int/files/28721/pdf"/>
        <s v="https://www.internetsociety.org/wp-content/uploads/2017/08/ISOC-AI-Policy-Paper_2017-04-27_0.pdf"/>
        <s v="https://theodi.org/wp-content/uploads/2019/07/ODI-Data-Ethics-Canvas-2019-05.pdf"/>
        <s v="https://participa.gencat.cat/uploads/decidim/attachment/file/932/Document-Bases-Estrategia-IA-Catalunya-_ENversion.pdf"/>
        <s v="https://www.oecd-ilibrary.org/docserver/932780bc-en.pdf?expires=1700910796&amp;id=id&amp;accname=guest&amp;checksum=689A1C4A9057EEAE212A832629A5FA2A"/>
        <s v="https://blogs.microsoft.com/on-the-issues/2018/12/06/facial-recognition-its-time-for-action/"/>
        <s v="https://link.springer.com/content/pdf/10.1007/978-3-031-17040-9.pdf"/>
        <s v="https://t20argentina.org/wp-content/uploads/2018/09/Bridges-to-the-Future-of-Education-Policy-Recommendations-for-the-Digital-Age.pdf"/>
        <s v="http://www.troisiemerevolutionindustrielle.lu/wp-content/uploads/2016/11/TIR-CG_Luxembourg-Final-Report_Long-Version.pdf"/>
        <s v="https://archive.epic.org/international/AIGuidleinesDRAFT20180910.pdf"/>
        <s v="https://ai-ethics-and-governance.institute/beijing-artificial-intelligence-principles/"/>
        <s v="http://publications.tno.nl/publication/34627249/puJbur/TNO-2018-R11086.pdf"/>
        <s v="https://www.canada.ca/en/government/system/digital-government/digital-government-innovations/responsible-use-ai/algorithmic-impact-assessment.html"/>
        <s v="https://www.tbs-sct.gc.ca/pol/doc-eng.aspx?id=32592"/>
        <s v="https://www.canada.ca/en/treasury-board-secretariat/services/information-technology/strategic-plan-2017-2021.html"/>
        <s v="https://royalsociety.org/~/media/policy/projects/machine-learning/publications/machine-learning-report.pdf"/>
        <s v="https://fra.europa.eu/sites/default/files/fra_uploads/fra-2018-focus-big-data_en.pdf"/>
        <s v="http://www.anpr.tn/national-ai-strategy-unlocking-tunisias-capabilities-potential/."/>
        <s v="https://www.industry.gov.au/publications/australias-artificial-intelligence-ethics-framework/australias-ai-ethics-principles"/>
        <s v="https://rm.coe.int/eurimages-entering-the-new-paradigm-051219/1680995331"/>
        <s v="https://www.oecd-ilibrary.org/docserver/1cd40c44-en.pdf?expires=1700910832&amp;id=id&amp;accname=guest&amp;checksum=63EB730E37CC61174E065E5F4502C1EF"/>
        <s v="https://www.kakaocorp.com/page/responsible/detail/algorithm?lang=ENG&amp;tab=all"/>
        <s v="https://rm.coe.int/cahai-2020-23-final-eng-feasibility-study-/1680a0c6da"/>
        <s v="https://www.nitrd.gov/pubs/national_ai_rd_strategic_plan.pdf"/>
        <s v="https://ai.google/responsibilities/responsible-ai-practices/"/>
        <s v="https://www.itu.int/hub/publication/s-gen-unact-2021/"/>
        <s v="https://ohchr.org/EN/HRBodies/HRC/RegularSessions/Session37/Documents/A_HRC_37_62_EN.docx"/>
        <s v="https://arxiv.org/pdf/1811.10154.pdf"/>
        <s v="https://digitalstrategy.undp.org/documents/Digital-Strategy-2022-2025-Full-Document_ENG_Interactive.pdf"/>
        <s v="http://unicri.it/in_focus/files/Report_UNICRI_Cambridge_Workshop_Feb_2017.pdf"/>
        <s v="https://community.intel.com/legacyfs/online/files/Intel-Artificial-Intelligence-Public-Policy-White-Paper-2017.pdf"/>
        <s v="https://www.beuc.eu/publications/beuc-x-2021-088_regulating_ai_to_protect_the_consumer.pdf"/>
        <s v="https://www.bmi.bund.de/SharedDocs/downloads/EN/themen/it-digital-policy/datenethikkommission-abschlussgutachten-lang.pdf?__blob=publicationFile&amp;v=5"/>
        <s v="https://academic.oup.com/jamia/article/29/4/585/6534106?login=true"/>
        <s v="https://publications.parliament.uk/pa/ld201719/ldselect/ldai/100/100.pdf"/>
        <s v="https://www.digitalwallonia.be/en/posts/wallonia-digital-strategy/"/>
        <s v="https://rm.coe.int/prems-092922-gbr-2517-ai-and-education-txt-16x24-web/1680a956e3"/>
        <s v="https://www.buckingham.ac.uk/wp-content/uploads/2020/09/Developing-a-Shared-Vision-of-Ethical-AI-in-Education-An-Invitation-to-Participate.pdf"/>
        <s v="https://unesdoc.unesco.org/ark:/48223/pf0000377897?posInSet=6&amp;queryId=2dd9f054-a205-46ca-8cd4-11a0d475e978"/>
        <s v="https://en.unesco.org/news/first-unesco-recommendations-combat-gender-bias-applications-using-artificial-intelligence"/>
        <s v="https://www.humanrights.dk/files/media/document/A%20HRIA%20of%20Digital%20Activities%20-%20Introduction_ENG_accessible.pdf"/>
        <s v="https://unesdoc.unesco.org/ark:/48223/pf0000367823"/>
        <s v="https://ai.equineteurope.org/system/files/2022-06/Equinet-Position-Paper-on-AI-and-Equality.pdf"/>
        <s v="https://ec.europa.eu/newsroom/dae/redirection/document/92399"/>
        <s v="https://www.ibe.org.uk/uploads/assets/5f167681-e05f-4fae-ae1bef7699625a0d/ibebriefing58businessethicsandartificialintelligence.pdf"/>
        <s v="https://www.privacy.org.nz/assets/New-order/Resources-/Publications/Guidance-resources/Principles-for-the-safe-and-effective-use-of-data-and-analytics-guidance3.pdf"/>
        <s v="https://unesdoc.unesco.org/ark:/48223/pf0000373199"/>
        <s v="http://www.europarl.europa.eu/RegData/etudes/STUD/2018/626074/IPOL_STU(2018)626074_EN.pdf"/>
        <s v="https://www.turing.ac.uk/sites/default/files/2021-03/cahai_feasibility_study_primer_final.pdf"/>
        <s v="http://unesdoc.unesco.org/images/0024/002487/248724e.pdf"/>
        <s v="http://globalprivacyassembly.org/wp-content/uploads/2018/10/20180922_ICDPPC-40th_AI-Declaration_ADOPTED.pdf"/>
        <s v="https://pace.coe.int/files/28723/pdf"/>
        <s v="https://www.administration-numerique.chaire.ulaval.ca/sites/administration-numerique.chaire.ulaval.ca/files/uploads/Cahier%20%235%20-%20IA%20au%20Qu%C3%A9bec%20(2).pdf"/>
        <s v="https://search.coe.int/cm/pages/result_details.aspx?objectid=09000016809e1154"/>
        <s v="https://rm.coe.int/artificial-intelligence-and-data-protection-challenges-and-possible-re/168091f8a6"/>
        <s v="https://www.dgb.de/themen/++co++4f242f08-18a7-11e9-b2c1-52540088cada initial url not working, new url: https://www.google.com/url?sa=t&amp;rct=j&amp;q=&amp;esrc=s&amp;source=web&amp;cd=&amp;ved=2ahUKEwiZ6a3w0_iCAxVlUKQEHcsnDN4QFnoECBIQAQ&amp;url=https%3A%2F%2Fwww.dgb.de%2Fthemen%2F%"/>
        <s v="https://www.gov.uk/government/publications/guidelines-for-ai-procurement/guidelines-for-ai-procurement"/>
        <s v="https://www.researchgate.net/publication/354540868_Putting_AI_ethics_to_work_are_the_tools_fit_for_purpose/fulltext/613ea4a001846e45ef44fa36/Putting-AI-ethics-to-work-are-the-tools-fit-for-purpose.pdf"/>
        <s v="https://www.designethically.com/toolkit"/>
        <s v="https://www.bmdv.bund.de/SharedDocs/EN/publications/report-ethics-commission-automated-and-connected-driving.pdf?__blob=publicationFile"/>
        <s v="https://rm.coe.int/guidelines-on-facial-recognition/1680a134f3"/>
        <s v="https://link.springer.com/content/pdf/10.1007/s43681-021-00131-7.pdf"/>
        <s v="https://www.europarl.europa.eu/RegData/etudes/STUD/2021/662926/IPOL_STU(2021)662926_EN.pdf"/>
        <s v="https://www.mofa.go.jp/files/000373837.pdf"/>
        <s v="http://www.code-of-ethics.org/code-of-conduct/"/>
        <s v="https://www.europarl.europa.eu/doceo/document/A-8-2017-0005_EN.html"/>
        <s v="https://ethics.a-ai.ru/assets/ethics_files/2023/05/12/AI_ETHICS_CODE_10_01_1.pdf"/>
        <s v="http://cdn.aiindex.org/2018/AI%20Index%202018%20Annual%20Report.pdf"/>
        <s v="https://hal.archives-ouvertes.fr/hal-01849092/document"/>
        <s v="https://www.accessnow.org/cms/assets/uploads/2018/11/AI-and-Human-Rights.pdf"/>
        <s v="https://www.oecd-ilibrary.org/sites/eedfee77-en/index.html?itemId=/content/publication/eedfee77-en"/>
        <s v="https://community.intel.com/t5/Blogs/Intel/Policy-Intel/Intel-Recommends-Public-Policy-Principles-for-Artificial/post/1333004"/>
        <s v="https://link.springer.com/article/10.1007/s11023-020-09517-8"/>
        <s v="https://www.uu.nl/sites/default/files/rebo-montaigne-algoritmes_en_grondrechten.pdf"/>
        <s v="https://dataschool.nl/en/deda/"/>
        <s v="http://julkaisut.valtioneuvosto.fi/bitstream/handle/10024/161688/41_19_Leading%20the%20way%20into%20the%20age%20of%20artificial%20intelligence.pdf"/>
        <s v="https://www.verdi.de/++file++5d8240de2193fb3d0b019e30/download/ver.di-Diskussionspapier%20zu%20KI-Leitlinien%20fu%CC%88r%20Gemeinwohl%20und%20Gute%20Arbeit_2019.pdf"/>
        <s v="https://www.verivox.de/company/selbstverpflichtung/"/>
        <s v="https://www.vodafone.com/about-vodafone/how-we-operate/public-policy/policy-positions/artificial-intelligence-framework"/>
        <s v="https://www.gov.uk/government/publications/artificial-intelligence-sector-deal/ai-sector-deal"/>
        <s v="https://blog.unity.com/technology/introducing-unitys-guiding-principles-for-ethical-ai"/>
        <s v="https://www.europarl.europa.eu/RegData/etudes/STUD/2021/696968/IPOL_STU(2021)696968_EN.pdf"/>
        <s v="https://www3.weforum.org/docs/WEF_40065_White_Paper_How_to_Prevent_Discriminatory_Outcomes_in_Machine_Learning.pdf"/>
        <s v="https://www.whitehouse.gov/presidential-actions/executive-order-maintaining-american-leadership-artificial-intelligence/"/>
        <s v="https://www.whitehouse.gov/wp-content/uploads/2020/11/M-21-06.pdf"/>
        <s v="https://www.portugal.gov.pt/download-ficheiros/ficheiro.aspx?v=%3D%3DBAAAAB%2BLCAAAAAAABACzMDQxAQC3h%2ByrBAAAAA%3D%3D"/>
        <s v="https://felixreda.eu/wp-content/uploads/2017/02/Green-Digital-Working-Group-Position-on-Robotics-and-Artificial-Intelligence-2016-11-22.pdf"/>
        <s v="https://www3.weforum.org/docs/WEF_AI_Procurement_in_a_Box_Project_Overview_2020.pdf"/>
        <s v="https://help.twitter.com/en/rules-and-policies/twitter-moments-guidelines-and-principles"/>
        <s v="https://www.sony.com/en/SonyInfo/sony_ai/responsible_ai.html"/>
        <s v="https://www.vinnova.se/contentassets/72ddc02d541141258d10d60a752677df/vr-18_12.pdf?cb=20180924082158"/>
        <s v="https://www.hbku.edu.qa/en/qcri/center-artificial-intelligence"/>
        <s v="https://www.gov.uk/government/publications/ambitious-safe-responsible-our-approach-to-the-delivery-of-ai-enabled-capability-in-defence/ambitious-safe-responsible-our-approach-to-the-delivery-of-ai-enabled-capability-in-defence#annex-a-ethical-principles-f"/>
        <s v="https://ainowinstitute.org/wp-content/uploads/2023/04/AI_Now_2018_Report.pdf"/>
        <s v="https://hai.stanford.edu/sites/default/files/2021-10/HAI_NRCR_2021_0.pdf"/>
        <s v="https://www.who.int/publications/i/item/9789240038462"/>
        <s v="https://pace.coe.int/files/28715/pdf"/>
        <s v="https://www.csiro.au/-/media/D61/Reports/Artificial-Intelligence-ethics-framework.pdf"/>
        <s v="https://publications.jrc.ec.europa.eu/repository/bitstream/JRC120399/jrc120399_misuraca-ai-watch_public-services_30062020_def.pdf"/>
      </sharedItems>
    </cacheField>
    <cacheField name="Authors">
      <sharedItems containsBlank="1" containsMixedTypes="1" containsNumber="1" containsInteger="1">
        <m/>
        <s v="Aarathi Krishnan, Angie Abdilla, A Jung Moon, Carlos Affonso Souza, Chelle Adamson, Eileen M. Lach, Farah Ghazal, Jessica Fjeld, Jennyfer Taylor, John C. Havens, Malavika Jayaram, Monique Morrow, Nagla Rizk, Paola Ricaurte Quijano, R. Buse Çetin, Raja Cha"/>
        <s v="Maxim Orlovsky, Andrey Sobol"/>
        <s v="."/>
        <s v="David De Cremer, Devesh Narayanan, Andreas Deppeler, Mahak Nagpal, Jack McGuire, Jess Zhang"/>
        <s v="Ivana Bartoletti,Allison Gardner,Reema Patel,Emma Gibson,Liz Stocks,Samara Banno,Sanya Sheikh,Rebecca Geach,Holly Rafique"/>
        <n v="7.0"/>
        <s v="Adam Cutler, Milena Pribić"/>
        <s v="Victor Demiaux, Yacine Si Abdallah"/>
        <s v="Margaret Bodena, Joanna Brysonb, Darwin Caldwellc, Kerstin Dautenhahnd, Lilian Edwardse, Sarah Kemberf, Paul Newmang, Vivienne Parryh, Geoff Pegmani, Tom Roddenj, Tom Sorrellk, Mick Wallisl, Blay Whitbyaand, Alan Winfield"/>
        <s v="Anna Bacciarelli, Joe Westby, Fanny Hidvegi, Estelle Massé, Drew Mitnick"/>
        <s v="Jane McGonigal, Raina Kumra, Eshanthi Ranasinghe, Yoav Schlesinger, Randolph Wiggins"/>
        <s v="Aisha Bint Butti Bin Bishr"/>
        <s v="Dávid Pásztor"/>
        <s v="Renaud Vedel, Katya Lainé"/>
        <s v="Anna Roy"/>
        <s v="Luciano Floridi, Josh Cowls, Monica Beltrametti, Raja Chatila, Patrice Chazerand, Virginia Dignum, Christoph Luetge, Robert Madelin, Ugo Pagallo, Francesca Rossi, Burkhard Schafer, Peggy Valcke, Effy Vayena"/>
        <s v="Lina Stankovik, Geeta Chauhan, Jens dittrich, Jack Stilgoe, Oswaldo Baez, Radhaprem Ramaraj, Ari Kamlani, David Fagnan, Kate Carruthers, Ramin Vatanparast, Prasenjeet Bhattacharya, Narayanan Subramaniam, Drake Pruitt, Detlef Nauck, Adrian Gonzalez-Martin,"/>
        <s v="Nicholas Diakopoulos, Sorelle Friedler, Marcelo Arenas, Solon Barocas, Michael Hay, Bill Howe, H. V. Jagadish, Kris Unsworth, Arnaud Sahuguet, Suresh Venkatasubramanian, Christo Wilson, Cong Yu, Bendert Zevenbergen"/>
        <s v="Satya Nadella"/>
        <s v="Andrus Ansip, Antonio Samaritani"/>
        <s v="Anthony E Solomonides, Eileen Koski, Shireen M Atabaki, Scott Weinberg, John D McGreevey, Joseph L Kannry, Carolyn Petersen, Christoph U Lehmann"/>
        <s v="Naveen Rao"/>
        <s v="Dawson D, Schleiger E, Horton J, McLaughlin J, Robinson C, Quezada G, Scowcroft J, Hajkowicz S"/>
      </sharedItems>
    </cacheField>
    <cacheField name="Affiliates" numFmtId="0">
      <sharedItems containsBlank="1">
        <m/>
        <s v="."/>
        <s v="National University of Singapore"/>
        <s v="Ethique et Numerique"/>
        <s v="Université de Montréal, Centre de Recherche en Ethique, LAB VILLE PROSPECTIVE, IVADO, SAT, Mila, ICRA Programme IA et société, Design société, polIEtHics, CIRANO, Québec, Université Laval, Musée de la Civilisation, CERIUM, Centre de Recherche en données m"/>
        <s v="Access Now, AI Now Institute at New York University, AfroLeadership, AlgorithmWatch, Amnesty International, Article 19, Big Brother Watch, Business &amp; Human Rights Resource Centre, Electronic Frontiers Australia, Embassy of the Republic of Užupis to Munich"/>
        <s v="Digital Intelligence"/>
        <s v="Falcon and Associates"/>
        <s v="Numeum, 3iA Côte d'Azur, Telecom Valley, Impact AI, Hub France IA, Grand Est, Grand ENOV+, Institut DataIA, ANITI, aivancity, 42, Services du Premier Ministre"/>
        <s v="The Future World of Work"/>
        <s v="Bejing Academy of Artificial Intelligence, Peking University, Tsinghua University, Institute of Automation in Chinese Academy of Sciences, Institute of Computing Technology in Chinese Academy of Sciences, Baidu, Alibaba, Tencent"/>
        <s v="Commission Nationale de l’Informatique et des Libertés (CNIL), France, European Data Protection Supervisor (EDPS), European Union, Garante per la protezione dei dati personali, Italy, Agencia de Acceso a la Información Pública, Argentina, Commission d’acc"/>
        <s v="CSIRO, Data61"/>
      </sharedItems>
    </cacheField>
    <cacheField name="Sector" numFmtId="0">
      <sharedItems containsBlank="1">
        <m/>
        <s v="civil society"/>
        <s v="academia, private sector"/>
        <s v="international organisation &gt; EU institution"/>
        <s v="academia"/>
        <s v="national authority"/>
        <s v="private sector"/>
        <s v="international organisation &gt; IGO"/>
        <s v="national authority, academia"/>
        <s v="civil society &gt; other"/>
        <s v="civil society &gt; NGO"/>
        <s v="civil society &gt; state-dependant"/>
        <s v="civil society &gt; other, academia"/>
        <s v="international organisation &gt; other"/>
        <s v="private sector, academia"/>
        <s v="private sector, national authority"/>
        <s v="international organisation &gt; IGO, private sector"/>
        <s v="academia, civil society &gt; other, private sector"/>
        <s v="academia, civil society"/>
        <s v="civil society &gt; NGO, academic, private sector"/>
        <s v="international organisation &gt; IGO, civil society &gt; other"/>
        <s v="national authority, academia, international organisation &gt; IGO"/>
      </sharedItems>
    </cacheField>
    <cacheField name="Country" numFmtId="0">
      <sharedItems containsBlank="1">
        <m/>
        <s v="international"/>
        <s v="USA"/>
        <s v="Belgium"/>
        <s v="China"/>
        <s v="UK"/>
        <s v="EU"/>
        <s v="South Korea"/>
        <s v="Ireland"/>
        <s v="France"/>
        <s v="Singapore"/>
        <s v="Germany"/>
        <s v="Japan"/>
        <s v="South Africa"/>
        <s v="Canada"/>
        <s v="Australia"/>
        <s v="Austria"/>
        <s v="Brazil"/>
        <s v="Czech Republic"/>
        <s v="Netherlands"/>
        <s v="Switzerland"/>
        <s v="Finland"/>
        <s v="Saudi Arabia"/>
        <s v="New Zealand"/>
        <s v="Colombia"/>
        <s v="Philippines"/>
        <s v="Malta"/>
        <s v="Slovakia"/>
        <s v="Denmark"/>
        <s v="Vatican"/>
        <s v="Malaysia"/>
        <s v="Luxembourg"/>
        <s v="Taiwan"/>
        <s v="Spain"/>
        <s v="Estonia"/>
        <s v="Norway"/>
        <s v="Israel"/>
        <s v="Lithuania"/>
        <s v="Sweden"/>
        <s v="Mexico"/>
        <s v="Iceland"/>
        <s v="India"/>
        <s v="Poland"/>
        <s v="Slovenia"/>
        <s v="Italy"/>
        <s v="Kenya"/>
        <s v="UAE"/>
        <s v="Indonesia"/>
        <s v="Russia"/>
        <s v="Ukraine"/>
        <s v="Serbia"/>
        <s v="Chile"/>
        <s v="Hungary"/>
        <s v="international "/>
        <s v="Argentina"/>
        <s v="Hong Kong"/>
        <s v="Egypt"/>
        <s v="Tunisia"/>
        <s v="Portugal"/>
        <s v="Qatar"/>
      </sharedItems>
    </cacheField>
    <cacheField name="Date">
      <sharedItems containsDate="1" containsBlank="1" containsMixedTypes="1">
        <m/>
        <n v="2021.0"/>
        <s v="2022"/>
        <s v="09/03/2021"/>
        <s v="2021"/>
        <n v="2018.0"/>
        <s v="30/03/2022"/>
        <s v="10/2020"/>
        <s v="2019"/>
        <s v="2020"/>
        <s v="03/2015"/>
        <d v="2018-11-01T00:00:00Z"/>
        <s v="01/2007"/>
        <s v="10/2018"/>
        <s v="09/08/2019"/>
        <s v="04/12/2018"/>
        <s v="12/2021"/>
        <s v="01/2021"/>
        <s v="15/10/2017"/>
        <s v="2017"/>
        <s v="23/05/2018"/>
        <s v="19/11/2018"/>
        <s v="04/2019"/>
        <s v="10/2016"/>
        <s v="22/09/2016"/>
        <s v="15/07/2017"/>
        <s v="20/06/2019"/>
        <s v="31/08/2017"/>
        <s v="10/2022"/>
        <s v="01/10/2020"/>
        <s v="02/2019"/>
        <s v="2018"/>
        <s v="12/2017"/>
        <s v="05/2022"/>
        <s v="28/06/2018"/>
        <s v="12/01/2021"/>
        <s v="08/10/2020"/>
        <s v="09/2021"/>
        <s v="15/09/2021"/>
        <s v="26/09/2017"/>
        <s v="27/02/2019"/>
        <s v="03/05/2022"/>
        <s v="03/04/2019"/>
        <s v="03/2022"/>
        <s v="13/04/2020"/>
        <s v="31/10/2019"/>
        <s v="04/2022"/>
        <s v="29/04/2021"/>
        <s v="21/11/2019"/>
        <s v="12/2019"/>
        <s v="07/03/2022"/>
        <s v="30/11/2017"/>
        <s v="03/12/2011"/>
        <s v="26/06/2019"/>
        <s v="05/2020"/>
        <s v="02/05/2019"/>
        <s v="10/2021"/>
        <s v="08/04/2019"/>
        <s v="30/11/2018"/>
        <s v="15/06/2020"/>
        <s v="2014"/>
        <s v="13/10/2018"/>
        <s v="11/2020"/>
        <s v="04/09/2017"/>
        <s v="04/2017"/>
        <s v="03/2021"/>
        <s v="27/11/2023"/>
        <s v="06/2018"/>
        <s v="12/2020"/>
        <s v="19/01/2021"/>
        <s v="07/2021"/>
        <s v="23/05/2017"/>
        <s v="03/2020"/>
        <s v="22/10/2018"/>
        <s v="08/2020"/>
        <s v="06/2021"/>
        <s v="09/2018"/>
        <s v="29/01/2021"/>
        <s v="03/2018"/>
        <s v="09/11/2019"/>
        <s v="17/07/2020"/>
        <n v="2017.0"/>
        <s v="05/2019"/>
        <s v="21/04/2021"/>
        <s v="12/02/2019"/>
        <s v="01/2022"/>
        <s v="27/09/2018"/>
        <s v="09/10/2018"/>
        <s v="17/07/2019"/>
        <s v="08/2019"/>
        <s v="05/07/2022"/>
        <s v="02/10/2020"/>
        <s v="08/07/2021"/>
        <s v="16/06/2018"/>
        <s v="07/2020"/>
        <s v="24/04/2018"/>
        <s v="03/12/2018"/>
        <s v="11/2018"/>
        <s v="14/09/2017"/>
        <s v="14/07/2018"/>
        <s v="16/02/2017"/>
        <s v="28/02/2020"/>
        <s v="09/2020"/>
        <s v="27/02/2014"/>
        <s v="11/2021"/>
        <s v="08/12/2022"/>
        <s v="07/2022"/>
        <s v="24/03/2017"/>
        <s v="09/04/2018"/>
        <s v="06/2022"/>
        <s v="03/07/2018"/>
        <s v="09/04/2020"/>
        <s v="03/2019"/>
        <s v="21/01/2020"/>
        <s v="28/01/2022"/>
        <s v="28/10/2017"/>
        <s v="04/2021"/>
        <s v="01/04/2020"/>
        <s v="11/04/2023"/>
        <s v="04/2015"/>
        <s v="05/10/2020"/>
        <s v="01/2020"/>
        <s v="18/07/2022"/>
        <s v="21/12/2018"/>
        <s v="13/02/2019"/>
        <s v="24/09/2020"/>
        <s v="08/2021"/>
        <s v="09/2019"/>
        <s v="02/03/2019"/>
        <s v="02/2023"/>
        <s v="2016"/>
        <s v="11/08/2017"/>
        <s v="07/12/2018"/>
        <s v="15/03/2023"/>
        <s v="11/02/2021"/>
        <s v="19/02/2020"/>
        <s v="17/03/2021"/>
        <s v="07/06/2019"/>
        <s v="09/10/2016"/>
        <s v="17/12/2021"/>
        <s v="24/06/2019"/>
        <s v="07/2019"/>
        <s v="06/11/2019"/>
        <s v="09/2023"/>
        <s v="16/09/2020"/>
        <s v="02/2018"/>
        <s v="05/03/2020"/>
        <s v="07/2018"/>
        <s v="16/05/2018"/>
        <s v="10/09/2018"/>
        <s v="01/2019"/>
        <s v="27/11/2018"/>
        <s v="05/2018"/>
        <s v="12/01/2017"/>
        <s v="03/03/2018"/>
        <s v="2009"/>
        <s v="18/12/2022"/>
        <s v="18/10/2018"/>
        <s v="01/2023"/>
        <s v="22/10/2021"/>
        <s v="02/08/2018"/>
        <s v="08/12/2020"/>
        <s v="25/04/2018"/>
        <s v="16/11/2018"/>
        <s v="07/03/2019"/>
        <s v="19/05/2021"/>
        <s v="30/12/2018"/>
        <s v="30/03/2017"/>
        <s v="07/04/2022"/>
        <s v="17/04/2018"/>
        <s v="25/01/2019"/>
        <s v="06/2017"/>
        <s v="28/04/2017"/>
        <s v="09/03/2018"/>
        <s v="05/2021"/>
        <s v="01/2018"/>
        <s v="02/2020"/>
        <s v="17/10/2022"/>
        <s v="14/05/2021"/>
        <s v="01/12/2020"/>
        <s v="23/11/2021"/>
        <s v="14/12/2020"/>
        <s v="11/04/2018"/>
        <s v="29/08/2018"/>
        <s v="04/2018"/>
        <s v="06/05/2018"/>
        <s v="26/11/2018"/>
        <s v="19/02/2018"/>
        <s v="18/05/2019"/>
        <s v="06/12/2019"/>
        <s v="04/08/2018"/>
        <s v="07/06/2018"/>
        <s v="10/2019"/>
        <s v="21/04/2022"/>
        <s v="29/12/2017"/>
        <s v="26/07/2018"/>
        <s v="21/03/2019"/>
        <s v="07/12/2021"/>
        <s v="08/2023"/>
        <s v="22/05/2019"/>
        <s v="02/02/2020"/>
        <s v="30/05/2018"/>
        <s v="06/08/2021"/>
        <s v="04/2020"/>
        <s v="17/11/2020"/>
        <s v="11/2022"/>
        <s v="28/06/2016"/>
        <s v="16/10/2018"/>
        <s v="21/03/2018"/>
        <s v="14/05/2018"/>
        <s v="13/06/2019"/>
        <s v="2023"/>
        <s v="22/09/2020"/>
        <s v="06/12/2018"/>
        <s v="23/10/2018"/>
        <s v="15/10/2024"/>
        <s v="17/12/2020"/>
        <s v="22/09/2019"/>
        <s v="07/10/2021"/>
        <s v="04/04/2022"/>
        <s v="13/03/2018"/>
        <s v="30/08/2022"/>
        <s v="12/12/2022"/>
        <s v="15/09/2017"/>
        <s v="08/04/2020"/>
        <s v="08/06/2020"/>
        <s v="10/08/2021"/>
        <s v="28/01/2021"/>
        <s v="27/01/2017"/>
        <s v="12/05/2023"/>
        <s v="27/07/2018"/>
        <s v="11/06/2019"/>
        <s v="18/10/2017"/>
        <s v="12/06/2019"/>
        <s v="21/05/2019"/>
        <s v="28/11/2018"/>
        <s v="11/2016"/>
        <s v="12/2018"/>
        <s v="15/06/2022"/>
        <s v="29/09/2020"/>
        <s v="30/06/2020"/>
      </sharedItems>
    </cacheField>
    <cacheField name="Keywords" numFmtId="0">
      <sharedItems containsBlank="1">
        <m/>
        <s v="collective, decolonial, petition"/>
        <s v="manifest machine-learning, neural-network, decentralized, manifesto, artificial-intelligence, neural-networks, floss, cognitive-science, decentralization, anarchy, anarchism, skynet, transhumanism, anarcho-capitalism, austrian-school-economics"/>
        <s v="tech, principles"/>
        <s v="Robot ethics, principles of robotics, responsible innovation"/>
        <s v="tech, manifesto"/>
        <s v="tech, principles, Cybersecurity, Data Responsibility, New Collar Jobs, THINK Policy"/>
        <s v="stakeholders, industry, OpenAI, collective"/>
        <s v="academic"/>
        <s v="mixed, academia, stem, social sciences, industry"/>
        <s v="tech, practices"/>
        <s v="mixed countries"/>
      </sharedItems>
    </cacheField>
    <cacheField name="Exclusion criteria" numFmtId="0">
      <sharedItems containsString="0" containsBlank="1">
        <m/>
      </sharedItems>
    </cacheField>
    <cacheField name="Status" numFmtId="0">
      <sharedItems>
        <s v="Not included"/>
        <s v="included"/>
        <s v="maybe"/>
      </sharedItems>
    </cacheField>
    <cacheField name="Label" numFmtId="0">
      <sharedItems containsBlank="1">
        <s v="meta analysis"/>
        <s v="not cited"/>
        <s v="not accessible"/>
        <s v="SPI"/>
        <s v="SPI field-specific"/>
        <s v="not in english"/>
        <s v="SPI, issue-specific"/>
        <s v="not ai ethics"/>
        <s v="initial url does not work and couldn't find new url"/>
        <s v="SPI issue-specific"/>
        <s v="digital"/>
        <s v="meta-analysis"/>
        <s v="SPI digital"/>
        <m/>
        <s v="field-specific"/>
        <s v="SPI (study)"/>
        <s v="tool"/>
        <s v="issue-specific"/>
        <s v="SPI digital issue-specific"/>
        <s v="press"/>
        <s v="not english"/>
        <s v="SPI, digital"/>
        <s v="digital issue-specific"/>
        <s v="SPI (strategy)"/>
        <s v="SPI, field-specific"/>
        <s v="SPI (study), field-specific"/>
        <s v="digital field-specific"/>
        <s v="SPI, techno-specific, issue-specific"/>
        <s v="binding"/>
        <s v="SPI techno-specific"/>
        <s v="not ai, not ai ethics"/>
        <s v="draft"/>
        <s v="not ai"/>
        <s v="not prescriptive (comments on other texts)"/>
        <s v="not a text"/>
        <s v="SPI, field-specific, issue-specific"/>
        <s v="not in english, not accessible"/>
        <s v="SPI (policy)"/>
        <s v="policy"/>
        <s v="SPI (study), issue-specific"/>
        <s v="not prescriptive (binding)"/>
        <s v="digital techno-specific"/>
        <s v="not prescriptive (tool)"/>
        <s v="SPI, techno-specific"/>
        <s v="SPI techno-specific field-specific"/>
        <s v="summary of AI Act"/>
        <s v="not prescriptive"/>
        <s v="not in english, not prescriptive"/>
        <s v="not prescriptive (strategy)"/>
        <s v="not accessible (project website)"/>
        <s v="SPI digital field-specific"/>
        <s v="SPI (study), field-specific, issue-specific"/>
        <s v="SPI, digital, techno-specific"/>
        <s v="not prescriptive, list of reports"/>
        <s v="not final"/>
        <s v="SPI(strategy)"/>
        <s v="not prescriptive (study), not accessible"/>
        <s v="not prescriptive (impact assessment)"/>
        <s v="not in english (translation)"/>
        <s v="SPI, digital, field-specific"/>
        <s v="not a charter"/>
        <s v="hard to crawl"/>
        <s v="techno-specific"/>
        <s v="field-specific, digital"/>
        <s v="field-specific, issue-specific"/>
        <s v="SPI sector-specific"/>
        <s v="field-specific issue-specific"/>
        <s v="same as below"/>
        <s v="SPI, digital, issue-specific"/>
        <s v="not found"/>
        <s v="same as A724"/>
        <s v="issue-specific, field-specific"/>
      </sharedItems>
    </cacheField>
    <cacheField name="MapAIE (ours)" numFmtId="0">
      <sharedItems containsSemiMixedTypes="0" containsString="0" containsNumber="1" containsInteger="1">
        <n v="0.0"/>
        <n v="1.0"/>
      </sharedItems>
    </cacheField>
    <cacheField name="Jobin" numFmtId="0">
      <sharedItems containsString="0" containsBlank="1" containsNumber="1" containsInteger="1">
        <m/>
        <n v="1.0"/>
      </sharedItems>
    </cacheField>
    <cacheField name="Fjeld" numFmtId="0">
      <sharedItems containsString="0" containsBlank="1" containsNumber="1" containsInteger="1">
        <m/>
        <n v="1.0"/>
      </sharedItems>
    </cacheField>
    <cacheField name="Tidjon" numFmtId="0">
      <sharedItems containsString="0" containsBlank="1" containsNumber="1" containsInteger="1">
        <m/>
        <n v="1.0"/>
      </sharedItems>
    </cacheField>
    <cacheField name="Hagendorff" numFmtId="0">
      <sharedItems containsString="0" containsBlank="1" containsNumber="1" containsInteger="1">
        <m/>
        <n v="1.0"/>
      </sharedItems>
    </cacheField>
    <cacheField name="Floridi" numFmtId="0">
      <sharedItems containsString="0" containsBlank="1" containsNumber="1" containsInteger="1">
        <m/>
        <n v="1.0"/>
      </sharedItems>
    </cacheField>
    <cacheField name="Zeng (LAIP)" numFmtId="0">
      <sharedItems containsString="0" containsBlank="1" containsNumber="1" containsInteger="1">
        <m/>
        <n v="1.0"/>
      </sharedItems>
    </cacheField>
    <cacheField name="Attard-Frost" numFmtId="0">
      <sharedItems containsString="0" containsBlank="1" containsNumber="1" containsInteger="1">
        <m/>
        <n v="1.0"/>
      </sharedItems>
    </cacheField>
    <cacheField name="EP" numFmtId="0">
      <sharedItems containsString="0" containsBlank="1" containsNumber="1" containsInteger="1">
        <m/>
        <n v="1.0"/>
      </sharedItems>
    </cacheField>
    <cacheField name="Algorithm watch" numFmtId="0">
      <sharedItems containsString="0" containsBlank="1" containsNumber="1" containsInteger="1">
        <m/>
        <n v="1.0"/>
      </sharedItems>
    </cacheField>
    <cacheField name="CE" numFmtId="0">
      <sharedItems containsString="0" containsBlank="1" containsNumber="1" containsInteger="1">
        <m/>
        <n v="1.0"/>
        <n v="0.0"/>
      </sharedItems>
    </cacheField>
    <cacheField name="Winfield" numFmtId="0">
      <sharedItems containsString="0" containsBlank="1" containsNumber="1" containsInteger="1">
        <n v="1.0"/>
        <m/>
      </sharedItems>
    </cacheField>
    <cacheField name="EthicalML GitHub" numFmtId="0">
      <sharedItems containsString="0" containsBlank="1" containsNumber="1" containsInteger="1">
        <m/>
        <n v="1.0"/>
      </sharedItems>
    </cacheField>
    <cacheField name="all sources" numFmtId="0">
      <sharedItems containsString="0" containsBlank="1" containsNumber="1" containsInteger="1">
        <n v="1.0"/>
        <n v="0.0"/>
        <n v="2.0"/>
        <n v="3.0"/>
        <n v="5.0"/>
        <n v="6.0"/>
        <n v="8.0"/>
        <n v="4.0"/>
        <n v="9.0"/>
        <n v="12.0"/>
        <m/>
        <n v="10.0"/>
        <n v="11.0"/>
        <n v="7.0"/>
      </sharedItems>
    </cacheField>
    <cacheField name="Checked by" numFmtId="0">
      <sharedItems>
        <s v="Maria"/>
        <s v="Simon"/>
        <s v="Tiphaine"/>
        <s v="Mel"/>
        <s v="Maria, Simon, Tiphaine"/>
      </sharedItems>
    </cacheField>
    <cacheField name="Random">
      <sharedItems containsBlank="1" containsMixedTypes="1" containsNumber="1">
        <m/>
        <s v="Should be included if was cited by anyone"/>
        <n v="0.0019205139721357734"/>
        <n v="0.0021773129663896773"/>
        <n v="0.005935096991292688"/>
        <n v="0.007575119483891335"/>
        <n v="0.007631778318516913"/>
        <n v="0.01095885600786628"/>
        <n v="0.01236510848775152"/>
        <n v="0.014377841350344922"/>
        <n v="0.015867833579763624"/>
        <n v="0.01816172503665958"/>
        <n v="0.02408737264672267"/>
        <n v="0.024125462969399658"/>
        <n v="0.03524001852367409"/>
        <n v="0.03597361522183684"/>
        <n v="0.03765361489694952"/>
        <n v="0.045590908526427776"/>
        <n v="0.046481622667564726"/>
        <n v="0.05186501479946515"/>
        <n v="0.05513591631689252"/>
        <n v="0.05550649632689619"/>
        <n v="0.05797269655734305"/>
        <n v="0.059495169633766776"/>
        <n v="0.06219044667977147"/>
        <n v="0.06495598523573431"/>
        <n v="0.06861025780809393"/>
        <n v="0.06924989948742555"/>
        <n v="0.07028362662112053"/>
        <n v="0.07133605501044049"/>
        <n v="0.07312177450034263"/>
        <n v="0.07372055570216485"/>
        <n v="0.07438782901216123"/>
        <n v="0.0761222766405183"/>
        <n v="0.08232458613834226"/>
        <n v="0.08275148320290493"/>
        <n v="0.08365285019425839"/>
        <n v="0.08886826600639275"/>
        <n v="0.08890635632906974"/>
        <n v="0.09141856892166411"/>
        <n v="0.0921052852883818"/>
        <n v="0.0936650091057396"/>
        <n v="0.0959047348598272"/>
        <n v="0.09712246115521506"/>
        <n v="0.09742823499422004"/>
        <n v="0.09966569174319229"/>
        <n v="0.1056276537446239"/>
        <n v="0.10970189244745165"/>
        <n v="0.11366944605874374"/>
        <n v="0.11529055322472015"/>
        <n v="0.11608859540226435"/>
        <n v="0.11685855997090255"/>
        <n v="0.11726318376352629"/>
        <n v="0.12132199208493899"/>
        <n v="0.13013485115096246"/>
        <n v="0.13063920038597254"/>
        <n v="0.1314773195692367"/>
        <n v="0.13232126399491662"/>
        <n v="0.1341247140532148"/>
        <n v="0.13656131351635048"/>
        <n v="0.1393330127314465"/>
        <n v="0.13967014278787393"/>
        <n v="0.1444936017355426"/>
        <n v="0.14454522728288988"/>
        <n v="0.14786988841718318"/>
        <n v="0.1532246215332348"/>
        <n v="0.15372579297221256"/>
        <n v="0.15537358111809274"/>
        <n v="0.15566159258118462"/>
        <n v="0.1566668508835426"/>
        <n v="0.1587803135393876"/>
        <n v="0.162945510412001"/>
        <n v="0.16607159884390044"/>
        <n v="0.18355077074275816"/>
        <n v="0.18548904750341944"/>
        <n v="0.18556350360535157"/>
        <n v="0.18738990614615347"/>
        <n v="0.18911520701045326"/>
        <n v="0.18964026930108424"/>
        <n v="0.19543169846027342"/>
        <n v="0.19709878868534092"/>
        <n v="0.20408079791760692"/>
        <n v="0.20468013515964334"/>
        <n v="0.20535641807497695"/>
        <n v="0.20922196696235074"/>
        <n v="0.21181264769242802"/>
        <n v="0.21186932142821469"/>
        <n v="0.21265078177685326"/>
        <n v="0.21726712794571634"/>
        <n v="0.21766979043641477"/>
        <n v="0.21996368189331073"/>
        <n v="0.22836957851349504"/>
        <n v="0.23035185898323451"/>
        <n v="0.23163970596899375"/>
        <n v="0.2324540059395105"/>
        <n v="0.23275087667807692"/>
        <n v="0.24250472693187874"/>
        <n v="0.24582927553372513"/>
        <n v="0.24828357952421587"/>
        <n v="0.24833166410242824"/>
        <n v="0.2678434199777511"/>
        <n v="0.27093498252935344"/>
        <n v="0.2714101834328966"/>
        <n v="0.2731579338913779"/>
        <n v="0.27484178360734735"/>
        <n v="0.27649973660431904"/>
        <n v="0.2808596872428959"/>
        <n v="0.2818461751322082"/>
        <n v="0.2841384690372719"/>
        <n v="0.28491176714837607"/>
        <n v="0.2861761094700208"/>
        <n v="0.2896242577093264"/>
        <n v="0.2907083131857209"/>
        <n v="0.29208096344002266"/>
        <n v="0.2961323261449942"/>
        <n v="0.2989593738792654"/>
        <n v="0.3021373779436691"/>
        <n v="0.3024108050622667"/>
        <n v="0.3061744008685926"/>
        <n v="0.30728560539038763"/>
        <n v="0.3095864585876531"/>
        <n v="0.3116115606388056"/>
        <n v="0.31251502550280263"/>
        <n v="0.3125178665680497"/>
        <n v="0.3177647323302141"/>
        <n v="0.3198627314175836"/>
        <n v="0.3202309474618221"/>
        <n v="0.3211417053430383"/>
        <n v="0.3245112012845196"/>
        <n v="0.32809786303850574"/>
        <n v="0.32978742122996474"/>
        <n v="0.33411418233343926"/>
        <n v="0.3341351170915239"/>
        <n v="0.33483478093559527"/>
        <n v="0.3365368678321997"/>
        <n v="0.3387215974618215"/>
        <n v="0.3415369058155239"/>
        <n v="0.34314512473534065"/>
        <n v="0.3453114172627395"/>
        <n v="0.34624299044121765"/>
        <n v="0.34828296884735177"/>
        <n v="0.34867438920852023"/>
        <n v="0.35132108333529544"/>
        <n v="0.3554858378761452"/>
        <n v="0.35660683448821395"/>
        <n v="0.36068846343489236"/>
        <n v="0.3631546785665004"/>
        <n v="0.3675677967627079"/>
        <n v="0.3678735557005517"/>
        <n v="0.36845684353157593"/>
        <n v="0.3696780189689388"/>
        <n v="0.3770874348988327"/>
        <n v="0.3775114266406483"/>
        <n v="0.378166389729115"/>
        <n v="0.3802079656870815"/>
        <n v="0.3847788668407337"/>
        <n v="0.38590212793358813"/>
        <n v="0.3866835882822266"/>
        <n v="0.38718060268024845"/>
        <n v="0.3879334801132235"/>
        <n v="0.38809109444265744"/>
        <n v="0.39449138133601347"/>
        <n v="0.39826597228898797"/>
        <n v="0.39906401446653217"/>
        <n v="0.4026909191483887"/>
        <n v="0.40497194718651275"/>
        <n v="0.4088626593747213"/>
        <n v="0.40943699708137793"/>
        <n v="0.41408215862350073"/>
        <n v="0.4162799265683579"/>
        <n v="0.4190690848023675"/>
        <n v="0.41972981620878014"/>
        <n v="0.4279355570250093"/>
        <n v="0.4320688752889479"/>
        <n v="0.4325211227317204"/>
        <n v="0.4330185295658263"/>
        <n v="0.433083335736825"/>
        <n v="0.4338774334898531"/>
        <n v="0.4364131349044985"/>
        <n v="0.43814431710677815"/>
        <n v="0.44136038146811407"/>
        <n v="0.44172637842037443"/>
        <n v="0.445156065843308"/>
        <n v="0.44735845779025063"/>
        <n v="0.4476312323903763"/>
        <n v="0.4492847873907736"/>
        <n v="0.4495044609974925"/>
        <n v="0.4496828738901687"/>
        <n v="0.4501336209590794"/>
        <n v="0.4528719878023275"/>
        <n v="0.4549686250430872"/>
        <n v="0.4560695619438202"/>
        <n v="0.45816107017388863"/>
        <n v="0.4596089285072207"/>
        <n v="0.4596180508341554"/>
        <n v="0.46025770741464833"/>
        <n v="0.46313217661941763"/>
        <n v="0.4648740535835114"/>
        <n v="0.4655983768498645"/>
        <n v="0.46835205297858307"/>
        <n v="0.4692222922884567"/>
        <n v="0.47059177873267066"/>
        <n v="0.4747789723415097"/>
        <n v="0.47763846591630355"/>
        <n v="0.4783136046020874"/>
        <n v="0.4804752461567541"/>
        <n v="0.483480927711438"/>
        <n v="0.48605874601539933"/>
        <n v="0.49138415298310933"/>
        <n v="0.49178454165479746"/>
        <n v="0.49218110670254567"/>
        <n v="0.49443541428199256"/>
        <n v="0.495079064729366"/>
        <n v="0.49757595591282544"/>
        <n v="0.4976272350067007"/>
        <n v="0.49800219263829926"/>
        <n v="0.49961328436783015"/>
        <n v="0.49998383457551143"/>
        <n v="0.5005600290730929"/>
        <n v="0.5051713740287848"/>
        <n v="0.5055003469343237"/>
        <n v="0.5066086783311538"/>
        <n v="0.5082030555223743"/>
        <n v="0.5090875622470388"/>
        <n v="0.514319823424701"/>
        <n v="0.5181648006784315"/>
        <n v="0.5202891116824508"/>
        <n v="0.5285122571033875"/>
        <n v="0.5290693582707464"/>
        <n v="0.533380437775445"/>
        <n v="0.5343249988108776"/>
        <n v="0.5343549653564519"/>
        <n v="0.5359161391900904"/>
        <n v="0.5365080767982978"/>
        <n v="0.5376606915981424"/>
        <n v="0.542310132290372"/>
        <n v="0.5431540048904206"/>
        <n v="0.5449470815919918"/>
        <n v="0.551341059791112"/>
        <n v="0.5513676280031825"/>
        <n v="0.5556091703046613"/>
        <n v="0.5561650463427794"/>
        <n v="0.5655527157625333"/>
        <n v="0.569317185468383"/>
        <n v="0.5714598555090348"/>
        <n v="0.5747582264469291"/>
        <n v="0.5753021913439299"/>
        <n v="0.5793133685961382"/>
        <n v="0.5834892462446214"/>
        <n v="0.586580823697385"/>
        <n v="0.5900937491575334"/>
        <n v="0.5936389415026906"/>
        <n v="0.5961294300701562"/>
        <n v="0.5962933381926646"/>
        <n v="0.5968760935197698"/>
        <n v="0.6017652199777954"/>
        <n v="0.606773904043164"/>
        <n v="0.6097487447912633"/>
        <n v="0.6112389390368679"/>
        <n v="0.6118942525778995"/>
        <n v="0.6149239352959853"/>
        <n v="0.6166793325835882"/>
        <n v="0.6264873477887318"/>
        <n v="0.6298621144102327"/>
        <n v="0.6301419612259412"/>
        <n v="0.6314512370650264"/>
        <n v="0.6335125050567791"/>
        <n v="0.6394851619837749"/>
        <n v="0.6426642187514302"/>
        <n v="0.646251419162984"/>
        <n v="0.6507284171586049"/>
        <n v="0.653643395321316"/>
        <n v="0.6539985446141036"/>
        <n v="0.6553680310583175"/>
        <n v="0.6568730287200342"/>
        <n v="0.6589925303137014"/>
        <n v="0.6610616806019868"/>
        <n v="0.6610742166511736"/>
        <n v="0.6670343375289824"/>
        <n v="0.6684876783463972"/>
        <n v="0.6706536691351042"/>
        <n v="0.6710242342439466"/>
        <n v="0.6727032356101315"/>
        <n v="0.6745720044161655"/>
        <n v="0.676729987907556"/>
        <n v="0.6803940561392277"/>
        <n v="0.6814602259432583"/>
        <n v="0.6815541809620893"/>
        <n v="0.6822157506104911"/>
        <n v="0.6823522231396335"/>
        <n v="0.6826355301022251"/>
        <n v="0.6832533026448294"/>
        <n v="0.6871401191710557"/>
        <n v="0.6932938211744633"/>
        <n v="0.6962373562374825"/>
        <n v="0.6969337359961265"/>
        <n v="0.6983833743458857"/>
        <n v="0.7044910561037635"/>
        <n v="0.7053653984793128"/>
        <n v="0.7073050897621853"/>
        <n v="0.7079432167832741"/>
        <n v="0.7084143376554605"/>
        <n v="0.710356863763906"/>
        <n v="0.7106858515706063"/>
        <n v="0.7204164034366445"/>
        <n v="0.7221029796802193"/>
        <n v="0.7222738828538329"/>
        <n v="0.7242884280279575"/>
        <n v="0.725533368400973"/>
        <n v="0.7294093374168024"/>
        <n v="0.7295614692621537"/>
        <n v="0.7312296422162176"/>
        <n v="0.7318152159874913"/>
        <n v="0.7351021099914608"/>
        <n v="0.7358017440332097"/>
        <n v="0.7358277588732766"/>
        <n v="0.7361989714139451"/>
        <n v="0.7366576145011682"/>
        <n v="0.7404102377078626"/>
        <n v="0.7412996406584074"/>
        <n v="0.7439585056817577"/>
        <n v="0.7474163936595728"/>
        <n v="0.7483982616089428"/>
        <n v="0.7514170101648533"/>
        <n v="0.7528443659445235"/>
        <n v="0.7531430166477632"/>
        <n v="0.7555995330859039"/>
        <n v="0.7570528000724925"/>
        <n v="0.757966475595432"/>
        <n v="0.758270493132159"/>
        <n v="0.7583408087578871"/>
        <n v="0.7632869435878866"/>
        <n v="0.7643862867237544"/>
        <n v="0.7665724531097786"/>
        <n v="0.7666250063595935"/>
        <n v="0.7671292794227818"/>
        <n v="0.7675059108787343"/>
        <n v="0.7681458562046307"/>
        <n v="0.7682500350017929"/>
        <n v="0.7720859831218554"/>
        <n v="0.7721385363716703"/>
        <n v="0.7748700312855027"/>
        <n v="0.7778559274870334"/>
        <n v="0.7801803435869514"/>
        <n v="0.7819837787440884"/>
        <n v="0.782451377759805"/>
        <n v="0.7847930835279374"/>
        <n v="0.7852912031012725"/>
        <n v="0.7863610902741198"/>
        <n v="0.7887332253463233"/>
        <n v="0.7957992105470004"/>
        <n v="0.7975214342906403"/>
        <n v="0.7979617091291066"/>
        <n v="0.8003634449686212"/>
        <n v="0.8009798647736152"/>
        <n v="0.8082483291743084"/>
        <n v="0.8129803988377468"/>
        <n v="0.8140077366903404"/>
        <n v="0.814190190737991"/>
        <n v="0.8143367095958794"/>
        <n v="0.819677408833418"/>
        <n v="0.8211462030035164"/>
        <n v="0.8218336934321626"/>
        <n v="0.8222854157900715"/>
        <n v="0.8248727427520642"/>
        <n v="0.8253436654957316"/>
        <n v="0.8279245316549462"/>
        <n v="0.8320897285275596"/>
        <n v="0.8334857806393084"/>
        <n v="0.8356688586267287"/>
        <n v="0.8368194446739856"/>
        <n v="0.8412871188404261"/>
        <n v="0.8441078485192615"/>
        <n v="0.8470321511224153"/>
        <n v="0.8483840714777904"/>
        <n v="0.8484016375666292"/>
        <n v="0.850143514530723"/>
        <n v="0.8506110686051446"/>
        <n v="0.8575218542010105"/>
        <n v="0.8586749855766853"/>
        <n v="0.8604361600815327"/>
        <n v="0.8605031408507268"/>
        <n v="0.8613470283519368"/>
        <n v="0.8649342287634907"/>
        <n v="0.8656444587597644"/>
        <n v="0.8693464205881127"/>
        <n v="0.8695340981537893"/>
        <n v="0.8734124250472105"/>
        <n v="0.8735833282208242"/>
        <n v="0.8759084617477659"/>
        <n v="0.8783314275171682"/>
        <n v="0.881837685907059"/>
        <n v="0.8833680489598578"/>
        <n v="0.8862037464713121"/>
        <n v="0.8885837489388869"/>
        <n v="0.8942526321188747"/>
        <n v="0.8954266784258669"/>
        <n v="0.8964432552077158"/>
        <n v="0.900972107160526"/>
        <n v="0.9026527664229758"/>
        <n v="0.9055509977522724"/>
        <n v="0.9060812047294832"/>
        <n v="0.9062059608407391"/>
        <n v="0.908305439146746"/>
        <n v="0.9124878084272574"/>
        <n v="0.9125494265401962"/>
        <n v="0.9179404541204343"/>
        <n v="0.9188134465924739"/>
        <n v="0.9200859768082318"/>
        <n v="0.9225766873821155"/>
        <n v="0.9258624027812221"/>
        <n v="0.9262855360410407"/>
        <n v="0.9273735632165525"/>
        <n v="0.9290170309548731"/>
        <n v="0.9315286594435357"/>
        <n v="0.9323227571965637"/>
        <n v="0.9371396206124657"/>
        <n v="0.9407958399213906"/>
        <n v="0.9428508849588468"/>
        <n v="0.9450373673217082"/>
        <n v="0.9461187896272288"/>
        <n v="0.9470692256746566"/>
        <n v="0.9533808316769895"/>
        <n v="0.9588547569291438"/>
        <n v="0.960207571785537"/>
        <n v="0.9692659259803446"/>
        <n v="0.9699478130612819"/>
        <n v="0.9735821661395017"/>
        <n v="0.9742445107650486"/>
        <n v="0.9763170297225797"/>
        <n v="0.9768627658254447"/>
        <n v="0.9777977234032359"/>
        <n v="0.9791906455950482"/>
        <n v="0.9794906651651019"/>
        <n v="0.9795548230664973"/>
        <n v="0.998574267704545"/>
        <n v="0.998600835916615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731" sheet="List of documents"/>
  </cacheSource>
  <cacheFields>
    <cacheField name="Name of the document" numFmtId="0">
      <sharedItems>
        <s v="A Unified Framework of Five Principles for AI in Society"/>
        <s v="AI Decolonial Manyfesto"/>
        <s v="Asimov’s three laws of Robotics"/>
        <s v="AI Index 2022"/>
        <s v="2030 Digital Compass: the European way for the Digital Decade"/>
        <s v="Global competition and convergence of AI Law"/>
        <s v="Six Principles of Artificial Intelligence"/>
        <s v="The #FreeAI Manifesto"/>
        <s v="Technology rules? The advent of new technologies in the justice system"/>
        <s v="Algorithmic discrimination in Europe: Challenges and opportunities for gender equality and non-discrimination law"/>
        <s v="Universal Principles of Data Ethics"/>
        <s v="Responsible AI and robotics. An ethical framework."/>
        <s v="AI Index 2019"/>
        <s v="Artificial intelligence and the control of COVID-19"/>
        <s v="Unified Ethical Frame for Big Data Analysis. IAF Big Data Ethics Initiative, Part A"/>
        <s v="Artificial Intelligence"/>
        <s v="Mapping Regulatory Proposals for AI in Europe"/>
        <s v="The EURON Roboethics Roadmap"/>
        <s v="Ethics Canvas"/>
        <s v="Algorithm Data Ethics Label"/>
        <s v="Understanding Artificial Intelligence and Safety - A guide for the responsible design and implementation of AI systems in the public sector"/>
        <s v="Digital Ethics: A guide for professionals of the Digital Age"/>
        <s v="Human Rights, Democracy, and the Rule of Law Assurance Framework for AI Systems: A proposal prepared for the Council of Europe’s Ad hoc Committee on Artificial Intelligence"/>
        <s v="Study on AI Governance by Human Rights-Centred Design, Deliberation and Oversight"/>
        <s v="European ethical Charter on the use of Artificial Intelligence in judicial systems and their environment"/>
        <s v="The Road to a Human-Centred Digital Society"/>
        <s v="AI Roadmap"/>
        <s v="Growing the artificial intelligence industry in the UK"/>
        <s v="AI Now 2017 Report"/>
        <s v="Algorithms in Decision Making"/>
        <s v="Thematic Reviews on 'Social Aspects of Digitalisation' (SPC) and 'Digitalisation and Robotisation of Work' (EMCO) - Endorsement of the joint key messages, 14411/18"/>
        <s v="Standards for AI Governance: International Standards to Enable Global Coordination in AI Research &amp; Development"/>
        <s v="Preparing the future of AI"/>
        <s v="AI Now Report 2016. The Social and Economic Implications of Artificial Intelligence Technologies in the Near-Term"/>
        <s v="Overview of National AI-Strategies"/>
        <s v="A toolkit for centering racial equity throughout data integration"/>
        <s v="G20 AI Principles"/>
        <s v="Principles for the Governance of AI"/>
        <s v="4 Steps to developing Responsible AI"/>
        <s v="AI and Human Rights"/>
        <s v="Opinion on AI - The consequences of artificial intelligence on the (digital) single market, production, consumption, employment and society’"/>
        <s v="How to regulate AI"/>
        <s v="Human Rights Impact Assessments for AI: Analysis and Recommendations"/>
        <s v="Report on Artificial intelligence in health care: medical, legal and ethical challenges ahead"/>
        <s v="Recomendations on the inclusion subSaharan Africa in Global AI Ethics"/>
        <s v="Our principles"/>
        <s v="Unfairness by algorithm: Distilling the Harms of automated decision making"/>
        <s v="Automated Decision-Making Under the GDPR: Practical Cases from Courts and Data Protection Authorities"/>
        <s v="Guidelines on Automated individual decision-making and Profiling for the purposes of Regulation 2016/679"/>
        <s v="It’s Time to Do Something: Mitigating the Negative Impacts of Computing Through a Change to the Peer Review Process"/>
        <s v="Policy Statement on Mandatory Engineered Law Enforcement Access"/>
        <s v="Big Data and AI Principles in Engineering"/>
        <s v="RFI for AI Services"/>
        <s v="Statement on Internet of Things Privacy and Security"/>
        <s v="ACM Code of Ethics and Professional Conduct"/>
        <s v="Beyond pilots: sustainable implementation of AI in public services"/>
        <s v="Addressing Ethical Dilemmas in AI: Listening to Engineers"/>
        <s v="Open letter: Civil society call for the introduction of red lines in the upcoming European Commission proposal on Artificial Intelligence"/>
        <s v="Human Rights and Technology"/>
        <s v="Governance Principles for a New Generation of Artificial Intelligence: Develop Responsible Artificial Intelligence"/>
        <s v="Recommandation on strategy creation process (AIM AT 2030)"/>
        <s v="White Paper - Shaping the Future of Austria with Robotics and Artificial Intelligence"/>
        <s v="Principles for Responsible AI"/>
        <s v="Axon committed to listening and learning so that we can fulfill our mission to protect life together"/>
        <s v="The Future of Digital Justice"/>
        <s v="Principled Artificial Intelligence"/>
        <s v="Report with recommendations to the Commission on a framework of ethical aspects of artificial intelligence, robotics and related technologies"/>
        <s v="Responsible AI Policy Framework"/>
        <s v="Four Principles of Explainable Artificial Intelligence"/>
        <s v="Guidelines for Big Data Use - Leitlinien für Big Data Einsatz"/>
        <s v="Recommendations for the responsible use of AI and automated decisions - Empfehlungen für den verantwortlichen Einsatz von KI und automatisierten Entscheidungen"/>
        <s v="The right to privacy in the digital age"/>
        <s v="Brazilian Strategy for Digital Transformation"/>
        <s v="Statement on Accessibility, Usability, and Digital Inclusiveness"/>
        <s v="Conclusions from the Conference “Governing the Game Changer&quot;"/>
        <s v="AI Quality Seal - KI Gütesiegel"/>
        <s v="Report on Artificial Intellilgence in a digital age"/>
        <s v="Hambach Declaration on Artificial Intelligence – Seven data protection obligations - Hambacher Erklärung zur Künstlichen Intelligenz – Sieben datenschutzrechtliche Anforderungen"/>
        <s v="National Artificial Intelligence Strategy of the Czech Republic"/>
        <s v="Exploratory study on the use of algoritms by government organisations"/>
        <s v="Study on the impact of Artificial Intellgience on the infrigement and enforcement of copyrights and designs"/>
        <s v="Digital Decisions Tool"/>
        <s v="For technologists"/>
        <s v="Research Collection: Research Supporting Responsible AI"/>
        <s v="COVID-19 repository and public attitudes retrospective"/>
        <s v="AI Principles: Recommendations on the Ethical Use of Artificial Intelligence by the Department of Defense"/>
        <s v="Artificial Intelligence and Data Protection: How the GDPR Regulates AI"/>
        <s v="The Brussels Effect and Artificial Intelligence: How EU regulation will impact the global AI market"/>
        <s v="Special report: Artificial Intelligence - Your questions answered"/>
        <s v="Mapping de l’écosystème de l’IA dans les pays du Maghreb"/>
        <s v="Artificial Intelligence as a Service: Legal Responsibilities, Liabilities, and Policy Challenges"/>
        <s v="Facial recognition technology: fundamental rights considerations in the context of law enforcement"/>
        <s v="Charter of Digital Networking"/>
        <s v="Joint Pledge on Artificial Intelligence Industry Self-Discipline"/>
        <s v="AI Now 2019 Report"/>
        <s v="Pan-Canadian Artificial Intelligence Strategy"/>
        <s v="ADP: Ethics in Artificial Intelligence"/>
        <s v="Recommendations for an AI Strategy in Switzerland"/>
        <s v="Declaration of Cities Coalition for Digital Right"/>
        <s v="The Ethics of Code: Developing AI for Business with Five Core Principles"/>
        <s v="Robotics Research Ethics - Ethique de la Recherche en Robotique"/>
        <s v="OP Financial Group’s ethical guidelines for artificial intelligence"/>
        <s v="Comparing European and Canadian AI Regulation"/>
        <s v="Big Data and Health - Data sovereignty as informational freedom design - Big Data und Gesundheit – Datensouveränität als informationelle Freiheitsgestaltung"/>
        <s v="Data preprocessing techniques for classification without discrimination"/>
        <s v="Caméras dites &quot;Intellligentes&quot; ou &quot;augmentées&quot; dans l'espace public - Position sur les conditions de déploiement"/>
        <s v="How can humans keep the upper hand? Report on the ethical matters raised by algorithms and artificial intelligence - Comment permettre à l’Homme de garder la main ? Rapport sur les enjeux éthiques des algorithmes et de l’intelligence artificielle"/>
        <s v="Self-assessment guide for artificial intelligence (AI) systems"/>
        <s v="Policy and investment recommendations for trustworthy Artificial Intelligence"/>
        <s v="National Artificial Intelligence Initiative Act - NAIIA (in National Defense Authorization Act - NDAA)"/>
        <s v="Intelligence artificielle et action publique : Construire la confiance, servir la performance"/>
        <s v="Rapport sur les Legaltechs du domaine de la jurimétrie et Charte sur la transparence et l’éthique de l’utilisation des données judiciaires"/>
        <s v="Humains &amp; Machines : quelles interactions au travail ?"/>
        <s v="Artificial Intelligence for Children - Toolkit"/>
        <s v="Trustworthy Use of Artifical Intelligence"/>
        <s v="Algorithms: preventing automated discrimination"/>
        <s v="Guidelines for Human-AI Interaction"/>
        <s v="Progress report"/>
        <s v="From Principles to Practice: An interdisciplinary framework to operationalise AI ethics"/>
        <s v="Strengthening international cooperation on AI, Progress report"/>
        <s v="Ethics Guidelines for Trustworthy AI"/>
        <s v="Working Paper on Privacy and Artificial Intelligence"/>
        <s v="Final remarks of the thematic session on AI and criminal law, The case of automated vehicles"/>
        <s v="Saudi Arabia National AI Strategy"/>
        <s v="WHO Guidance: Ethics and governance of artificial intelligence for health"/>
        <s v="Input on the European Commission White Paper “On Artificial Intelligence – A European approach to excellence and trust”"/>
        <s v="The Ethics of Artifical Intelligence"/>
        <s v="Conclusions of the Expert Seminar on E-relevance of Culture in the age of AI"/>
        <s v="Guidelines of the Committee of Ministers of the Council of Europe on online dispute resolution mechanisms in civil and administrative court proceedings"/>
        <s v="Guidelines of the Committee of Ministers of the Council of Europe on upholding equality and protecting against discrimination and hate during the Covid-19 pandemic and similar crises in the future"/>
        <s v="Guidelines to respect, protect and fulfil the rights of the child in the digital environment"/>
        <s v="Recommendation of the Committee of Ministers to member States on the roles and responsibilities of internet intermediaries"/>
        <s v="Recommendation on Big Data for culture, literacy and democracy"/>
        <s v="Governing Artificial Intelligence. Upholding Human Rights &amp; Dignity"/>
        <s v="Review into Bias in Algorithmic Decision-making"/>
        <s v="Big data, artificial intelligence, machine learning and data protection"/>
        <s v="Guidelines on the protection of individuals with regard to the processing of personal data in a world of Big Data"/>
        <s v="A governance framework for algorithmic accountability and transparency"/>
        <s v="Joint Report on Digital Technologies and Elections"/>
        <s v="Report on Information Disorder Toward an interdisciplinary framework for research and policy making"/>
        <s v="Ethical by Design: Ethics Best Practices for Natural Language Processing"/>
        <s v="Ethics: a vital part of responsible AI deployment"/>
        <s v="Trust in Artificial Intelligence: A Five Countries Study"/>
        <s v="Digital Roadmap Austria"/>
        <s v="A Code of Ethics for the Human Robot Interaction"/>
        <s v="National strategies on Artificial Intelligence: A European perspective, 2021 edition"/>
        <s v="Uncovered, The Discoverability of Public Interest Content Online"/>
        <s v="Recommendation of the Parliamentary Assembly of the Council of Europe about Mass Surveillance - Recommendation 2067(2015)"/>
        <s v="Responsible AI – Key Themes, Concerns &amp; Recommendations for European Research and Innovation Summary of Consultation with Multidisciplinary Experts"/>
        <s v="Report “Democracy hacked how to respond”"/>
        <s v="Report on ‘The brain-computer interface: new rights or new threats to fundamental freedoms?’"/>
        <s v="Report on “artificial intelligence and labour markets: friend or foe?”"/>
        <s v="Trustworthy AI in health. Background paper for the G20 AI Dialogue, Digital Economy Task Force"/>
        <s v="Europe’s approach to artificial intelligence: how AI strategy is evolving"/>
        <s v="Dutch Artificial Intelligence Manifesto"/>
        <s v="A guide to good practice for digital and data-driven health technologies"/>
        <s v="Artificial Intelligence and public services"/>
        <s v="Principles for a fundamental rights-compliant use of digital technologies in electoral processes"/>
        <s v="Statement on Computing and Network Security"/>
        <s v="Responsible Development of AI"/>
        <s v="Trustworthy AI in Aotearoa"/>
        <s v="Intel’s AI Privacy Policy White Paper. Protecting individuals’ privacy and data in the artificial intelligence world"/>
        <s v="Multilateral initiatives for upholding human rights in digital technologies: A task for the UN or for liberal democracies?"/>
        <s v="Conclusions of the European Council Meeting"/>
        <s v="Ethical Framework for Artificial Intelligence in Colombia"/>
        <s v="Gender Equality, Youth and Digitalisation - Presidency Conclusions"/>
        <s v="Presidency conclusions - The Charter of Fundamental Rights in the context of Artificial Intelligence and Digital Change"/>
        <s v="Joint Statement on Artificial Intelligence and Human Rights"/>
        <s v="La diffusion des données décisionnelles et la jurisprudence : Quelle jurisprudence à l'ère des données ouvertes ?"/>
        <s v="Critical Engineering Working Manifesto"/>
        <s v="ACT Project - Projet AJC (Autonomisation des acteurs judiciaires par la Cyberjustice)"/>
        <s v="SAP’s guiding principles for artificial intelligence"/>
        <s v="What Future for European Robotics? JRC Conference and Workshop Report"/>
        <s v="Study on the Human Rights Dimensions of Automated Data Processing techniques"/>
        <s v="The AI Manifesto"/>
        <s v="Assessment List for Trustworthy Artificial Intelligence (ALTAI) for self-assessment"/>
        <s v="Serment d’Hippocrate pour Data Scientist"/>
        <s v="Responsible AI for Empowered Teams"/>
        <s v="DeepMind Ethics &amp; Society Principles, Safety &amp; Ethics"/>
        <s v="A way forward for the D9 in the age of AI: An industry view"/>
        <s v="Harmonising artificial intelligence: The role of standards in the EU AI Regulation"/>
        <s v="Draft Information Sharing Code of Practice"/>
        <s v="Coordinated Plan on Artificial Intelligence 2021 Review"/>
        <s v="New national innovation centre to put UK at forefront of big data"/>
        <s v="Policy Recommendations on Augmented Intelligence in Health Care H-480.940"/>
        <s v="Comprehensive European industrial policy on artificial intelligence and robotics"/>
        <s v="Identification and assessment of existing and draft EU legislation in the digital field"/>
        <s v="AI Governance: A Research Agenda"/>
        <s v="Policy paper on A Sector Deal between government and the Artificial Intelligence sector"/>
        <s v="Recommendations for the Federal Government’s Strategy on Artificial Intelligence"/>
        <s v="AI road map to improve PH productivity"/>
        <s v="Action Plan for AI and Cybersecurity"/>
        <s v="Towards Trustworthy AI: Malta Ethical AI Framework for public consultation"/>
        <s v="Harmonious Artificial Intelligence Principles"/>
        <s v="National Conception of Informatisation of public sector of the Slovak Republic"/>
        <s v="Strategic Priority the Open Data"/>
        <s v="European industrial policy on artificial intelligence and robotics"/>
        <s v="Ethically Aligned Design. A Vision for Prioritizing Human Well-being with Autonomous and Intelligent Systems, version 2"/>
        <s v="Using artificial intelligence in the workplace: What are the main ethical risks?"/>
        <s v="Principles for Digital Development"/>
        <s v="Deon - An Ethics Checklist for data scientists"/>
        <s v="Report on intellectual property rights for the development of artificial intelligence technologies"/>
        <s v="National Artificial Intelligence Strategy"/>
        <s v="Holberton Turing Oath"/>
        <s v="Algorithm Charter for Aotearoa New Zealand"/>
        <s v="AI, the global landscape of ethics guidelines"/>
        <s v="The global landscape of AI ethics guidelines"/>
        <s v="Guidelines for the responsible use of artificial intelligence and other digital technologies in human resources - Richtlinien für den verantwortungsvollen Einsatz von Künstlicher Intelligenz und weiteren digitalen Technologien in der Personalarbeit"/>
        <s v="Guidelines for Artificial Intelligence"/>
        <s v="Road to the Adoption of Artificial Intelligence by the Public Sector"/>
        <s v="A Proposal for Identifying and Managing Bias in Artificial Intelligence"/>
        <s v="A multi-dimensional approach to disinformation"/>
        <s v="Protecting Fundamental Rights in the Digital Age - 2021 Annual Report on the Application of the EU Charter of Fundamental Rights"/>
        <s v="Ethical Principles for Artificial Intelligence and Data Analytics"/>
        <s v="Artificial Intelligence: A european perspective"/>
        <s v="Responsible AI – Maturing from theory to practice"/>
        <s v="EDPS calls for closer alignment between consumer and data protection rules in the EU"/>
        <s v="Final Report on Big Data"/>
        <s v="Code of Practice on Disinformation"/>
        <s v="Data for the Benefit of the People"/>
        <s v="Communication on the Digital Education Action Plan"/>
        <s v="National strategies on Artificial Intelligence: A European perspective, 2022 edition"/>
        <s v="AI4Belgium: AI National Strategy"/>
        <s v="Declaration on cooperation on AI"/>
        <s v="Democracy and digitalisation"/>
        <s v="Digital Finance Strategy for the EU"/>
        <s v="Making the most of the EU’s innovative potential: An intellectual property action plan to support the EU’s recovery and resilience"/>
        <s v="Proposal for a Regulation on a European approach for Artificial Intelligence (AI Act)"/>
        <s v="Report of COMEST on Robotics Ethics"/>
        <s v="Prolegomena to a White Paper on an Ethical Framework for a Good AI Society"/>
        <s v="Preparing for the future of Artificial Intelligence"/>
        <s v="Resolution with recommendations to the Commission on Civil Law Rules on Robotics"/>
        <s v="Rome Call for AI Ethics"/>
        <s v="Towards an AI Strategy in Mexico. Harnessing the AI Revolution"/>
        <s v="Big Data and Security Policies: Serving Security, Protecting Freedom"/>
        <s v="Advisory Statement on Human Ethics in Artificial Intelligence and Big Data Research"/>
        <s v="Everyday Ethics for Artificial Intelligence. A practical guide for designers &amp; developers"/>
        <s v="AI for the public sector: Report of the “4 th Peer Learning Workshop on the use and impact of AI in public services”, 28 October 2021"/>
        <s v="Initial Code of Conduct for Data-Driven Health and Care Technology"/>
        <s v="Study on the use of innovative technologies in the justice field"/>
        <s v="2022 AI Principles Progress Update"/>
        <s v="Civil Rights Principles for the Era of Big Data"/>
        <s v="Policy Briefing: Algorithmic Impact Assessments"/>
        <s v="Human rights in the robot age Challenges arising from the use of robotics, artificial intelligence, and virtual and augmented reality"/>
        <s v="Bias in algorithms: Artificial intelligence and discrimination"/>
        <s v="Governing data and artificial intelligence for all: model for sustainable and just data governance"/>
        <s v="Liability for Artificial Intelligence and other emerging digital technologies"/>
        <s v="Glossary of human-centric artificial intelligence"/>
        <s v="Taking an ethical approach to artificial intelligence."/>
        <s v="Report on Artificial Intelligence and Human Society (Unofficial translation)"/>
        <s v="The Effects of AI on the Working Lives of Women"/>
        <s v="A Method for Ethical AI in Defence"/>
        <s v="Opinion 3/2018 on online manipulation and personal data"/>
        <s v="International Charter for Inclusive AI"/>
        <s v="Adopted Opinion Investing in a smart, innovative and sustainable industry"/>
        <s v="Adopted Opinion on Building a European Data Economy"/>
        <s v="OpenAI Charter"/>
        <s v="Governance of Artificial Intelligence in Finance"/>
        <s v="Model Rules on Impact Assessment of Algorithmic Decision-Making Systems Used by Public Administration"/>
        <s v="Safeguarding human rights in the era of artificial intelligence"/>
        <s v="Report on The Age of Digital Interdependence"/>
        <s v="“ARCC”: An Ethical Framework for Artificial Intelligence"/>
        <s v="Responsible use of AI for public policy: Data science toolkit"/>
        <s v="Responsible use of Artificial Intelligence (AI) - Guiding Principles"/>
        <s v="Study on Understanding algorithmic decision-making"/>
        <s v="Five guiding principles for responsible use of AI in healthcare and healthy living"/>
        <s v="Ethical issues arising from the police use of live facial recognition technology"/>
        <s v="Governance Guidelines for Implementation of AI Principles"/>
        <s v="Algorithmic decision making for the benefit of consumers. Position paper executive summary"/>
        <s v="Artificial intelligence: questions of interpretation and application of international law in so far as the EU is affected in the areas of civil and military uses and of state authority outside the scope of criminal justice"/>
        <s v="AI needs an ethical compass. This tool can help"/>
        <s v="Plans to develop a National Artificial Intelligence Framework"/>
        <s v="How can humans keep the upper hand? Report on the ethical matters raised by AI algorithms"/>
        <s v="Artificial intelligence: the promises and the threats"/>
        <s v="Humans and Societies at the Age of Artificial Intelligence"/>
        <s v="Draft report on artificial intelligence in a digital age"/>
        <s v="A Framework for the Ethical use of advanced Data Science Methodes in the Humanitarian Sector"/>
        <s v="EU Legislation in Progress - AI Act"/>
        <s v="AI Now"/>
        <s v="Digital Decisions"/>
        <s v="Guiding Principles for Automated Decision-Making in the EU"/>
        <s v="Digital automation and the future of work"/>
        <s v="Improving working conditions using Artificial Intelligence"/>
        <s v="Initial Appraisal of a European Commission Impact Assessment"/>
        <s v="Report with recommendations to the Commission on Civil liability regime for artificial intelligence"/>
        <s v="Singapore’s Approach to AI Governance"/>
        <s v="Assessing Technology Readiness Levels for Artificial Intelligence"/>
        <s v="Establishing a pro-innovation approach to regulating AI: An overview of the UK’s emerging approach"/>
        <s v="Recommendation, Unboxing artificial intelligence: 10 steps to protect human rights"/>
        <s v="Artificial Intelligence: opportunities, risks and recommendations for the financial sector"/>
        <s v="Declaration by the Committee of Ministers on the manipulative capabilities of algorithmic processes"/>
        <s v="Resolution on artificial intelligence in criminal matters law and its use by the police and judicial authorities in criminal matters"/>
        <s v="Resolution on Fundamental rights implications of big data: privacy, data protection, non-discrimination, security and law-enforcement"/>
        <s v="Report on the need for democratic governance of artificial intelligence"/>
        <s v="Algorithms and Economic Justice: A Taxonomy of Harms and a Path Forward for the Federal Trade Commission"/>
        <s v="A Proposed Model Artificial Intelligence Governance Framework"/>
        <s v="Study on the implications of advanced digital technologies (including AI systems) for the concept of responsibility within a human rights framework"/>
        <s v="European Artificial Intelligence (AI) leadership, the path for an integrated vision"/>
        <s v="Seeking Ground Rules for AI"/>
        <s v="AI Cybersecurity Challenges"/>
        <s v="Artificial Intelligence Needs Assessment - Survey In Africa"/>
        <s v="Malicious Use and Abuse of Artificial Intelligence"/>
        <s v="Testing and Auditing of AI Systems"/>
        <s v="Advancing accountability in AI - Governing and managing risks throughout the lifecycle for trustworthy AI"/>
        <s v="AI Taiwan Action Plan"/>
        <s v="Automating Injustice: The Use of Artificial Intelligence &amp; Automated Decision-Making Systems in Criminal Justice in Europe"/>
        <s v="Building Ethics into Privacy Frameworks for Big Data and AI"/>
        <s v="AI Ethics Resources"/>
        <s v="Big Data and Competition - Big Data und Wettbewerb"/>
        <s v="Tenets"/>
        <s v="Key points of the Federal Government for a strategy artificial intelligence"/>
        <s v="National Strategy for Artificial Intelligence - Nationale Strategie für Künstliche Intelligenz"/>
        <s v="Artificial Intelligence Mission Austria 2030"/>
        <s v="Assessing Big Data"/>
        <s v="AI Principles"/>
        <s v="Regulating AI in Europe: four problems and four solutions"/>
        <s v="Coordinated plan on AI"/>
        <s v="AI for Humanity"/>
        <s v="Guidance on AI and data protection"/>
        <s v="AI Watch: AI Standardisation Landscape - State of play and link to the EC proposal for an AI regulatory framework"/>
        <s v="COMEST Report on Robotics"/>
        <s v="Principle of Artificial Intelligence Ethics for the intelliagence community"/>
        <s v="French Presidency Statement on “Digital Challenges for Justice in Europe”"/>
        <s v="Law, Technology and Innovation"/>
        <s v="Towards regulation of AI Systems"/>
        <s v="Social Principles of Human-Centric AI"/>
        <s v="The New Frontier: Artificial intelligence at work"/>
        <s v="White Paper on AI - A European approach to excellence and trust"/>
        <s v="Declaration by the Committee of Ministers on the risks of computer-assisted or artificial-intelligence-enabled decision making in the field of the social safety net"/>
        <s v="Data quality and artificial intelligence – mitigating bias and error to protect fundamental rights"/>
        <s v="Principles of robotics: regulating robots in the real world"/>
        <s v="The Future Computed – Artificial intelligence and its role in society"/>
        <s v="Artificial intelligence and employment"/>
        <s v="Ethical Aspects of Autonomous and Intelligent Systems"/>
        <s v="G20 Ministerial Statement on Trade and Digital Economy"/>
        <s v="How to prevent Discriminatory Outcomes in Machine Learning"/>
        <s v="Ethical Guidelines of the German Informatics Society"/>
        <s v="Conclusions from the Conference &quot;Human Rights in the Era of AI - Europe as international Standard Setter for Artificial Intelligence&quot;"/>
        <s v="The GNI Principles on Freedom of Expression and Privacy"/>
        <s v="Montréal Declaration for a Responsible Development of Artificial Intelligence"/>
        <s v="Globalpolicy.ai: Achieving impact through intergovernmental co-operation on artificial intelligence"/>
        <s v="An external advisory council to help advance the responsible development of AI"/>
        <s v="Analysis of current global AI developments with a focus on Europe"/>
        <s v="AI Principles of Telefónica"/>
        <s v="AI National Strategy"/>
        <s v="Safety First for Automated Driving – Proposed technical standards for the development of Automated Driving"/>
        <s v="People + AI Guidebook"/>
        <s v="Towards a Standard for Identifying and Managing Bias in Artificial Intelligence Managing Bias in Artificial Intelligence"/>
        <s v="A Guide to using AI in the Public Sector and a Selection of Use-cases"/>
        <s v="2019-2021 Strategic Plan"/>
        <s v="Trust Manifesto"/>
        <s v="AI: Here for Good, A National Artificial Intelligence Strategy for Ireland"/>
        <s v="Mid- to Long-Term Master Plan in Preparation for the Intelligent Information Society"/>
        <s v="Artificial Intelligence Strategy"/>
        <s v="The National Reform Programme for 2018"/>
        <s v="National orientation for artificial intelligence - Nationell inriktning för artificiell intelligens"/>
        <s v="National Approach to Artificial Intelligence"/>
        <s v="Draft Research Code of Practice and Draft Accreditation Criteria"/>
        <s v="Draft Statistics Statement of Principles and Draft Code of Practice on changes to data systems"/>
        <s v="‘Principled’ artificial intelligence could improve justice"/>
        <s v="RANZCR Ethical Principles for AI in Medicine - Consultation"/>
        <s v="Data protection and Big Data - Datenschutz und Big Data"/>
        <s v="Industrial Strategy: Building a Britain fit for the future"/>
        <s v="10 ethische Leitlinien für die Digitalisierung von Unternehmen (10 ethical guidelines for the digitalisation of companies)"/>
        <s v="Data Ethics Framework"/>
        <s v="The Malicious Use of Artificial Intelligence: Forecasting, Prevention, and Mitigation"/>
        <s v="Declaration of the Ethical Principles for AI"/>
        <s v="Principios de IA de la OCDE"/>
        <s v="Strategic Action Plan for Artificial Intelligence"/>
        <s v="Principles to Promote Fairness, Ethics, Accountability and Transparency (FEAT) in the Use of Artificial Intelligence and Data Analytics in Singapore’s Financial Sector"/>
        <s v="AI Ethics"/>
        <s v="Li Yanhong's Four Principles of AI Ethics"/>
        <s v="The FLY AI Report: Demystifying and Accelerating AI in Aviation/ATM"/>
        <s v="Transparency and Trust in the Cognitive Era"/>
        <s v="Trusted AI (AI Explainability 360 Open Source Toolkit)"/>
        <s v="Ethics policy"/>
        <s v="Building an AI World: Report on National and Regional AI Strategies"/>
        <s v="Ethical Design Manifesto"/>
        <s v="Use of Biometric Data and Technologies"/>
        <s v="Ethics and Human Rights"/>
        <s v="2020 Handbook on AI and International Law"/>
        <s v="Artificil intelligence in the audiovisual sector"/>
        <s v="Guidance on the AI auditing framework"/>
        <s v="Ethics Framework"/>
        <s v="Big Data and the insurance sector"/>
        <s v="Guidance on political campaigning"/>
        <s v="Toward a G20 Framework for Artificial Intelligence in the Workplace"/>
        <s v="Manifesto for Data Practices"/>
        <s v="Information on processing and access to geolocation data"/>
        <s v="Draft AI R&amp;D Guidelines for International Discussions"/>
        <s v="Draft AI Utilization Principles"/>
        <s v="Artificial intelligence in road transport - Cost of non-Europe report"/>
        <s v="The Toronto Declaration: Protecting the right to equality and non-discrimination in machine learning systems"/>
        <s v="Ethical OS Framework. A guide to anticipating the future impact of today’s technology"/>
        <s v="Perspectives on Issues in AI Governance"/>
        <s v="Big Data: New Challenges for Law and Ethics, International scientific conference"/>
        <s v="Defining Artificial Intelligence : towards an operational definition and taxonomy of artificial intelligence"/>
        <s v="IEEE P7000 Standards Projects"/>
        <s v="Ethics by Design: An organizational approach to responsible use of technology"/>
        <s v="Artificial Intelligence Work: Four perspectives on economics, employment, knowledge and ethics - Tekoälyajan työ: neljä näkökulmaa talouteen, työllisyyteen, osaamiseen ja etiikkaan"/>
        <s v="Artificial intelligence in Healthcare"/>
        <s v="A Moral Framework for Understanding of Fair ML through Economic Models of Equality of Opportunity"/>
        <s v="IA Ethics Self-Assessment for Actors of the Entrepreneurial Ecosystem"/>
        <s v="The Ethical Framework for AI in Education"/>
        <s v="Responsible use of AI for public policy: Project formulation manual"/>
        <s v="Privacy, Data and Technology: Human Rights Challenges in the Digital Age"/>
        <s v="Vienna Manifesto on Digital Humanism"/>
        <s v="Statement on Algorithmic Transparency and Accountability"/>
        <s v="Global opinion and expectations about AI"/>
        <s v="Standardization in the area of Artificial Intelligence (ISO/IEC JTC 1/SC 42)"/>
        <s v="Strategic Program on Artificiel Intelligence 2022-2024"/>
        <s v="Action Plan for a Sustainable Planet in the Digital Age"/>
        <s v="AI Strategy 2019 – AI for Everyone: People, Industries, Regions and Governments"/>
        <s v="The Japanese Society for Artificial Intelligence Ethical Guidelines"/>
        <s v="For a meaningful Artificial Intelligence. Towards a French and European strategy"/>
        <s v="Blockchain &amp; Artificial Intelligence task force"/>
        <s v="9 Theses on opportunities and risks, democratic legitimation and constitutional control in the algorithmization of administration - 9 Thesen zu Chancen und Risiken, demokratischer Legitimation und rechtsstaatlicher Kontrolle bei der Algorithmisierung der "/>
        <s v="Hambacher Erklärung zur Künstlichen Intelligenz – Sieben datenschutzrechtliche Anforderungen (Hambach Declaration on Artificial Intelligence – seven requirements for data protection)"/>
        <s v="Murphy and Wood’s three laws of Responsible Robotics"/>
        <s v="Comparison of National Strategies to Promote Artificial Intelligence - Part 1"/>
        <s v="Comparison of National Strategies to Promote Artificial Intelligence - Part 2"/>
        <s v="Auditing the quality of datasets used in algorithmic decision-making systems"/>
        <s v="How the EU Can Achieve Legally Trustworthy AI: A Response to the European Commission’s Proposal for an Artificial Intelligence Act"/>
        <s v="Pacte pour une intelligence artificielle égalitaire entre les femmes et les hommes"/>
        <s v="Certification of processes for AI"/>
        <s v="Study on the relevance and impact of artificial intelligence for company law and corporate governance"/>
        <s v="UAE Strategy for AI"/>
        <s v="The impact of Artificial Intelligence on learning, teaching, and education"/>
        <s v="AI Certification Programme"/>
        <s v="Ethical Toolkit for Engineering/Design Practice"/>
        <s v="MIT Schwarzman College of Computing Task Force Working Group on Social Implications and Responsibilities of Computing Final Report"/>
        <s v="The State of AI 2022"/>
        <s v="National AI Strategy"/>
        <s v="Artificial Intelligence: open questions about gender inclusion"/>
        <s v="Joint insurance industry point of view paper: We need rules of the road for responsible AI and data science"/>
        <s v="New Generation AI Governance Principles – Developing Responsible AI"/>
        <s v="Towards Responsible Artificial Intelligence Innovation - Second Interpol-UNICRI Report on AI for law enforcement"/>
        <s v="Introducing Stanford's Human-Centered AI Initiative"/>
        <s v="Recommendations on Updating the National Artificial Intelligence Research and Development Strategic Plan"/>
        <s v="Inclusive Design"/>
        <s v="Indonesia National Strategy on AI (Stranas KA)"/>
        <s v="Livre blanc de la sécurité intérieure"/>
        <s v="Charter of Digital Rights"/>
        <s v="Artificial Intelligence: Problems and Solutions - 2018"/>
        <s v="AI Strategy of Ukraine"/>
        <s v="AI Development Policy in Poland"/>
        <s v="Assumptions for the AI strategy in Poland Action plan of the Ministry of Digitization - Założenia do strategii AI w Polsce Plan działań Ministerstwa Cyfryzacji"/>
        <s v="Dutch digitalisation strategy"/>
        <s v="Policy Guidance on AI for Children"/>
        <s v="Work in the age of artificial intelligence. Four perspectives on the economy, employment, skills and ethics"/>
        <s v="Artificial intelligence programme"/>
        <s v="Steering AI and Advanced ICTs for Knowledge Societies: A Rights, Openness, Access, and Multi-Stakeholder Perspective"/>
        <s v="Finland’s Age of Artificial Intelligence"/>
        <s v="Artificial Intelligence Risk Management Framework (AI RMF 1.0)"/>
        <s v="Civil liability regime for artificial intelligence - European added value assessment"/>
        <s v="Strategy for the Development of AI in the Republic of Serbia for the period of 2020-2025"/>
        <s v="Governmental strategy, For a sustainable digitized Sweden-a digitization strategy"/>
        <s v="Aurora AI"/>
        <s v="EU guidelines on ethics in artificial intelligence: Context and implementation"/>
        <s v="Three-Year Action Plan for Promoting Development of a New Generation Artificial Intelligence Industry"/>
        <s v="Summary of the NATO Artificial Intelligence Strategy"/>
        <s v="AI: Intelligent machines, smart policies (Conference Summary)"/>
        <s v="How to strengthen personal integrity"/>
        <s v="Z-Inspection"/>
        <s v="Artificial Intelligence National Policy of Chile"/>
        <s v="Feasibility study on the establishment of a certification mechanism for artificial intelligence tools and services"/>
        <s v="Artificial Intelligence for Europe"/>
        <s v="The State of AI Ethics (Volume 5, July 2021)"/>
        <s v="The State of AI Ethics (Volume 6, February 2022)"/>
        <s v="Effective Ad Archives"/>
        <s v="Data Science Oath"/>
        <s v="Designing an ethical, socially accountable facial recognition system A vision from Thales"/>
        <s v="Study supporting the impact assessment of the AI regulation"/>
        <s v="Technical study on online dispute resolution mechanisms"/>
        <s v="Regulatory Technology for the 21st Century"/>
        <s v="Digital Technology and Healthcare. Which Ethical Issues for which Regulations?"/>
        <s v="Algo.Rules"/>
        <s v="A practical guide to Responsible Artificial Intelligence (AI)"/>
        <s v="Organisation Best Practices from The Foundation for Best Practices in Machine Learning"/>
        <s v="Smart Dubai AI Ethics Principles &amp; Guidelines"/>
        <s v="AI Singapore"/>
        <s v="Ten simple rules for responsible Big Data research"/>
        <s v="Opinion on artificial intelligence and fundamental rights"/>
        <s v="Ensuring American Leadership in Automated Vehicle Technologies - Automated Vehicles 4.0"/>
        <s v="AI UX: 7 principles of designing Good AI Products"/>
        <s v="An Artificial Intelligence Standards Roadmap: Making Australia’s Voice Heard"/>
        <s v="Guidelines on Artificial Intelligence and Data Protection"/>
        <s v="Ethics and algorithmic processes for decision making and decision support"/>
        <s v="The Manifesto for Ethical AI"/>
        <s v="The Practical Guide to Ethical AI"/>
        <s v="Data Ethics Checklist"/>
        <s v="Les mesures publiques dans les stratégies gouvernementales en matière d'intelligence artifcielle : une perspective internationale"/>
        <s v="TrUE AI"/>
        <s v="Strategic Priority the Data Management"/>
        <s v="For a mastered, useful and demystified artificial intelligence - Pour une intelligence artificielle maîtrisée, utile et démystifiée"/>
        <s v="Study on Discrimination, artificial intelligence, and algorithmic decision-making"/>
        <s v="Open Ethics Manifesto"/>
        <s v="AI Impact assessment"/>
        <s v="Principles &amp; approaches"/>
        <s v="Recommendation on Technological convergence, AI and human rights"/>
        <s v="Human Inside"/>
        <s v="Study on eHealth, Interoperability of Health Data and Artificial Intelligence for Health and Care in the European Union"/>
        <s v="A blueprint for building national compute capacity for artificial intelligence"/>
        <s v="National Strategy for Artificial Intelligence"/>
        <s v="Statement on Artificial Intelligence, Robotics and 'Autonomous' Systems"/>
        <s v="Artificial Intelligence and Children's Rights"/>
        <s v="Challenges and limits of an open source approach to Artificial Intelligence"/>
        <s v="Harnessing the power of AI and emerging technologies - Background paper for the CDEP Ministerial meeting"/>
        <s v="Identifying and characterising AI adopters - A novel approach based on big data"/>
        <s v="Identifying artificial intelligence actors using online data"/>
        <s v="Labour-saving technologies and employment levels - Are robots really making workers redundant?"/>
        <s v="OECD AI Policy Observatory"/>
        <s v="OECD Framework for the classification of AI Systems"/>
        <s v="OECD Principles on AI"/>
        <s v="Communication on Building Trust in Human-Centric AI"/>
        <s v="AI Index 2021"/>
        <s v="The ethics of artificial intelligence: Issues and initiatives"/>
        <s v="Artificial Intelligence and the fisheries sector"/>
        <s v="The supply, demand and characteristics of the AI workforce across OECD countries"/>
        <s v="Tools and Ethics for Applied Behavioural Insights: The BASIC Toolkit"/>
        <s v="Užupis Principles for Trustworthy AI Design"/>
        <s v="Culture, Platforms and Machines: The Impact of AI on the Diversity of Cultural Expressions"/>
        <s v="Guidelines for AI procurement"/>
        <s v="Using artificial intelligence to help combat COVID-19"/>
        <s v="Artificial intelligence and privacy"/>
        <s v="White paper: A Framework for Responsible Limits on Facial Recognition Use Case: Flow Management"/>
        <s v="From What to How: An Initial Review of Publicly Available AI Ethics Tools, Methods and Research to Translate Principles into Practices"/>
        <s v="Explaining decisions made with AI"/>
        <s v="Finnish One Hundred - A New Opportunity 2018-2037 - Suomen sata uutta mahdollisuutta 2018–2037"/>
        <s v="Action Plan of the Federal Government on the Report of the Ethics Committee Automated and Networked Driving (Ethics Rules for Driving Computers) - Maßnahmenplan der Bundesregierung zum Bericht der Ethik-Kommission Automatisiertes und Vernetztes Fahren (Et"/>
        <s v="Future Technology Artificial Intelligence as a Success Factor for a Strong and Innovative Europe - A Statement on the EU Commission's White Paper on AI (German)"/>
        <s v="Study Commission &quot;Artificial Intelligence Social Responsibility and Economic, Social and Ecological Potential&quot;"/>
        <s v="A smart bureaucrat's guide to AI regulation"/>
        <s v="Ethical Codex for Data-Based Value Creation: For Public Consultation"/>
        <s v="Declaration on Youth Participation in AI Governance"/>
        <s v="Recommendation on the Ethics of Artificial Intelligence"/>
        <s v="Responsible AI in Consumer Enterprise"/>
        <s v="AI Policy Principles"/>
        <s v="Getting the future right – Artificial intelligence and fundamental rights"/>
        <s v="Pervasive Data Ethics"/>
        <s v="Artificial intelligence, blockchain and the future of Europe: How disruptive technologies create opportunities for a green and digital economy"/>
        <s v="US LEADERSHIP IN AI: A Plan for Federal Engagement in Developing Technical Standards and Related Tools"/>
        <s v="Traffic law amended with definition of an autonomous vehicle."/>
        <s v="AI &amp; Data Topical Guide Series"/>
        <s v="Artificial Intelligence market and capital flows"/>
        <s v="Plan Nacional de Inteligencia Artificial"/>
        <s v="Responsible bots: 10 guidelines for developers of conversational AI"/>
        <s v="National Strategy for AI"/>
        <s v="Report of the Special Rapporteur to the General Assembly on AI and its impact on freedom of opinion and expression"/>
        <s v="PWC's Responsible AI"/>
        <s v="Discussion Paper: National Strategy for Artificial Intelligence"/>
        <s v="The responsible AI framework"/>
        <s v="AI and digital tools in workplace management and evaluation: An assessment of EU's legal framework"/>
        <s v="Annual Reports - Data Ethics"/>
        <s v="Ethical, social, and political challenges of Artificial Intelligence in Health"/>
        <s v="Guide on the use of Artificial Intelligence-based tools by lawyers and law firms in the EU"/>
        <s v="Auditing and Achieving Intersectional Fairness in Classification Problems"/>
        <s v="Meeting the new challenges to equality and non-discrimination from increased digitisation and the use of Artificial Intelligence"/>
        <s v="Automating Society Report"/>
        <s v="Discussion Paper on Artificial Intelligence (AI) and Personal Data - Fostering Responsible Development and Adoption of AI"/>
        <s v="Principles"/>
        <s v="Government by Algorithm: Artificial Intelligence in Federal Administrative Agencies"/>
        <s v="Linking artifical intelligence principles"/>
        <s v="Non-paper on the impact of artificial intelligence and freedom of expression"/>
        <s v="Responsible Design Assistant"/>
        <s v="AI4People—An Ethical Framework for a Good AI Society: Opportunities, Risks, Principles, and Recommendations"/>
        <s v="Critiquing the Reasons for Making Artificial Moral Agents"/>
        <s v="Beijing Consensus on Artificial Intelligence and Education"/>
        <s v="Trusted AI  "/>
        <s v="Climate Change and AI: Recommendations for Government Action"/>
        <s v="Artificial Intelligence and its Impact on Young People"/>
        <s v="Shanghai Declaration"/>
        <s v="Study on AI And Big Data: A Blueprint for a human rights, social and ethical impact assessment"/>
        <s v="Statement on Artificial Intelligence"/>
        <s v="Shanghai Initiative on Artificial Intelligence Security Development"/>
        <s v="Artificial Intelligence in smart cities and urban mobility"/>
        <s v="National Strategy on AI"/>
        <s v="Statute book of good practices in data protection for Big Data - Código de buenas prácticas en protección de datos para proyectos de Big Data"/>
        <s v="Artificial Intelligence Economic importance, social challenges, human responsibility"/>
        <s v="White Paper on AI standardization"/>
        <s v="Malta, the ultimate AI Launchpad: A strategy and vision for AI in Malta 2030"/>
        <s v="The practical application of the Guiding Principles on Business and Human Rights to the activities of technology companies - Report of the Office of the United Nations High Commissioner for Human Rights"/>
        <s v="Guiding Principles on Trusted AI Ethics"/>
        <s v="Next Generation Artifical Intelligence Plan"/>
        <s v="Data Ethics Principles"/>
        <s v="Artificial Intelligence Technology Strategy"/>
        <s v="Artificial Intelligence: a strategic vision for Luxembourg"/>
        <s v="Discussion paper on Governance of the Artificial Intelligence Strategy for Europe"/>
        <s v="Preliminary study on the technical and legal aspects relating to the desirability of a standard-setting instrument on the ethics of artificial intelligence"/>
        <s v="The future of work and education in the digital age"/>
        <s v="Privacy and Freedom of Expression In the Age of Artificial Intelligence"/>
        <s v="Opportunities and drawbacks of using artificial intelligence for training"/>
        <s v="Business Principles and Policies"/>
        <s v="Artificial Intelligence (AI) in Health"/>
        <s v="Recommendation of the Council on Artificial Intelligence"/>
        <s v="6 Principles of AI"/>
        <s v="Trustworthy AI in education: promises and challenges. Background paper for the G20 AI Dialogue, Digital Economy Task Force"/>
        <s v="The Ethics of Technology in the Intelligent Age - Reshaping Trust in a Digital Society"/>
        <s v="Artificial Intelligence and National Security"/>
        <s v="IBM’s Principles for Trust and Transparency"/>
        <s v="Artificial Intelligence Act: Analysis &amp; Recommendations"/>
        <s v="Advancing AI ethics beyond compliance From principles to practice"/>
        <s v="Summary of events - AI Policy Conference"/>
        <s v="The responsible Machine Learning Principles"/>
        <s v="The Critical Engineering Manifesto"/>
        <s v="Tieto’s AI ethics guidelines"/>
        <s v="Ethical by Design: Principles for Good Technology"/>
        <s v="The role of Artificial Intelligence in the European Green Deal"/>
        <s v="Measuring the environmental impacts of artificial intelligence compute and applications - The AI Footprint"/>
        <s v="Principles for Accountable Algorithms and a Social Impact Statement for Algorithms"/>
        <s v="The Good Technology Standard (Draft)"/>
        <s v="The Partnership of the Future"/>
        <s v="Concept note Artificial intelligence and criminal law responsibility in Council of Europe"/>
        <s v="Artificial Intelligence at the service of the citizen"/>
        <s v="The impact of Artificial Intelligence on the Doctor-Patient Relationship"/>
        <s v="Top 10 Principles for Ethical Artificial Intelligence"/>
        <s v="Facial Recognition Technology and the Growing Power of Artificial Intelligence: Report of the Standing Committee on Access to Information, Privacy and Ethics"/>
        <s v="Taking Stock of Automated Decision-Making in the EU"/>
        <s v="AI RFX Procurement Framework"/>
        <s v="Declaration on AI in the Nordic-Baltic Region"/>
        <s v="Regulation of Artificial Intelligence in Selected Jurisdictions"/>
        <s v="Person identification, human rights and ethical principles - Rethinking biometrics in the era of artificial intelligence"/>
        <s v="Ethics of AI in Radiology: European and North American Multisociety Statement"/>
        <s v="AI in Egypt"/>
        <s v="Artificial intelligence impact assessment"/>
        <s v="Report on legal aspects of « autonomous vehicles »"/>
        <s v="Artificial Intelligence and Machine Learning: Policy Paper"/>
        <s v="Data Ethics Canvas"/>
        <s v="AI Strategy of Catalonia"/>
        <s v="Human Rights in the Robot Age Report"/>
        <s v="State of the art in the use of emerging technologies in the public sector"/>
        <s v="Facial Recognition Principles"/>
        <s v="Ethics of Artificial Intelligence: Case Studies and Options for Addressing Ethical Challenges"/>
        <s v="Bridges to the future of education: Policy recommendations for the digital age"/>
        <s v="The 3rd Insdustrial Revolution Strategy Study"/>
        <s v="Universal Guidelines for Artificial Intelligence"/>
        <s v="Beijing Artificial Intelligence Principles"/>
        <s v="Policy brief on Discrimination at Recruitment and Selection"/>
        <s v="Algorithmic Impact Assessment (AIA)"/>
        <s v="Directive on Automated Decision-Making"/>
        <s v="Government of Canada Strategic Plan for Information Management and Information Technology 2017-2021"/>
        <s v="Machine learning: the power and promise of computers that learn by example"/>
        <s v="#BigData: Discrimination in data-supported decision making"/>
        <s v="National AI Strategy: Unlocking Tunisia’s capabilities potential."/>
        <s v="AI Ethics Principles"/>
        <s v="Study on the impact of predictive technologies and AI on the audiovisual sector, including possible specific measures to put into place in order to ensure freedom of expression and cultural diversity"/>
        <s v="State of implementation of the OECD AI Principles"/>
        <s v="AI Ethics Kakao"/>
        <s v="Feasibility Study on a legal framework on AI design, development and application based on CoE standards"/>
        <s v="The National Artificial Intelligence Research and Development Strategic Plan"/>
        <s v="Responsible AI practices"/>
        <s v="United Nations Activities on Artificial Intelligence (AI) 2021"/>
        <s v="Report of the Special Rapporteur on the right to privacy"/>
        <s v="Stop explaining black box machine learning models for high stakes decisions and use interpretable models instead"/>
        <s v="United Nations Development Program - Digital Strategy 2022-2025"/>
        <s v="Report on the Risks and Benefits of Artificial Intelligence and Robotics (link broken)"/>
        <s v="Artificial Intelligence. The Public Policy Opportunity"/>
        <s v="Regulating AI to protect the consumer: Position Paper on the AI Act"/>
        <s v="Opinion of the Data Ethics Commission on the National AI strategy"/>
        <s v="Defining AMIA's artificial intelligence principles"/>
        <s v="AI in the UK: ready, willing and able?"/>
        <s v="Digitalwallonia4AI"/>
        <s v="Artificial Intelligence and Education: A critical view through the lens of human rights, democracy and the rule of law"/>
        <s v="Developing a Shared Vision of Ethical AI in Education: An Invitation to Participate"/>
        <s v="Draft text of the Recommendation on the ethics of artificial intelligence"/>
        <s v="I'd blush if I could"/>
        <s v="Human rights impact assessment of digital activities"/>
        <s v="Preliminary study on the Ethics of Artificial Intelligence"/>
        <s v="Regulating for European AI that Protects and Advances Equality"/>
        <s v="European Declaration on Digital Rights and Principles for the Digital Decade"/>
        <s v="Business Ethics and Artificial Intelligence"/>
        <s v="Principles for the safe and effective use of data and analytics"/>
        <s v="Toward a draft text of a Recommendation on the Ethics of Artificial Intelligence (working document)"/>
        <s v="Study Requested by the Committee on Industry, Research Energy, European AI leadership"/>
        <s v="AI, human rights, democracy and the rule of law: A primer prepared for the Council of Europe"/>
        <s v="Report on Big Data and Health"/>
        <s v="Declaration on Ethics and Data Protection in Artificial Intelligence"/>
        <s v="Report on Justice by algorithm (the role of artificial intelligence in policing and criminal justice systems)"/>
        <s v="L'intelligence artificielle dans l'administration publique au Québec"/>
        <s v="Recommendation on Human Rights Impacts of Algorithmic Systems"/>
        <s v="Report on AI and Data Protection Challenges and Possible Remedies"/>
        <s v="Artificial Intelligence and the Future of Work"/>
        <s v="Putting AI ethics to work: are the tools fit for purpose?"/>
        <s v="Design Ethically Toolkit"/>
        <s v="Automated and connected automated driving - Automatisiertes und Vernetztes Fahren"/>
        <s v="Guidelines on facial recognition"/>
        <s v="The ethical issues of the application of artificial intelligence in healthcare: a systematic scoping review"/>
        <s v="Pervade project: Pervasive Data Ethics for computanional research"/>
        <s v="Artificial Intelligence diplomacy"/>
        <s v="Charlevoix Common Vision for the Future of Artificial Intelligence"/>
        <s v="Oxford - Munich code of conduct"/>
        <s v="Report with recommendations to the Commission on Civil Law Rules on Robotics"/>
        <s v="AI Code of Ethics"/>
        <s v="AI Index 2018"/>
        <s v="Ethics in robotics research. CERNA Mission and Context"/>
        <s v="Human rights in the age of Artificial Intelligence"/>
        <s v="Artificial Intelligence in Society"/>
        <s v="Intel Recommends Public Policy Principles for Artificial Intelligence"/>
        <s v="The Ethics of AI Ethics - An Evaluation of Guidelines"/>
        <s v="Algorithms and fundamental rights - Algoritmes en grondrechten"/>
        <s v="Data Ethics Decision Aid (DEDA)"/>
        <s v="Leading the way into the age of artiﬁcial intelligence"/>
        <s v="Künstliche Intelligenz – Gemeinwohl als Maßstabm Gute Arbeit als Prinzip"/>
        <s v="Verivox/Pro7 Selbstverpflichtung (Commitment)"/>
        <s v="Vodafone AI Framework"/>
        <s v="AI Sector Deal"/>
        <s v="Introducing Unity’s Guiding Principles for Ethical AI – Unity Blog"/>
        <s v="Biometric Recognition and Behavioural Detection"/>
        <s v="White Paper: How to Prevent Discriminatory Outcomes in Machine Learning"/>
        <s v="Executive Order on Maintaining American Leadership in Artificial Intelligence"/>
        <s v="Guidance for Regulation of Artificial Intelligence Applications"/>
        <s v="AI Portugal 2030"/>
        <s v="Position on Robotics and Artificial Intelligence"/>
        <s v="AI procurement in a box: AI government procurement guidelines."/>
        <s v="Twitter Moments guidelines and principles"/>
        <s v="Sony Group AI Ethics Guidelines"/>
        <s v="Artificial intelligence in Swedish business and society"/>
        <s v="QCRI Center for Artificial Intelligence"/>
        <s v="Ambitious, safe, responsible: our approach to the delivery of AI-enabled capability in Defence"/>
        <s v="AI Now 2018 Report"/>
        <s v="Building a National AI Research Resource: A Blueprint for the National Research Cloud  National  AI Research  Resource: A Blueprint for  the National  Research Cloud"/>
        <s v="Generating evidence for artificial intelligence-based medical devices: A framework for training, validation and evaluation"/>
        <s v="Report on preventing discrimination caused by the use of artificial intelligence"/>
        <s v="Artificial Intelligence. Australia's Ethics Framework. A discussion paper"/>
        <s v="Artificial Intelligence in public services - Overview of the use and impact of AI in public services in the EU"/>
      </sharedItems>
    </cacheField>
    <cacheField name="Institution" numFmtId="0">
      <sharedItems containsBlank="1">
        <s v="."/>
        <s v="University of Stanford, SRI International, MIT, OpenAI, McKinsey Global Institute, Partnership on AI, Harvard University"/>
        <s v="European Commission"/>
        <s v="Vrije Universiteit Brussel"/>
        <s v="House of Lords, Justice and Home affairs Committee (United Kingdom)"/>
        <s v="European Commission (European network of legal experts in&#10;  gender equality and non-discrimination)"/>
        <s v="Accenture"/>
        <s v="Accenture UK"/>
        <s v="Council of Europe"/>
        <s v="The Information Accountability Foundation"/>
        <s v="Samsung Research"/>
        <s v="AccessNow"/>
        <s v="The European Robotics Research Network (EURON)"/>
        <s v="Adapt Center"/>
        <s v="ADEL"/>
        <s v="The Alan Turing Institute"/>
        <s v="CIGREF/Syntec Numérique"/>
        <s v="University of Birmingham"/>
        <s v="Council of Europe: European Commission for the efficiency of Justice (CEPEJ)"/>
        <s v="Centre on AI Technology for Humanking (AiTH) at NUS Business School"/>
        <s v="AI Council (United Kingdom)"/>
        <s v="Department for Digital, Culture, Media &amp; Sport and Department for Business, Energy &amp; Industrial Strategy (United Kingdom)"/>
        <s v="AI Now Institute"/>
        <s v="Parliament Science and Technology Committee (United Kingdom)"/>
        <s v="Council of the European Union"/>
        <s v="Future of Humanity Institute, University of Oxford"/>
        <s v="National Science and Technology Council (US)"/>
        <s v="AISOMA"/>
        <s v="AISP"/>
        <s v="Ministry of Internal Affairs and Communications"/>
        <s v="The Future Society Science Law and Society (SLS) Initiative"/>
        <s v="World Economic Forum (WEF)"/>
        <s v="All Tech is Human"/>
        <s v="European Economic and Social Committee (EESC)"/>
        <s v="Allen Institute for Artificial Intelligence – AI2 (Oren Etzioni, professor of Computer Science)"/>
        <s v="Council of Europe (Parliamentary Assembly)"/>
        <s v="Research ICT Africa"/>
        <s v="Google"/>
        <s v="Future of Privacy Forum"/>
        <s v="Article 29 Working Party"/>
        <s v="Association for Computing Machinery - Future of Computing Machinery"/>
        <s v="World Federation of Engineering Organizations (WEFO)"/>
        <s v="TBS Canada"/>
        <s v="Association for Computing Machinery (ACM)"/>
        <s v="European Commission (Joint Research Centre, AI Watch)"/>
        <s v="Association of Nordic Engineers, IEEE, the Data Ethics ThinkDoTank (DataEthics.eu), University of Copenhagen"/>
        <s v="European Digital Rights (EDRi)"/>
        <s v="Australian Human Rights Commission"/>
        <s v="National New Generation Artificial Intelligence Governance Expert Committee"/>
        <s v="Austrian Council For Robotics And Artificial Intelligence"/>
        <s v="Women leading in AI"/>
        <s v="Axon"/>
        <s v="BCG, Bucerius Law School, LegalTech Deutschland"/>
        <s v="Berkman Klein Center (University of Harvard)"/>
        <s v="European Parliament"/>
        <s v="ITechLaw"/>
        <s v="National Institute of Standards and Technology (NIST) (US)"/>
        <s v="Bitkom"/>
        <s v="United Nations (OHCHR)"/>
        <s v="Brazil’s Ministry of Science, Technology, Innovations and Communications"/>
        <s v="Council of Europe and Finnish Presidency of the Committee of Ministers"/>
        <s v="Bundesverband KI"/>
        <s v="Conference of the Independent Federal and State Data Protection Supervisory Authorities - Datenschutzkonferenz (Germany)"/>
        <s v="Ministry of Industry and Trade of Czech Republic"/>
        <s v="CBS (Statistics Netherlands)"/>
        <s v="European Union Intellectual Property Office (EUIPO)"/>
        <s v="Center for Democracy &amp; technology (CDT)"/>
        <s v="Center for Humane Technology"/>
        <s v="Microsoft"/>
        <s v="Centre for Data Ethics and Innovation"/>
        <s v="Defense Innovation Board"/>
        <s v="Centre for Information Policy Leadership (CIPL)"/>
        <s v="Centre for the Governance of AI (GovAI)"/>
        <s v="Australian Strategic Policy Institute (ASPI), University of Adelaide, Australian Institute for Machine Learning"/>
        <s v="United Nations Educational Scientific and Cultural Organization (UNESCO)"/>
        <s v="University of Cambridge"/>
        <s v="Fundamental Rights Agency (FRA)"/>
        <s v="Charta of digital networking"/>
        <s v="Chinese AI Industry Alliance (AIIA)"/>
        <s v="CIFAR"/>
        <s v="Always Designing for People"/>
        <s v="Swiss Academy of Technical Sciences (SATW)"/>
        <s v="Cities Coalition for Digital Rights"/>
        <s v="Sage"/>
        <s v="Commission de réflexion sur l’Éthique de la Recherche en sciences et technologies du Numérique d’Allistene (CERNA - France)"/>
        <s v="OP Group"/>
        <s v="Commission du droit de l'Ontario"/>
        <s v="The German Ethics Council"/>
        <s v="Eindhoven University of Technology"/>
        <s v="Commission nationale informatique et libertés (CNIL - France)"/>
        <s v="European Commission (AI HLEG)"/>
        <s v="Congress (US)"/>
        <s v="Conseil d'Etat (France)"/>
        <s v="Conseil National des Barreaux (CNB)"/>
        <s v="Conseil National du Numérique (CNN - France)"/>
        <s v="Fraunhofer Institute for Intelligent Analysis and Information Systems IAIS "/>
        <s v="Défenseur des droits (in partnership with CNIL)"/>
        <s v="Council of Europe (CAHAI)"/>
        <s v="AIEI Group"/>
        <s v="Brookings, Centre for European Policy Studies"/>
        <s v="International Working Group on Data Protection on Telecommunications"/>
        <s v="Council of Europe (CDPC)"/>
        <s v="The Saudi Data and Artificial Intelligence Authority"/>
        <s v="World Health Organization (WHO)"/>
        <s v="University of Stanford"/>
        <s v="Machine Intelligence Research Institute"/>
        <s v="Council of Europe and Croatian Presidency of the Committee of Ministers"/>
        <s v="Council of Europe (Committee of Ministers)"/>
        <s v="Data &amp; Society"/>
        <s v="Information Commissioner's Office"/>
        <s v="Council of Europe (Consultative Committee of the Convention 108)"/>
        <s v="Council of Europe (DG1 and Venice Commission)"/>
        <s v="Council of Europe (DG1)"/>
        <s v="Thomson Reuters"/>
        <s v="Orange"/>
        <s v="KPMG, University of Queensland"/>
        <s v="Federal Chancellery, Federal Ministry for Digital and Economic Affairs (Austria)"/>
        <s v="University of Notre Dame"/>
        <s v="Council of Europe (MSI-REF)"/>
        <s v="HUB4NGI"/>
        <s v="Organisation for Economic Co-operation and Development (OECD)"/>
        <s v="Special Interest Group on Artificial Intelligence (SIGAI), ICT Platform Netherlands (IPN)"/>
        <s v="UK Department of Health &amp; Social Care"/>
        <s v="Council of Europe (Venice Commission)"/>
        <s v="AI Forum"/>
        <s v="Intel Corporation"/>
        <s v="Presidential advisory for economic affairs and digital transformation (Colombia)"/>
        <s v="Freedom Online Coalition"/>
        <s v="Cour de cassation (France)"/>
        <s v="Critical Engineering Working Group"/>
        <s v="Cyberjustice Laboratory"/>
        <s v="SAP"/>
        <s v="European Commission (Joint Research Centre)"/>
        <s v="Council of Europe (MSI-NET)"/>
        <s v="BlackBerry"/>
        <s v="DataforGood"/>
        <s v="Dataiku"/>
        <s v="DeepMind"/>
        <s v="Digital Future for Europe coalition"/>
        <s v="University of Oxford, Oxford Internet Institute"/>
        <s v="Department for Digital, Culture, Media &amp; Sport (United Kingdom)"/>
        <s v="American Medical Association (AMA)"/>
        <s v="Centre for the Governance of AI, Future of Humanity Institute, University of Oxford"/>
        <s v="Data Ethics Commission (Germany)"/>
        <s v="The Philippine government"/>
        <s v="Department of Economy, Science and Innovation (Flanders, Belgium)"/>
        <s v="Parliamentary Secretariat for Financial Services, DIgital Economy and Innovation (Malta)"/>
        <s v="Research Center for Brain-inspired Intelligence, Institute of Automation, Chinese Academy of Sciences"/>
        <s v="Deputy Prime Minister of the Slovak Republic for Investment and Informatics"/>
        <s v="Institute of Electrical and Electronics Engineers (IEEE), The IEEE Global Initiative on Ethics of Autonomous and Intelligent Systems"/>
        <s v="Digital Impact Alliance (DIAL)"/>
        <s v="DrivenData"/>
        <s v="Department of Business, Enterprise and Innovation (DBEI) of Ireland"/>
        <s v="The Holberton-Turing Oath"/>
        <s v="New Zealand Government; Stats NZ"/>
        <s v="ETH Zurich"/>
        <s v="Ethics council HR Tech - Ethikbeirat HR Tech"/>
        <s v="Deutsche Telekom"/>
        <s v="Software &amp; Information Industry Association (SIIA), Public Policy Division"/>
        <s v="PriceWaterhouseCoopers (PWC)"/>
        <s v="European Data Protection Supervisor (EDPS)"/>
        <s v="ESMA (European Securities and Markets Authority), EBA (European Banking Authority), EIOPA (European Insurance and Occupational Pensions Authority) and the Joint Committtee of the European Supervisory Authorities, Joint Committee"/>
        <s v="Danish Expert Group on Data Ethics - Ekspertgruppen om DATAETIK"/>
        <s v="AI4Belgium Coalition"/>
        <s v="COMEST/UNESCO"/>
        <s v="Oxford Internet Institute"/>
        <s v="Executive Office of the President; National Science and Technology Council; Committee on Technology"/>
        <s v="RenAIssance Foundation"/>
        <s v="British Embassy Mexico City"/>
        <s v="The Netherlands Scientific Council for Government Policy"/>
        <s v="National Research Council Canada"/>
        <s v="IBM"/>
        <s v="Department of Health &amp; Social Care"/>
        <s v="Leadership Conference on Civil and Human Rights"/>
        <s v="Institute for the Future of Work"/>
        <s v="The Rathenau Instituut"/>
        <s v="European Commission (Expert group on liability and new technologies)"/>
        <s v="Adobe"/>
        <s v="Advisory Board on Artificial Intelligence and Human Society (initiative of the Minister of State for Science and Technology Policy)"/>
        <s v="United Nations Educational Scientific and Cultural Organization (UNESCO), Organisation for Economic Co-operation and Development (OECD), Inter-American Development Bank (IDB)"/>
        <s v="Department of Defence (Australia)"/>
        <s v="Orange; Arborus"/>
        <s v="OpenAI"/>
        <s v="Autorité de contrôle prudentiel et de résolution (ACPR - France)"/>
        <s v="European Law Institute (ELI)"/>
        <s v="Council of Europe (Commissioner for Human Rights)"/>
        <s v="United Nations, UN Secretary-General’s High-level Panel on Digital Cooperation"/>
        <s v="Tencent Research Institute"/>
        <s v="Inter-American Development Bank"/>
        <s v="Treasury Board (Canada)"/>
        <s v="Philips"/>
        <s v="Biometrics and Forensics Ethics Group (BFEG)"/>
        <s v="Ministry of Economy, Trade and Industry (Japan)"/>
        <s v="Federation of German Consumer Organisations"/>
        <s v="The Leadership Conference on Civil and Human Rights"/>
        <s v="IDEO"/>
        <s v="Prime Minister of Malaysia"/>
        <s v="French Data Protection Authority (CNIL)"/>
        <s v="European Commission (DG for Education, Youth, Sport and Culture)"/>
        <s v="The Humanitarian Data Science and Ethics Group"/>
        <s v="Center for Democracy &amp; Technology"/>
        <s v="Personal Data Protection Commission Singapore"/>
        <s v="Commission de Surveillance du Secteur Financier"/>
        <s v="Yale Law School"/>
        <s v="Personal Data Commission Singapore"/>
        <s v="Council of Europe (MSI-AUT)"/>
        <s v="The New York Times"/>
        <s v="European Union Agency for Cybersecurity (ENISA)"/>
        <s v="EUROPOL"/>
        <s v="ExamAI"/>
        <s v="Executive Yuan (Taiwan)"/>
        <s v="Fair Trials"/>
        <s v="IAPP"/>
        <s v="Fast.ai"/>
        <s v="Federal Cartel Office - Bundeskartellamt (Germany)"/>
        <s v="Partnership on AI"/>
        <s v="Federal Government (Germany)"/>
        <s v="Federal Ministry for Transport, Innovation and Technology, Federal Ministry for Digital and Economic Affairs (Austria)"/>
        <s v="Federal Ministry of Education and Research (Germany) - ABIDA"/>
        <s v="Future of Life Institute"/>
        <s v="Ada Lovelace Institute"/>
        <s v="France"/>
        <s v="Information Commissioner Office"/>
        <s v="Office of the Director of National Intelligence"/>
        <s v="French Presidency of the Committee of Ministers"/>
        <s v="DTIBR (Centro de pesquisa em direito, tecnologia e inovaçao), Expert Editora Digital"/>
        <s v="Cabinet Office (Japan)"/>
        <s v="Engineering and Physical Sciences Research Council UK (EPSRC)"/>
        <s v="Institute of Electrical and Electronics Engineers (IEEE)"/>
        <s v="G20"/>
        <s v="German Informatics Society - Gesellschaft für Informatik"/>
        <s v="German Presidency of the Committee of Ministers"/>
        <s v="Global Network Initiative"/>
        <s v="Université de Montréal"/>
        <s v="Globalpolicy.ai"/>
        <s v="Konrad-Adenauer-Stiftung"/>
        <s v="Telefonica Executive Committee"/>
        <s v="Government CIO Office, Ministry of Economic Affairs and Communications (Estonia)"/>
        <s v="Ministry of Local Government and Modernisation (Norway)"/>
        <s v="Aptiv, Audi, BMW, Daimler and other automotive companies"/>
        <s v="Google - People + AI Research (PAIR)"/>
        <s v="Government Digital Service and Office for Artificial Intelligence (United Kingdom)"/>
        <s v="Government ICT Authority (Israel)"/>
        <s v="ArmAI"/>
        <s v="Government of Ireland"/>
        <s v="Government of the Republic of Korea"/>
        <s v="Government of the Republic of Lithuania"/>
        <s v="Government offices - Regeringskansliet (Sweden)"/>
        <s v="Government Offices (Sweden)"/>
        <s v="Government Statistics Authority (United Kingdom)"/>
        <s v="H5 (Nicolas Economou)"/>
        <s v="Royal Australian and New Zealand College of Radiologists"/>
        <s v="Handelsblatt Research Institute"/>
        <s v="HM Government (United Kingdom)"/>
        <s v="Hochschule der Medien"/>
        <s v="Central Digital &amp; Data Office"/>
        <s v="Future of Humanity Institute; University of Oxford; Centre for the Study of Existential Risk; University of Cambridge; Center for a New American Security; Electronic Frontier Foundation; OpenAI"/>
        <s v="IA Lalam"/>
        <s v="IA2030Mx"/>
        <s v="Ministry of Economic Affairs and Climate Policy (Netherlands)"/>
        <s v="Monetary Authority of Singapore"/>
        <m/>
        <s v="EUROCONTROL"/>
        <s v="Icelandic Institute for Intelligent Machines (IIIM)"/>
        <s v="ind.ie"/>
        <s v="Independent Advisory Group (IAG) on the Use of Biometric Data (Scotland)"/>
        <s v="India Government"/>
        <s v="Indian Society of Artificial Intelligence and Law (ISAIL)"/>
        <s v="Council of Europe (European Audiovisual Observatory)"/>
        <s v="Digital Catapult"/>
        <s v="Information Commissioner’s Office (ICO - United Kingdom)"/>
        <s v="Information Commissioner’s Office (United Kingdom)"/>
        <s v="CIGI Gentre for International Governance Innovation"/>
        <s v="The Linux Foundation"/>
        <s v="Inspector General for the Protection of Personal Data (Poland)"/>
        <s v="Institute for Information and Communications Policy (IICP), The Conference toward AI Network Society"/>
        <s v="Access Now ; Amnesty International"/>
        <s v="Institute for the Future, Omidyar Networks Tech and Society Solutions Lab"/>
        <s v="Institute of Criminology at the Faculty of Law of Ljubljana"/>
        <s v="World Economic Forum (WEF), Deloitte and the Markkula Center for Applied Ethics at Santa Clara University"/>
        <s v="Ministry of Economic Affairs and Employment (Finland)"/>
        <s v="Academy of Medical Royal Colleges"/>
        <s v="The Insitute for Ethical AI in Education"/>
        <s v="New Zealand Human Rights Commission"/>
        <s v="TU Wien"/>
        <s v="Ipsos"/>
        <s v="ISO"/>
        <s v="Italian Government"/>
        <s v="United Nations, Secretary General's Envoy on Technology"/>
        <s v="Japanese Government"/>
        <s v="Japanese Society for Artificial Intelligence"/>
        <s v="Mission Villani"/>
        <s v="Kenyan Government"/>
        <s v="KI + VERWALTUNG"/>
        <s v="Konferenz der unabhängigen Datenschutzaufsichtsbehörden des Bundes und der Länder (Conference of the independent data protection supervisory authorites in Germany)"/>
        <s v="KU Leuven, University of Birmingham, University of Edimburgh"/>
        <s v="Laboratoire de l'égalité"/>
        <s v="Laboratoire National de métrologie et d'Essai (LNE - France)"/>
        <s v="United Arab Emirates Government"/>
        <s v="Malta Digital Innovation Authority"/>
        <s v="Markkula Center"/>
        <s v="Massachusetts Institute of Technology"/>
        <s v="Mc Kinsey"/>
        <s v="Department for Digital, Culture, Media &amp; Sport and Department for Business, Energy &amp; Industrial Strategy - Office for AI (United Kingdom)"/>
        <s v="W20"/>
        <s v="National New Generation AI Promotion Office / National New Generation Artificial Intelligence Governance Committee"/>
        <s v="United Nations (UNICRI), Interpol"/>
        <s v="Stanford University Human-Centered Artificial Intelligence"/>
        <s v="University of Stanford, Stanford Institute for Human-centered AI"/>
        <s v="Microsoft Design"/>
        <s v="Minister of Research and Technology of Indonesia"/>
        <s v="Ministère de l'intérieur (France)"/>
        <s v="Ministerio de asuntos economicos y transformacion digital (Spain)"/>
        <s v="Ministry of Defense of the Russian Federation"/>
        <s v="Ministry of Digital Transformation (Ukraine)"/>
        <s v="Ministry of Digitisation (Poland)"/>
        <s v="United Nations Children's Fund (UNICEF)"/>
        <s v="Ministry of Economic Affairs and Employment"/>
        <s v="Ministry of economic development (Italy)"/>
        <s v="Ministry of Education, Science and Technological Development (Serbia)"/>
        <s v="Ministry of Enterprise and Innovation (Sweden)"/>
        <s v="Ministry of Finance (Finland)"/>
        <s v="Ministry of Industry and Information Technology (MIIT) (China)"/>
        <s v="NATO"/>
        <s v="Ministry of Justice (Sweden)"/>
        <s v="Z-Inspection"/>
        <s v="Ministry of Science, Technology, Knowledge and Innovation of Chile"/>
        <s v="Council of Europe (CEPEJ)"/>
        <s v="Montreal AI Ethics Institute"/>
        <s v="Mozilla Foundation"/>
        <s v="National Academies of Science, Engineering &amp; Medecine"/>
        <s v="Thales"/>
        <s v="Council of Europe (CDCJ)"/>
        <s v="World Economic Forum (WEF), Global Future Council on Agile Governance"/>
        <s v="French National Ethical Consultative Committee for Life Sciences and Health (CCNE)"/>
        <s v="Bertelsmann Stiftung, iRights.lab"/>
        <s v="Foundation for Best Practices in Machine Learning (FBPML)"/>
        <s v="Smart Dubai"/>
        <s v="National Research Foundation (Singapore)"/>
        <s v="PLOS Computational Biology"/>
        <s v="Commission nationale consultative des droits de l'Homme (CNCDH - France)"/>
        <s v="National Science and Technology Council, United States Department of Transportation (US)"/>
        <s v="UX Studio Team"/>
        <s v="Standards Australia"/>
        <s v="AlgorithmWatch"/>
        <s v="Numeum"/>
        <s v="O'Reilly"/>
        <s v="OBVIA"/>
        <s v="Office of the Vice-President of the Government for Investment and Informatisation"/>
        <s v="Office parlementaire d’évaluation des choix scientifiques et technologiques (France)"/>
        <s v="Council of Europe (ECRI)"/>
        <s v="Open Ethics Initiative"/>
        <s v="Open Loop"/>
        <s v="Ministry of Finance and Ministry of Industry, Business and Financial Affairs (Danemark)"/>
        <s v="European Commission, European Group on Ethics in Science and New Technologies"/>
        <s v="Republic of Užupis"/>
        <s v="The Norwegian Data Protection Authority"/>
        <s v="Information Commissioner’s Office, The Alan Turing Institute (United Kingdom)"/>
        <s v="Parliament (Finland)"/>
        <s v="Parliament (Germany)"/>
        <s v="University of Bath"/>
        <s v="Swiss Alliance for Data-Intensive Services"/>
        <s v="Council of Europe (Youth Department)"/>
        <s v="Integrate.ai"/>
        <s v="Information Technology Industry (ITI) Council"/>
        <s v="Pervade at University of Maryland"/>
        <s v="European Commission, European Investment Bank"/>
        <s v="Poland"/>
        <s v="Policy Action Network"/>
        <s v="President of Argentina"/>
        <s v="Presidential executive order (Russia)"/>
        <s v="United Nations, Secretary General"/>
        <s v="National Institution for Transforming India (Niti Aayog)"/>
        <s v="PriceWaterhouseCoopers (PwC) UK"/>
        <s v="Privacy Commissioner for Personal Data (Hong Kong)"/>
        <s v="Future Advocacy"/>
        <s v="Council of Bars and Law Societies of Europe (CCBE), European Lawyers Fundation (ELF)"/>
        <s v="QuantumBlack (McKinsey)"/>
        <s v="European Network of Equality Bodies (EQUINET)"/>
        <s v="reputable.AI"/>
        <s v="Stanford Law School"/>
        <s v="Organization for Security and Co-operation in Europe (OSCE)"/>
        <s v="Responsible AI institute"/>
        <s v="AI4People; Atomium-EISMD"/>
        <s v="Technical University of Delft"/>
        <s v="Salesforce research"/>
        <s v="Global Partnership on Artificial Intelligence (GPAI), Climate Change AI, Centre for AI&amp;Climate"/>
        <s v="Shanghai YoungAI"/>
        <s v="Polytechnic University of Turin"/>
        <s v="Canada, France"/>
        <s v="Sohu"/>
        <s v="Spain"/>
        <s v="Spanish Agency for Data Protection (AEPD - Spain)"/>
        <s v="Standards Admin of China"/>
        <s v="United Nations (Human Rights Council)"/>
        <s v="Telia Company"/>
        <s v="State Council (China)"/>
        <s v="Data Ethics"/>
        <s v="Strategic Council for Ai Technology (Japan)"/>
        <s v="The Government of the Grand Duchy of Luxembourg"/>
        <s v="T20"/>
        <s v="Privacy International &amp; Article 19"/>
        <s v="Telefonica"/>
        <s v="Royal College of Physicians"/>
        <s v="Tencent"/>
        <s v="Tencent Technology News, Tencent Research Institute, Tencent AI Lab"/>
        <s v="ALLAI"/>
        <s v="RegHorizon, ETH Zurich"/>
        <s v="The Institute for Ethical AI &amp; Machine Learning"/>
        <s v="The Critical Engineering Working Group"/>
        <s v="Tieto"/>
        <s v="The Ethics Center"/>
        <s v="Organisation for Economic Co-operation and Development (OECD), GPAI"/>
        <s v="Fairness, Accountability, and Transparency in Machine Learning (FATML)"/>
        <s v="The Good Technology Collective"/>
        <s v="Satya Nadella"/>
        <s v="Agenzia per l'Italia Digitale (AGID)"/>
        <s v="Council of Europe (CDBIO)"/>
        <s v="UNI Global Union"/>
        <s v="Chambre des communes (Canada)"/>
        <s v="The Institute for Ethical AI &amp; ML"/>
        <s v="Nordic Council of Ministers for Digitalisation 2017-2020 (MR-DIGITAL)"/>
        <s v="The Law Library of the Congress"/>
        <s v="American College of Radiology; European Society of Radiology; Radiology Society of North America; Society for Imaging Informatics in Medicine; European Society of Medical Imaging Informatics; Canadian Association of Radiologists; American Association of P"/>
        <s v="The National Council for Artificial Intelligence (Egypt)"/>
        <s v="AI Recht"/>
        <s v="The Internet Society"/>
        <s v="The Open Data Institute"/>
        <s v="Federal Ministry of Education and Research; Federal Ministry for Economic Affairs and Labour and Social Affairs Energy"/>
        <s v="Government of Catalonia (Spain)"/>
        <s v="The Rathenau Institute"/>
        <s v="University of Central Lancashire, University of Nottingham, University De Monfort"/>
        <s v="Think 20 (T20)"/>
        <s v="Third Industrial Revolution Consulting Group (Luxembourg)"/>
        <s v="The Public Voice"/>
        <s v="International Research Center for AI Ethics and Governance"/>
        <s v="TNO (Netherlands)"/>
        <s v="The Royal Society"/>
        <s v="Tunisia’s Secretary of State for Research"/>
        <s v="Department of Industry, Science, Energy and Resources (Australia)"/>
        <s v="Council of Europe (Eurimages)"/>
        <s v="Kakako Corp"/>
        <s v="National Science and Technology Council, Networking and Information Technology Research and Development Subcommittee (US)"/>
        <s v="United Nations (ITU)"/>
        <s v="University of Duke"/>
        <s v="United Nations (UNDP)"/>
        <s v="United Nations (UNICRI)"/>
        <s v="Bureau européen des Unions des Consommateurs (BEUC)"/>
        <s v="American Medical Informatics Association (AMIA)"/>
        <s v="UK House of Lords, Select Committee on Artificial Intelligence"/>
        <s v="Walloon Government (Belgium)"/>
        <s v="Council of Europe (Education Department)"/>
        <s v="University of Buckingham"/>
        <s v="The Danish Institute for Human Rights"/>
        <s v="European Union"/>
        <s v="Institute of Business Ethics"/>
        <s v="Stats New Zealand and Office of the Privacy Commissioner"/>
        <s v="The Alan Turing Institute, Council of Europe"/>
        <s v="International Conference of Data Protection and Privacy Commissioners (ICDPPC)"/>
        <s v="Université de Laval"/>
        <s v="DGB"/>
        <s v="University of Southampton"/>
        <s v="Ethics Committee of the Federal Ministry of Transport and Digital Infrastructure (BMVI) - Ethkikkommission des Bundesministeriums für Verkehr und digitale Infrastruktur (Germany)"/>
        <s v="University of Maastricht"/>
        <s v="University of Maryland"/>
        <s v="G7"/>
        <s v="University of Oxford, University of Granada"/>
        <s v="Commission for the Implementation of the Code of Ethics in the Field of Artificial Intelligence"/>
        <s v="CERNA (Allistene)"/>
        <s v="Access Now"/>
        <s v="University of Tübingen"/>
        <s v="University of Utrecht"/>
        <s v="University of Utrecht, University of Duisburg"/>
        <s v="Ver.di"/>
        <s v="Verivox"/>
        <s v="Vodafone Group"/>
        <s v="Unity Technologies"/>
        <s v="WEF, Global Future Council on Human Rights 2016-2018"/>
        <s v="White House (US)"/>
        <s v="Coordination Office of INCoDe.2030 Initiative, Portuguese Science and Technology Foundation (FCT), Portuguese Innovation Agency (ANI), Ciência Viva and the Portuguese Agency for Administrative Modernisation (AMA)"/>
        <s v="The Greens (Green Working Group Robots)"/>
        <s v="Twitter"/>
        <s v="Sony"/>
        <s v="Sweden’s innovation agency (Vinnova)"/>
        <s v="Qatar Computing Research Institute (QCRI)"/>
        <s v="UK Ministry of Defence"/>
        <s v="HAI, University of Stanford, Stanford Law School"/>
        <s v="Australian Government - Department of Industry Innovation and Science"/>
      </sharedItems>
    </cacheField>
    <cacheField name="URL" numFmtId="0">
      <sharedItems containsBlank="1">
        <s v="https://hdsr.mitpress.mit.edu/pub/l0jsh9d1/release/8"/>
        <s v="https://manyfesto.ai/"/>
        <m/>
        <s v="https://aiindex.stanford.edu/wp-content/uploads/2022/03/2022-AI-Index-Report_Master.pdf"/>
        <s v="https://eur-lex.europa.eu/legal-content/en/TXT/?uri=CELEX%3A52021DC0118"/>
        <s v="https://osf.io/preprints/socarxiv/j36ke/"/>
        <s v="http://it.people.com.cn/n1/2020/0309/c1009-31622757.html"/>
        <s v="https://github.com/freeai-manifesto/manifesto"/>
        <s v="https://publications.parliament.uk/pa/ld5802/ldselect/ldjusthom/180/180.pdf"/>
        <s v="https://op.europa.eu/en/publication-detail/-/publication/082f1dbc-821d-11eb-9ac9-01aa75ed71a1"/>
        <s v="https://www.accenture.com/t20160629T012639Z__w__/us-en/_acnmedia/PDF-24/Accenture-Universal-Principles-Data-Ethics.pdf new URL https://fr.scribd.com/document/450122018/Accenture-Universal-Principles-Data-Ethics#"/>
        <s v="https://www.accenture.com/gb-en/company-responsible-ai-robotics"/>
        <s v="https://hai.stanford.edu/sites/default/files/ai_index_2019_report.pdf"/>
        <s v="https://www.coe.int/en/web/artificial-intelligence/ai-and-control-of-covid-19-coronavirus"/>
        <s v="https://bigdata.fpf.org/wp-content/uploads/2015/11/IAF-Unified-Ethical-Frame-for-Big-Data-Analysis.pdf"/>
        <s v="https://research.samsung.com/artificial-intelligence"/>
        <s v="accessnow.org/wp-content/uploads/2018/11/mapping_regulatory_proposals_for_AI_in_EU.pdf"/>
        <s v="http://www.roboethics.org/index_file/Roboethics%20Roadmap%20Rel.1.2.pdf"/>
        <s v="https://www.ethicscanvas.org/index.html"/>
        <s v="http://www.adel-label.com/adel/"/>
        <s v="https://www.turing.ac.uk/sites/default/files/2019-06/understanding_artificial_intelligence_ethics_and_safety.pdf"/>
        <s v="https://www.cigref.fr/wp/wp-content/uploads/2019/02/Cigref-Syntec-Digital-Ethics-Guide-for-Professionals-of-Digital-Age-2018-October-EN.pdf"/>
        <s v="https://rm.coe.int/huderaf-coe-final-1-2752-6741-5300-v-1/1680a3f688"/>
        <s v="https://papers.ssrn.com/sol3/papers.cfm?abstract_id=3435011"/>
        <s v="https://rm.coe.int/ethical-charter-en-for-publication-4-december-2018/16808f699c"/>
        <s v="https://drive.google.com/uc?export=download&amp;id=1aRyqczni56ONA9PVExt2DrrJ1ATGKSu0"/>
        <s v="https://assets.publishing.service.gov.uk/media/5ff3bc6e8fa8f53b76ccee23/AI_Council_AI_Roadmap.pdf"/>
        <s v="https://www.gov.uk/government/publications/growing-the-artificial-intelligence-industry-in-the-uk"/>
        <s v="https://ainowinstitute.org/wp-content/uploads/2023/04/AI_Now_2017_Report.pdf"/>
        <s v="https://publications.parliament.uk/pa/cm201719/cmselect/cmsctech/351/351.pdf"/>
        <s v="http://data.consilium.europa.eu/doc/document/ST-14411-2018-INIT/en/pdf"/>
        <s v="https://www.fhi.ox.ac.uk/wp-content/uploads/Standards_-FHI-Technical-Report.pdf"/>
        <s v="https://obamawhitehouse.archives.gov/sites/default/files/whitehouse_files/microsites/ostp/NSTC/preparing_for_the_future_of_ai.pdf"/>
        <s v="https://assets.ctfassets.net/8wprhhvnpfc0/3JOy5k4f1YSCQOi8MCCmA2/97010d04fbc7892662ce8b2469dc1601/AI_Now_2016_Report.pdf"/>
        <s v="https://www.aisoma.de/wp-content/uploads/2021/01/Overview-of-National-AI-Strategies.pdf"/>
        <s v="https://aisp.upenn.edu/wp-content/uploads/2022/07/AISP-Toolkit_5.27.20.pdf"/>
        <s v="https://www.mofa.go.jp/policy/economy/g20_summit/osaka19/pdf/documents/en/annex_08.pdf"/>
        <s v="https://thefuturesociety.org/principles-law-and-society-initiative/"/>
        <s v="https://www.weforum.org/agenda/2019/06/4-steps-to-developing-responsible-ai/"/>
        <s v="https://alltechishuman.org/ai-human-rights-report"/>
        <s v="https://eur-lex.europa.eu/legal-content/EN/TXT/PDF/?uri=CELEX:52016IE5369&amp;from=EN"/>
        <s v="https://www.nytimes.com/2017/09/01/opinion/artificial-intelligence-regulations-rules.html"/>
        <s v="https://www.accessnow.org/cms/assets/uploads/2022/11/Access-Now-Version-Human-Rights-Implications-of-Algorithmic-Impact-Assessments_-Priority-Recommendations-to-Guide-Effective-Development-and-Use.pdf"/>
        <s v="https://pace.coe.int/files/28737/pdf"/>
        <s v="https://researchictafrica.net/ranitp2019-2-ai-ethics/"/>
        <s v="https://blog.google/technology/ai/ai-principles/"/>
        <s v="https://fpf.org/wp-content/uploads/2017/12/FPF-Automated-Decision-Making-Harms-and-Mitigation-Charts.pdf"/>
        <s v="https://fpf.org/wp-content/uploads/2022/05/FPF-ADM-Report-R2-singles.pdf"/>
        <s v="https://ec.europa.eu/newsroom/document.cfm?doc_id=47742"/>
        <s v="https://perma.cc/K22T-5DFU"/>
        <s v="https://www.acm.org/binaries/content/assets/public-policy/usacm/2018-usacm-statement-law-enforcement-access.pdf"/>
        <s v="http://www.wfeo.org/big-data-and-ai-principles-in-engineering/"/>
        <s v="https://buyandsell.gc.ca/cds/public/2018/06/28/05baa93c08b6f2d3000855170f831066/ABES.PROD.PW__EE.B017.E33657.EBSU000.PDF"/>
        <s v="https://www.acm.org/binaries/content/assets/public-policy/2017_joint_statement_iotprivacysecurity.pdf"/>
        <s v="https://www.acm.org/code-of-ethics"/>
        <s v="https://publications.jrc.ec.europa.eu/repository/bitstream/JRC126665/jrc126665_sustainable_implementation_of_ai_in_public_services_technical-report_v2.pdf"/>
        <s v="https://standards.ieee.org/initiatives/autonomous-intelligence-systems/ethical-dilemmas-ai-report/"/>
        <s v="https://edri.org/wp-content/uploads/2021/01/EDRi-open-letter-AI-red-lines.pdf"/>
        <s v="https://tech.humanrights.gov.au/sites/default/files/2021-05/AHRC_RightsTech_2021_Final_Report.pdf"/>
        <s v="https://www.newamerica.org/cybersecurity-initiative/digichina/blog/translation-chinese-expert-group-offers-governance-principles-responsible-ai/"/>
        <s v="https://www.acrai.at/wp-content/uploads/2019/04/190315_Ratsempfehlung_zum_Strategieprozess_AIM_AT_2030.pdf"/>
        <s v="https://www.bmk.gv.at/dam/jcr:8acef058-7167-4335-880e-9fa341b723c8/aimat_ua.pdf"/>
        <s v="https://womenleadinginai.org/wp-content/uploads/2019/02/WLiAI-Report-2019.pdf"/>
        <s v="https://www.axon.com/news/technology/axon-committed-to-listening-and-learning"/>
        <s v="https://web-assets.bcg.com/3a/4a/66275bf64d92b78b8fabeb3fe705/22-05-31-the-future-of-digital-justice-bls-bcg-web.pdf"/>
        <s v="https://ssrn.com/abstract=3518482"/>
        <s v="https://www.europarl.europa.eu/doceo/document/A-9-2020-0186_EN.pdf"/>
        <s v="https://www.itechlaw.org/publication/responsible-ai-2021-update/"/>
        <s v="https://nvlpubs.nist.gov/nistpubs/ir/2021/NIST.IR.8312.pdf"/>
        <s v="https://www.bitkom.org/sites/default/files/file/import/150901-Bitkom-Positionspapier-Big-Data-Leitlinien.pdf"/>
        <s v="https://www.bitkom.org/Bitkom/Publikationen/Empfehlungen-fuer-den-verantwortlichen-Einsatz-von-KI-und-automatisierten-Entscheidungen-Corporate-Digital-Responsibility-and-Decision-Making.html"/>
        <s v="https://www.ohchr.org/en/calls-for-input/2021/right-privacy-digital-age-report-2021"/>
        <s v="https://www.gov.br/mcti/pt-br/centrais-de-conteudo/comunicados-mcti/estrategia-digital-brasileira/digitalstrategy.pdf"/>
        <s v="https://www.acm.org/binaries/content/assets/public-policy/2017_usacm_statement_accessibility.pdf"/>
        <s v="https://rm.coe.int/conclusions-helsinki-conference-26-27-02-2019/168093bfca"/>
        <s v="https://ki-verband.de/ki-guetesiegel-ai-made-in-germany"/>
        <s v="https://www.europarl.europa.eu/doceo/document/TA-9-2022-0140_EN.pdf"/>
        <s v="https://www.datenschutz.bremen.de/sixcms/media.php/13/Hambacher_Erklaerung_englisch.pdf"/>
        <s v="https://www.mpo.cz/assets/en/guidepost/for-the-media/press-releases/2019/5/NAIS_eng_web.pdf."/>
        <s v="https://www.cbs.nl/-/media/_pdf/2018/48/verkennend%20onderzoek%20naar%20het%20gebruik%20van%20algoritmen%20binnen%20overheidsorganisaties.pdf"/>
        <s v="https://euipo.europa.eu/tunnel-web/secure/webdav/guest/document_library/observatory/documents/reports/2022_Impact_AI_on_the_Infringement_and_Enforcement_CR_Designs/2022_Impact_AI_on_the_Infringement_and_Enforcement_CR_Designs_FullR_en.pdf"/>
        <s v="https://www.cdt.info/ddtool/"/>
        <s v="https://www.humanetech.com/technologists#principles"/>
        <s v="https://www.microsoft.com/en-us/research/blog/research-collection-research-supporting-responsible-ai/"/>
        <s v="https://www.gov.uk/government/publications/covid-19-repository-and-public-attitudes-retrospective"/>
        <s v="https://media.defense.gov/2019/Oct/31/2002204458/-1/-1/0/DIB_AI_PRINCIPLES_PRIMARY_DOCUMENT.PDF"/>
        <s v="https://www.huntonprivacyblog.com/wp-content/uploads/sites/28/2020/03/cipl-hunton_andrews_kurth_legal_note_-_how_gdpr_regulates_ai__12_march_2020_-1.pdf"/>
        <s v="https://uploads-ssl.webflow.com/614b70a71b9f71c9c240c7a7/630534b77182a3513398500f_Brussels_Effect_GovAI.pdf"/>
        <s v="https://ad-aspi.s3.ap-southeast-2.amazonaws.com/2023-01/SR183%20AI%20Your%20questions%20answered.pdf?VersionId=RDGO41fuPaLXTscqQt0SKCfOkLU0G7.6"/>
        <s v="https://fr.unesco.org/sites/default/files/20210526mappingecosystemeiadsmaghreb.pdf"/>
        <s v="https://papers.ssrn.com/sol3/papers.cfm?abstract_id=3824736"/>
        <s v="https://fra.europa.eu/sites/default/files/fra_uploads/fra-2019-facial-recognition-technology-focus-paper-1_en.pdf"/>
        <s v="https://charta-digitale-vernetzung.de/app/uploads/2016/11/Charter-of-Digital-Networking.pdf"/>
        <s v="https://www.newamerica.org/cybersecurity-initiative/digichina/blog/translation-chinese-ai-alliance-drafts-self-discipline-joint-pledge/"/>
        <s v="https://ainowinstitute.org/wp-content/uploads/2023/04/AI_Now_2019_Report.pdf"/>
        <s v="https://www.cifar.ca/ai/pan-canadian-artificial-intelligence-strategy"/>
        <s v="https://www.adp.com/-/media/adp/redesign2018/pdf/data-privacy/ai-ethics-statement.pdf?rev=f155df771fea4850b310f17ca407f3f1&amp;hash=73364D9FB41931A7C1887B976538BE5C"/>
        <s v="https://www.satw.ch/fileadmin/user_upload/documents/02_Themen/08_Kuenstliche-Intelligenz/SATW-Swiss_AI_Strategy.pdf"/>
        <s v="https://citiesfordigitalrights.org/assets/Declaration_Cities_for_Digital_Rights.pdf"/>
        <s v="https://www.sage.com/investors/-/media/files/company/documents/pdf/business%20builders/latest%20news/business%20builders%20ethics%20of%20code.pdf"/>
        <s v="http://cerna-ethics-allistene.org/digitalAssets/38/38704_Avis_robotique_livret.pdf"/>
        <s v="https://www.op.fi/documents/20556/63695/Teko%C3%A4lyn+eettiset+periaatteet+EN/870b1f83-37bb-6013-f2b5-976d6d49aa85"/>
        <s v="https://www.lco-cdo.org/wp-content/uploads/2021/12/Comparing-European-and-Canadian-AI-Regulation-Final-November-2021.pdf"/>
        <s v="https://www.ethikrat.org/fileadmin/Publikationen/Stellungnahmen/englisch/opinion-big-data-and-health-summary.pdf"/>
        <s v="https://link.springer.com/article/10.1007/s10115-011-0463-8"/>
        <s v="https://www.cnil.fr/sites/default/files/atoms/files/cameras-intelligentes-augmentees_position_cnil.pdf"/>
        <s v="https://www.cnil.fr/sites/default/files/atoms/files/cnil_rapport_ai_gb_web.pdf"/>
        <s v="https://www.cnil.fr/en/self-assessment-guide-artificial-intelligence-ai-systems"/>
        <s v="https://ec.europa.eu/newsroom/dae/document.cfm?doc_id=60343"/>
        <s v="https://www.congress.gov/bill/116th-congress/house-bill/6216/text"/>
        <s v="https://www.conseil-etat.fr/Media/actualites/documents/2022/11-novembre/etude-ia-nouvelle-version"/>
        <s v="https://www.cnb.avocat.fr/fr/actualites/preconisations-dactions-pour-les-legaltechs-du-domaine-de-la-jurimetrie"/>
        <s v="https://cnnumerique.fr/files/uploads/2022/HumainsMachines/CNNum_Humains_machines_Quelles_interactions_au_travail_2022.pdf"/>
        <s v="https://www3.weforum.org/docs/WEF_Artificial_Intelligence_for_Children_2022.pdf"/>
        <s v="https://www.ki.nrw/wp-content/uploads/2020/03/Whitepaper_Thrustworthy_AI.pdf"/>
        <s v="https://www.defenseurdesdroits.fr/sites/default/files/2023-07/ddd_rapport_algorithmes_2020_EN_20200531.pdf"/>
        <s v="https://www.microsoft.com/en-us/research/uploads/prod/2019/01/Guidelines-for-Human-AI-Interaction-camera-ready.pdf"/>
        <s v="https://search.coe.int/cm/Pages/result_details.aspx?ObjectID=09000016809ed062"/>
        <s v="https://www.ai-ethics-impact.org/resource/blob/1961130/c6db9894ee73aefa489d6249f5ee2b9f/aieig---report---download-hb-data.pdf"/>
        <s v="https://www.brookings.edu/wp-content/uploads/2021/10/Strengthening-International-Cooperation-AI_Oct21.pdf"/>
        <s v="https://www.aepd.es/sites/default/files/2019-12/ai-ethics-guidelines.pdf"/>
        <s v="https://www.datenschutz-berlin.de/fileadmin/user_upload/pdf/publikationen/berlin-group/2018/2018-IWGDPT-Working_Paper_Artificial_Intelligence.pdf"/>
        <s v="https://rm.coe.int/cdpc-2018-18-draft-programme-thematic-session-artificial-intelligence-/16808e64ab"/>
        <s v="https://kawa-news.com/en/saudi-arabia-unveils-national-ai-strategy/."/>
        <s v="https://iris.who.int/bitstream/handle/10665/341996/9789240029200-eng.pdf?sequence=1"/>
        <s v="https://hai.stanford.edu/sites/default/files/2020-07/HAI_WhitePaper_v4B.pdf"/>
        <s v="https://intelligence.org/files/EthicsofAI.pdf"/>
        <s v="https://rm.coe.int/e-relevance-of-culture-in-the-age-of-ai-expert-seminar-on-culture-crea/168091e688"/>
        <s v="https://search.coe.int/cm/Pages/result_details.aspx?ObjectId=0900001680a2cf96"/>
        <s v="https://edoc.coe.int/en/module/ec_addformat/download?cle=b430bedaf544d495473ae9767afc7111&amp;k=c3e8ae10658de1d4a47cbcf479c3c201"/>
        <s v="https://rm.coe.int/guidelines-to-respect-protect-and-fulfil-the-rights-of-the-child-in-th/16808d881a"/>
        <s v="https://search.coe.int/cm/Pages/result_details.aspx?ObjectID=0900001680790e14"/>
        <s v="https://rm.coe.int/1680750d68"/>
        <s v="https://datasociety.net/wp-content/uploads/2018/10/DataSociety_Governing_Artificial_Intelligence_Upholding_Human_Rights.pdf"/>
        <s v="https://assets.publishing.service.gov.uk/media/60142096d3bf7f70ba377b20/Review_into_bias_in_algorithmic_decision-making.pdf"/>
        <s v="https://ico.org.uk/media/for-organisations/documents/2013559/big-data-ai-ml-and-data-protection.pdf"/>
        <s v="https://rm.coe.int/16806ebe7a"/>
        <s v="http://www.europarl.europa.eu/RegData/etudes/STUD/2019/624262/EPRS_STU(2019)624262_EN.pdf"/>
        <s v="https://www.venice.coe.int/webforms/documents/?pdf=CDL-AD(2019)016-e"/>
        <s v="https://rm.coe.int/information-disorder-toward-an-interdisciplinary-framework-for-researc/168076277c"/>
        <s v="https://aclanthology.org/W17-1604.pdf"/>
        <s v="https://www.orange-business.com/en/blogs/ethics-vital-part-responsible-ai-deployment"/>
        <s v="https://assets.kpmg.com/content/dam/kpmg/au/pdf/2021/trust-in-ai-multiple-countries.pdf"/>
        <s v="https://www.digitalaustria.gv.at/dam/jcr:9b934433-f8e7-452f-bc86-cea60b214839/BMF%20Nationaler%20Fahrplan%202023-final-28112023-barrierefrei_EN_Korr.pdf"/>
        <s v="https://www3.nd.edu/~dhoward1/a-code-of-ethics-for-the-human-robot-interaction-profession-riek-howard.pdf"/>
        <s v="https://publications.jrc.ec.europa.eu/repository/bitstream/JRC122684/ai_watch_report_national_ai_strategies.pdf"/>
        <s v="https://rm.coe.int/publication-content-prioritisation-report/1680a07a57"/>
        <s v="https://pace.coe.int/en/files/21694/html"/>
        <s v="https://ec.europa.eu/futurium/en/system/files/ged/responsible_ai_consultation_-_public_recommendations_v1.0.pdf"/>
        <s v="http://assembly.coe.int/nw/xml/XRef/Xref-XML2HTML-EN.asp?fileid=28598&amp;lang=en"/>
        <s v="https://pace.coe.int/files/28722/pdf"/>
        <s v="https://pace.coe.int/files/28738/pdf"/>
        <s v="https://www.oecd.org/health/trustworthy-artificial-intelligence-in-health.pdf"/>
        <s v="https://www.accessnow.org/wp-content/uploads/2020/12/Europes-approach-to-AI-strategy-is-evolving.pdf"/>
        <s v="http://ii.tudelft.nl/bnvki/wp-content/uploads/2018/09/Dutch-AI-Manifesto.pdf"/>
        <s v="https://www.gov.uk/government/publications/code-of-conduct-for-data-driven-health-and-care-technology/initial-code-of-conduct-for-data-driven-health-and-care-technology"/>
        <s v="https://www.europarl.europa.eu/RegData/etudes/BRIE/2021/662936/IPOL_BRI(2021)662936_EN.pdf"/>
        <s v="https://www.venice.coe.int/webforms/documents/?pdf=CDL-AD(2020)037-e"/>
        <s v="https://www.acm.org/binaries/content/assets/public-policy/2017_usacm_statement_computingandnetworksecurity.pdf"/>
        <s v="https://ai.google/static/documents/responsible-development-of-ai.pdf"/>
        <s v="https://data.govt.nz/assets/data-ethics/algorithm/Trustworthy-AI-in-Aotearoa-March-2020.pdf"/>
        <s v="https://community.intel.com/legacyfs/online/files/Intels-AI-Privacy-Policy-White-Paper-2018.pdf"/>
        <s v="https://www.europarl.europa.eu/RegData/etudes/BRIE/2022/729376/EPRS_BRI(2022)729376_EN.pdf"/>
        <s v="http://www.consilium.europa.eu/media/21620/19-euco-final-conclusions-en.pdf"/>
        <s v="https://mycloud.coe.int/s/FFFMLg884J6W3na"/>
        <s v="https://www.consilium.europa.eu/media/37363/gender-equality_text-adopted.pdf"/>
        <s v="https://www.consilium.europa.eu/media/46496/st11481-en20.pdf"/>
        <s v="https://freedomonlinecoalition.com/wp-content/uploads/2021/06/FOC-Joint-Statement-on-Artificial-Intelligence-and-Human-Rights.pdf"/>
        <s v="https://www.courdecassation.fr/files/files/Publications/Divers/Rapport%20open%20data/Rapport_La_Diffusion_des_donn%C3%A9es_d%C3%A9cisionnelles_et_la_jurisprudence.pdf"/>
        <s v="https://criticalengineering.org/en"/>
        <s v="https://www.ajcact.org"/>
        <s v="https://www.sap.com/documents/2018/09/940c6047-1c7d-0010-87a3-c30de2ffd8ff.html"/>
        <s v="https://publications.jrc.ec.europa.eu/repository/bitstream/JRC125343/what-future-for-european-robotics.pdf"/>
        <s v="https://rm.coe.int/algorithms-and-human-rights-en-rev/16807956b5"/>
        <s v="https://blogs.blackberry.com/en/2019/09/the-ai-manifesto"/>
        <s v="https://ec.europa.eu/newsroom/dae/document.cfm?doc_id=68342"/>
        <s v="https://dataforgood.fr/projects/sermenthippocrate/"/>
        <s v="https://pages.dataiku.com/white-paper-responsible-ai-myths?utm_id=14648494480--127992688035--545776075822--ethical%20ai&amp;utm_source=emea-adwords&amp;utm_medium=paid-search&amp;utm_campaign=CONTENT%20Responsible%20AI%20Myths%20vs%20Reality&amp;gclid=CjwKCAiA7IGcBhA8Eiw"/>
        <s v="https://www.deepmind.com/about/ethics-and-society, https://www.deepmind.com/safety-and-ethics"/>
        <s v="https://www.publicfirst.co.uk/wp-content/uploads/2019/05/A-way-forward-for-the-D9-in-the-age-of-AI-v4.pdf"/>
        <s v="https://www.oii.ox.ac.uk/news-events/reports/harmonising-artificial-intelligence/"/>
        <s v="https://www.gov.uk/government/uploads/system/uploads/attachment_data/file/709519/2018-05_PSD_Debt_and_Fraud_Draft_Information_Sharing_Code_of_Practice.pdf"/>
        <s v="https://digital-strategy.ec.europa.eu/en/library/coordinated-plan-artificial-intelligence-2021-review"/>
        <s v="https://www.gov.uk/government/news/new-national-innovation-centre-to-put-uk-at-forefront-of-big-data"/>
        <s v="https://policysearch.ama-assn.org/policyfinder/detail/augmented%20intelligence?uri=%2FAMADoc%2FHOD.xml-H-480.940.xml"/>
        <s v="https://www.europarl.europa.eu/doceo/document/TA-8-2019-0081_EN.html"/>
        <s v="https://www.europarl.europa.eu/RegData/etudes/STUD/2022/703345/IPOL_STU(2022)703345_EN.pdf"/>
        <s v="https://www.fhi.ox.ac.uk/wp-content/uploads/GovAI-Agenda.pdf"/>
        <s v="https://www.gov.uk/government/publications/artificial-intelligence-sector-deal"/>
        <s v="https://www.bmi.bund.de/SharedDocs/downloads/EN/themen/it-digital-policy/recommendations-data-ethics-commission.pdf;jsessionid=F3332ECDBF9E5FFDB93910C64986F0D9.2_cid295?__blob=publicationFile&amp;v=4"/>
        <s v="https://www.pna.gov.ph/articles/1075265."/>
        <s v="https://www.ewi-vlaanderen.be/sites/default/files/quaternota_aan_de_vlaamse_regering_-_vlaams_beleidsplan_artificiele_intelligentie.pdf"/>
        <s v="https://malta.ai/wp-content/uploads/2019/08/Malta_Towards_Ethical_and_Trustworthy_AI.pdf"/>
        <s v="http://harmonious-ai.org/"/>
        <s v="http://www.informatizacia.sk/narodna-koncepcia-informatizacie-verejnej-spravy--2016-/22662c"/>
        <s v="http://www.informatizacia.sk/strategicke-priority-erf/24190c"/>
        <s v="http://www.europarl.europa.eu/doceo/document/TA-8-2019-0081_EN.pdf"/>
        <s v="https://standards.ieee.org/wp-content/uploads/import/documents/other/ead_v2.pdf"/>
        <s v="https://www.oecd-ilibrary.org/docserver/840a2d9f-en.pdf?expires=1700910639&amp;id=id&amp;accname=guest&amp;checksum=B51C7549ABDB00F26FD7F4D8546E78D4"/>
        <s v="https://digitalprinciples.org/"/>
        <s v="https://deon.drivendata.org/"/>
        <s v="https://www.europarl.europa.eu/doceo/document/A-9-2020-0176_EN.pdf"/>
        <s v="https://enterprise.gov.ie/en/publications/national-ai-strategy.html"/>
        <s v="https://github.com/Holberton-Turing/oath/blob/master/The_Holberthon-Turing_Oath.md"/>
        <s v="https://data.govt.nz/assets/data-ethics/algorithm/Algorithm-Charter-2020_Final-English-1.pdf"/>
        <s v="https://arxiv.org/ftp/arxiv/papers/1906/1906.11668.pdf"/>
        <s v="https://www.nature.com/articles/s42256-019-0088-2"/>
        <s v="https://www.ethikbeirat-hrtech.de/wp-content/uploads/2019/09/Ethikbeirat_und_Richtlinien_Konsultationsfassung_final.pdf"/>
        <s v="https://www.telekom.com/en/company/digital-responsibility/details/artificial-intelligence-ai-guideline-524366"/>
        <s v="https://op.europa.eu/fr/publication-detail/-/publication/34251428-dc12-11ec-a534-01aa75ed71a1"/>
        <s v="https://nvlpubs.nist.gov/nistpubs/SpecialPublications/NIST.SP.1270-draft.pdf"/>
        <s v="https://op.europa.eu/en/publication-detail/-/publication/6ef4df8b-4cea-11e8-be1d-01aa75ed71a1/language-en"/>
        <s v="https://commission.europa.eu/system/files/2021-12/1_1_179442_ann_rep_en_0.pdf new url https://ec.europa.eu/commission/presscorner/detail/en/ip_21_6699"/>
        <s v="https://history.siia.net/Portals/0/pdf/Policy/Ethical%20Principles%20for%20Artificial%20Intelligence%20and%20Data%20Analytics%20SIIA%20Issue%20Brief.pdf?ver=2017-11-06-160346-990"/>
        <s v="https://publications.jrc.ec.europa.eu/repository/handle/JRC113826"/>
        <s v="https://www.pwc.com/gx/en/issues/data-and-analytics/artificial-intelligence/what-is-responsible-ai/pwc-responsible-ai-maturing-from-theory-to-practice.pdf"/>
        <s v="https://edps.europa.eu/node/4907"/>
        <s v="https://www.esma.europa.eu/sites/default/files/library/jc-2018-04_joint_committee_final_report_on_big_data.pdf"/>
        <s v="https://digital-strategy.ec.europa.eu/en/news/code-practice-disinformation"/>
        <s v="https://cis-india.org/internet-governance/files/data-for-the-benefit-of-people"/>
        <s v="https://education.ec.europa.eu/focus-topics/digital-education/action-plan"/>
        <s v="https://www.ai4belgium.be/wp-content/uploads/2019/04/report_en.pdf"/>
        <s v="https://ec.europa.eu/jrc/communities/en/community/digitranscope/document/eu-declaration-cooperation-artificial-intelligence#:~:text=Declaration%20signed%20at%20Digital%20Day%20on%2010th%20April%202018.&amp;text=This%20Declaration%20builds%20on%20the,of%20a%20"/>
        <s v="https://op.europa.eu/o/opportal-service/download-handler?identifier=651a6438-7357-11ec-9136-01aa75ed71a1&amp;format=pdf&amp;language=en&amp;productionSystem=cellar&amp;part="/>
        <s v="https://eur-lex.europa.eu/legal-content/EN/TXT/HTML/?uri=CELEX:52020DC0591&amp;from=EN"/>
        <s v="https://ec.europa.eu/docsroom/documents/43845"/>
        <s v="https://digital-strategy.ec.europa.eu/en/library/proposal-regulation-european-approach-artificial-intelligence"/>
        <s v="https://unesdoc.unesco.org/ark:/48223/pf0000253952"/>
        <s v="https://papers.ssrn.com/sol3/papers.cfm?abstract_id=3198732"/>
        <s v="http://www.europarl.europa.eu/sides/getDoc.do?pubRef=-//EP//TEXT+TA+P8-TA-2017-0051+0+DOC+XML+V0//EN"/>
        <s v="https://www.romecall.org/wp-content/uploads/2022/03/RomeCall_Paper_web.pdf"/>
        <s v="https://7da2ca8d-b80d-4593-a0ab-5272e2b9c6c5.filesusr.com/ugd/7be025_e726c582191c49d2b8b6517a590151f6.pdf"/>
        <s v="https://english.wrr.nl/binaries/wrr-eng/documenten/policy-briefs/2017/01/31/big-data-and-security-policies-serving-security-protecting-freedom/WRR_PB6_BigDataAndSecurityPolicies.pdf"/>
        <s v="https://nrc.canada.ca/en/corporate/values-ethics/research-involving-human-participants/advisory-statement-human-ethics-artificial-intelligence-big-data-research-2017"/>
        <s v="https://www.ibm.com/watson/assets/duo/pdf/everydayethics.pdf"/>
        <s v="https://publications.jrc.ec.europa.eu/repository/bitstream/JRC127944/JRC127944_01.pdf"/>
        <s v="https://op.europa.eu/en/publication-detail/-/publication/4fb8e194-f634-11ea-991b-01aa75ed71a1"/>
        <s v="https://ai.google/static/documents/ai-principles-2022-progress-update.pdf"/>
        <s v="https://civilrights.org/2014/02/27/civil-rights-principles-era-big-data/"/>
        <s v="https://global-uploads.webflow.com/5f57d40eb1c2ef22d8a8ca7e/62349d0fc097275eec2a930c_IFOW-AIA%20Policy%20Paper%20(v8-18.03.22).pdf"/>
        <s v="https://www.rathenau.nl/sites/default/files/2018-02/Human%20Rights%20in%20the%20Robot%20Age-Rathenau%20Instituut-2017.pdf"/>
        <s v="https://fra.europa.eu/sites/default/files/fra_uploads/fra-2022-bias-in-algorithms_en.pdf"/>
        <s v="https://www.europarl.europa.eu/RegData/etudes/STUD/2022/729533/EPRS_STU(2022)729533_EN.pdf"/>
        <s v="https://ec.europa.eu/newsroom/dae/document.cfm?doc_id=63199"/>
        <s v="https://publications.jrc.ec.europa.eu/repository/bitstream/JRC129614/JRC129614_01.pdf"/>
        <s v="https://www.adobe.com/about-adobe/aiethics.html"/>
        <s v="https://www8.cao.go.jp/cstp/tyousakai/ai/summary/aisociety_en.pdf"/>
        <s v="https://unesdoc.unesco.org/ark:/48223/pf0000380861"/>
        <s v="https://www.dst.defence.gov.au/sites/default/files/publications/documents/A%20Method%20for%20Ethical%20AI%20in%20Defence.pdf"/>
        <s v="https://edps.europa.eu/sites/edp/files/publication/18-03-19_online_manipulation_en.pdf"/>
        <s v="https://charteia.arborus.org/en/"/>
        <s v="https://www.eesc.europa.eu/en/our-work/opinions-information-reports/opinions/investing-smart-innovative-and-sustainable-industry-referral"/>
        <s v="https://webapi2016.eesc.europa.eu/v1/documents/EESC-2017-00654-00-00-AC-TRA-en.docx/content"/>
        <s v="https://openai.com/charter/"/>
        <s v="https://acpr.banque-france.fr/sites/default/files/medias/documents/20200612_ai_governance_finance.pdf"/>
        <s v="https://www.europeanlawinstitute.eu/fileadmin/user_upload/p_eli/Publications/ELI_Model_Rules_on_Impact_Assessment_of_ADMSs_Used_by_Public_Administration.pdf"/>
        <s v="https://www.coe.int/en/web/commissioner/-/safeguarding-human-rights-in-the-era-of-artificial-intelligence?inheritRedirect=true"/>
        <s v="https://www.un.org/en/pdfs/DigitalCooperation-report-for%20web.pdf"/>
        <s v="https://www.tisi.org/13747"/>
        <s v="https://publications.iadb.org/publications/english/document/Responsible-use-of-AI-for-public-policy-Data-science-toolkit.pdf"/>
        <s v="https://www.canada.ca/en/government/system/digital-government/modern-emerging-technologies/responsible-use-ai.html#toc1"/>
        <s v="https://www.europarl.europa.eu/RegData/etudes/STUD/2019/624261/EPRS_STU(2019)624261_EN.pdf"/>
        <s v="https://www.philips.com/a-w/about/news/archive/blogs/innovation-matters/2020/20200121-five-guiding-principles-for-responsible-use-of-ai-in-healthcare-and-healthy-living.html"/>
        <s v="https://assets.publishing.service.gov.uk/government/uploads/system/uploads/attachment_data/file/781745/Facial_Recognition_Briefing_BFEG_February_2019.pdf"/>
        <s v="https://www.meti.go.jp/shingikai/mono_info_service/ai_shakai_jisso/pdf/20220128_2.pdf"/>
        <s v="https://www.vzbv.de/sites/default/files/downloads/2019/07/19/19-06-25_vzbv_positions_adm_control_summary_en.pdf"/>
        <s v="https://www.europarl.europa.eu/doceo/document/TA-9-2021-0009_EN.pdf"/>
        <s v="https://www.ideo.com/blog/ai-needs-an-ethical-compass-this-tool-can-help"/>
        <s v="https://opengovasia.com/plans-for-cloud-first-strategy-and-national-ai-framework-revealed-at-29th-msc-malaysia-implementation-council-meeting/."/>
        <s v="https://unesdoc.unesco.org/ark:/48223/pf0000265211"/>
        <s v="https://op.europa.eu/en/publication-detail/-/publication/a72ac1a9-98e2-11eb-b85c-01aa75ed71a1/language-en"/>
        <s v="https://www.europarl.europa.eu/doceo/document/AIDA-PR-680928_EN.pdf"/>
        <s v="https://5f2cd2ba-741c-4b29-ae47-00a8291b1d3c.filesusr.com/ugd/d1cf5c_6af8feb771194453817d62c92cee2a21.pdf"/>
        <s v="https://www.europarl.europa.eu/RegData/etudes/BRIE/2021/698792/EPRS_BRI(2021)698792_EN.pdf"/>
        <s v="https://ainowinstitute.org/wp-content/uploads/2023/04/AI-Now-2023-Landscape-Report-FINAL.pdf"/>
        <s v="https://cdt.org/wp-content/uploads/2015/04/Digital-Decisions-Project-Description.pdf"/>
        <s v="https://www.europeanlawinstitute.eu/fileadmin/user_upload/p_eli/Publications/ELI_Innovation_Paper_on_Guiding_Principles_for_ADM_in_the_EU.pdf"/>
        <s v="https://www.europarl.europa.eu/RegData/etudes/STUD/2021/656311/EPRS_STU(2021)656311_EN.pdf"/>
        <s v="http://www.europarl.europa.eu/RegData/etudes/STUD/2021/662911/IPOL_STU(2021)662911_EN.pdf"/>
        <s v="https://op.europa.eu/fr/publication-detail/-/publication/c721f802-9ce7-11e7-b92d-01aa75ed71a1/language-en"/>
        <s v="https://www.europarl.europa.eu/doceo/document/A-9-2020-0178_EN.pdf"/>
        <s v="https://www.pdpc.gov.sg/Help-and-Resources/2020/01/Model-AI-Governance-Framework"/>
        <s v="https://publications.jrc.ec.europa.eu/repository/bitstream/JRC122014/jrc122014_ai_watch_assessing_technology_readiness_levels_for_artificial_intelligence-1.pdf"/>
        <s v="https://www.gov.uk/government/publications/establishing-a-pro-innovation-approach-to-regulating-ai/establishing-a-pro-innovation-approach-to-regulating-ai-policy-statement"/>
        <s v="https://rm.coe.int/unboxing-artificial-intelligence-10-steps-to-protect-human-rights-reco/1680946e64"/>
        <s v="https://www.cssf.lu/en/Document/white-paper-artificial-intelligence-opportunities-risks-and-recommendations-for-the-financial-sector/"/>
        <s v="https://search.coe.int/cm/pages/result_details.aspx?ObjectId=090000168092dd4b"/>
        <s v="https://www.europarl.europa.eu/doceo/document/TA-9-2021-0405_EN.html"/>
        <s v="http://www.europarl.europa.eu/sides/getDoc.do?pubRef=-//EP//TEXT+TA+P8-TA-2017-0076+0+DOC+XML+V0//EN"/>
        <s v="https://pace.coe.int/files/28742/pdf"/>
        <s v="https://yjolt.org/sites/default/files/23_yale_j.l._tech._special_issue_1.pdf"/>
        <s v="https://www.pdpc.gov.sg/-/media/files/pdpc/pdf-files/resource-for-organisation/ai/sgmodelaigovframework2.ashx"/>
        <s v="https://rm.coe.int/responsability-and-ai-en/168097d9c5"/>
        <s v="https://www.europarl.europa.eu/RegData/etudes/STUD/2018/626074/IPOL_STU(2018)626074_EN.pdf"/>
        <s v="https://www.nytimes.com/2019/03/01/business/ethical-ai-recommendations.html"/>
        <s v="https://www.enisa.europa.eu/publications/artificial-intelligence-cybersecurity-challenges/@@download/fullReport"/>
        <s v="https://unesdoc.unesco.org/ark:/48223/pf0000375322"/>
        <s v="https://www.europol.europa.eu/publications-documents/malicious-uses-and-abuses-of-artificial-intelligence direct download link https://www.europol.europa.eu/cms/sites/default/files/documents/malicious_uses_and_abuses_of_artificial_intelligence_europol.pdf"/>
        <s v="https://testing-ai.gi.de/english"/>
        <s v="https://www.oecd-ilibrary.org/deliver/2448f04b-en.pdf?itemId=%2Fcontent%2Fpaper%2F2448f04b-en&amp;mimeType=pdf"/>
        <s v="https://english.ey.gov.tw/News3/9E5540D592A5FECD/1dec0902-e02a-49c6-870d-e77208481667"/>
        <s v="https://www.fairtrials.org/automating-injustice"/>
        <s v="https://iapp.org/media/pdf/resource_center/building_ethics_into_privacy_frameworks_white_paper.pdf"/>
        <s v="https://www.fast.ai/2018/09/24/ai-ethics-resources/"/>
        <s v="http://www.bundeskartellamt.de/SharedDocs/Publikation/DE/Schriftenreihe_Digitales/Schriftenreihe_Digitales_1.pdf?__blob=publicationFile&amp;v=3"/>
        <s v="https://partnershiponai.org/about/#:~:text=Our%20Tenets&amp;text=We%20will%20educate%20and%20listen,work%2C%20and%20address%20their%20questions.&amp;text=We%20are%20committed%20to%20open,and%20legal%20implications%20of%20AI."/>
        <s v="https://www.bmwi.de/Redaktion/DE/Downloads/E/eckpunktepapier-ki.pdf?__blob=publicationFile&amp;v=10"/>
        <s v="https://www.ki-strategie-deutschland.de/home.html?file=files/downloads/Nationale_KI-Strategie_engl.pdf"/>
        <s v="https://www.abida.de/en"/>
        <s v="https://futureoflife.org/open-letter/ai-principles/"/>
        <s v="https://www.adalovelaceinstitute.org/wp-content/uploads/2022/03/Expert-opinion-Lilian-Edwards-Regulating-AI-in-Europe.pdf"/>
        <s v="https://ec.europa.eu/newsroom/dae/document.cfm?doc_id=56018"/>
        <s v="https://www.aiforhumanity.fr/en/"/>
        <s v="https://ico.org.uk/media2/ga4lfb5d/guidance-on-ai-and-data-protection-all-2-0-38.pdf"/>
        <s v="https://publications.jrc.ec.europa.eu/repository/bitstream/JRC125952/ai_watch_task_9_standardization_activity_mapping_v5.1.3.pdf"/>
        <s v="https://www.intelligence.gov/principles-of-artificial-intelligence-ethics-for-the-intelligence-community"/>
        <s v="https://rm.coe.int/final-declaration-of-the-french-presidency-conference-of-mj-coe-15-oct/168098383f"/>
        <s v="https://joelgomez.abogado.digital/2021-law-technology-and-innovation-v-ii/"/>
        <s v="https://rm.coe.int/prems-107320-gbr-2018-compli-cahai-couv-texte-a4-bat-web/1680a0c17a"/>
        <s v="https://www.cas.go.jp/jp/seisaku/jinkouchinou/pdf/humancentricai.pdf"/>
        <s v="https://global-uploads.webflow.com/5f57d40eb1c2ef22d8a8ca7e/62459a045de6afc1d9973bf4_The%20New%20Frontier%20-%20Artificial%20Intelligence%20at%20Work%5B4%5D.pdf"/>
        <s v="https://commission.europa.eu/system/files/2020-02/commission-white-paper-artificial-intelligence-feb2020_en.pdf"/>
        <s v="https://search.coe.int/cm/Pages/result_details.aspx?ObjectId=0900001680a1cb98"/>
        <s v="https://fra.europa.eu/sites/default/files/fra_uploads/fra-2019-data-quality-and-ai_en.pdf"/>
        <s v="https://www.tandfonline.com/doi/epdf/10.1080/09540091.2016.1271400?needAccess=true&amp;role=button"/>
        <s v="https://news.microsoft.com/cloudforgood/_media/downloads/the-future-computed-english.pdf"/>
        <s v="https://www.oecd-ilibrary.org/deliver/c2c1d276-en.pdf?itemId=%2Fcontent%2Fpaper%2Fc2c1d276-en&amp;mimeType=pdf"/>
        <s v="http://globalpolicy.ieee.org/wp-content/uploads/2019/06/IEEE19002.pdf"/>
        <s v="https://www.mofa.go.jp/files/000486596.pdf"/>
        <s v="http://www3.weforum.org/docs/WEF_40065_White_Paper_How_to_Prevent_Discriminatory_Outcomes_in_Machine_Learning.pdf"/>
        <s v="https://gi.de/ethicalguidelines"/>
        <s v="https://germanycoe.de/storage/documents/Conference_Conclusions.pdf"/>
        <s v="https://globalnetworkinitiative.org/wp-content/uploads/2018/04/GNI-Principles-on-Freedom-of-Expression-and-Privacy.pdf"/>
        <s v="https://declarationmontreal-iaresponsable.com/wp-content/uploads/2023/04/UdeM_Decl-IA-Resp_LA-Declaration-ENG_WEB_09-07-19.pdf"/>
        <s v="http://globalpolicy.ai"/>
        <s v="https://www.blog.google/technology/ai/external-advisory-council-help-advance-responsible-development-ai/"/>
        <s v="https://www.kas.de/documents/252038/7995358/Analysis+of+current+global+AI+developments+with+a+focus+on+Europe.pdf/da00b869-cc82-03e4-a45d-b74357fdd9c1?version=1.0&amp;t=1606820629157"/>
        <s v="https://www.telefonica.com/wp-content/uploads/sites/7/2021/11/principios-ai-eng-2018.pdf"/>
        <s v="https://f98cc689-5814-47ec-86b3-db505a7c3978.filesusr.com/ugd/7df26f_27a618cb80a648c38be427194affa2f3.pdf"/>
        <s v="https://www.regjeringen.no/contentassets/1febbbb2c4fd4b7d92c67ddd353b6ae8/en-gb/pdfs/ki-strategi_en.pdf"/>
        <s v="https://www.heise.de/downloads/18/2/7/0/8/1/7/0/safety-first-for-automated-driving.pdf"/>
        <s v="https://pair.withgoogle.com/"/>
        <s v="https://tsapps.nist.gov/publication/get_pdf.cfm?pub_id=934464"/>
        <s v="https://www.gov.uk/government/collections/a-guide-to-using-artificial-intelligence-in-the-public-sector"/>
        <s v="https://www.gov.il/BlobFolder/generalpage/strategic_plan_19/en/STRATIGY-%20ICT%20AUTHORITY%20-%20ENGLISH.pdf."/>
        <s v="https://www.arm.com/blogs/blueprint/wp-content/uploads/2019/11/Arm-AI-Trust-Manifesto-2019.pdf"/>
        <s v="https://enterprise.gov.ie/en/Publications/Publication-files/National-AI-Strategy.pdf"/>
        <s v="https://k-erc.eu/wp-content/uploads/2017/12/Master-Plan-for-the-intelligent-information-society.pdf"/>
        <s v="http://kurklt.lt/wp-content/uploads/2018/09/StrategyIndesignpdf.pdf"/>
        <s v="https://commission.europa.eu/document/download/ff57e883-cbd7-41dc-81f4-40dc025257e7_en?filename=2018-european-semester-national-reform-programme-lithuania-en.pdf"/>
        <s v="https://www.northsweden.eu/media/2789/2018ai_webb.pdf"/>
        <s v="https://www.government.se/491fa7/contentassets/fe2ba005fb49433587574c513a837fac/national-approach-to-artificial-intelligence.pdf"/>
        <s v="https://www.gov.uk/government/uploads/system/uploads/attachment_data/file/709514/2018-05-16_Research_Code_of_Practice_and_Accreditation_Criteria.pdf"/>
        <s v="https://www.gov.uk/government/uploads/system/uploads/attachment_data/file/709515/2018-05-16_Statistics_Statement-of-Principles_and_CoP_Data_Systems.pdf"/>
        <s v="https://www.abajournal.com/legalrebels/article/a_principled_artificial_intelligence_could_improve_justice"/>
        <s v="https://www.ranzcr.com/college/document-library/ethical-principles-for-ai-in-medicine"/>
        <s v="https://www.umweltdialog.de/de-wAssets/docs/2014-Dokumente-zu-Artikeln/leitfaden_unternehmen.pdf"/>
        <s v="https://assets.publishing.service.gov.uk/government/uploads/system/uploads/attachment_data/file/664563/industrial-strategy-white-paper-web-ready-version.pdf"/>
        <s v="https://www.hdm-stuttgart.de/digitale-ethik/digitalkompetenz/ethische_unternehmensleitlinien;%20https://www.hdm-stuttgart.de/grimm/material/ethische_unternehmensleitlinien/material/UN_Regeln_booklet"/>
        <s v="https://www.gov.uk/government/publications/data-ethics-framework/data-ethics-framework-2020"/>
        <s v="https://arxiv.org/pdf/1802.07228.pdf"/>
        <s v="https://ia-latam.com/etica-ia-latam/"/>
        <s v="https://www.ia2030.mx/principios-ia"/>
        <s v="https://knowledge4policy.ec.europa.eu/sites/default/files/netherlands-ai-strategy-report.pdf"/>
        <s v="https://www.mas.gov.sg/-/media/MAS/News-and-Publications/Monographs-and-Information-Papers/FEAT-Principles-Updated-7-Feb-19.pdf"/>
        <s v="https://www.ibm.com/artificial-intelligence/ethics"/>
        <s v="https://www.fonow.com/view/208592.html"/>
        <s v="https://www.eurocontrol.int/sites/default/files/2020-03/eurocontrol-fly-ai-report-032020.pdf"/>
        <s v="https://www.ibm.com/blogs/think/2017/01/ibm-cognitive-principles/"/>
        <s v="https://www.research.ibm.com/artificial-intelligence/trusted-ai/"/>
        <s v="http://www.iiim.is/ethics-policy/"/>
        <s v="https://cifar.ca/wp-content/uploads/2020/05/buildinganaiworld_eng.pdf"/>
        <s v="https://ind.ie/ethical-design/"/>
        <s v="https://www2.gov.scot/About/Review/biometric-data new url https://www.gov.scot/publications/report-independent-advisory-group-use-biometric-data-scotland/"/>
        <s v="https://indiaai.gov.in/research-reports/responsible-ai-part-1-principles-for-responsible-ai"/>
        <s v="https://issuu.com/indiansocietyai/docs/2020_handbook_on_artificial_intelligence_and_inter"/>
        <s v="https://rm.coe.int/iris-special-2-2020en-artificial-intelligence-in-the-audiovisual-secto/1680a11e0b"/>
        <s v="https://ico.org.uk/media/2617219/guidance-on-the-ai-auditing-framework-draft-for-consultation.pdf"/>
        <s v="https://www.digicatapult.org.uk/wp-content/uploads/2023/06/DC_AI_Ethics_Framework-2021.pdf"/>
        <s v="https://ico.org.uk/about-the-ico/news-and-events/news-and-blogs/2017/03/blog-big-data-and-the-insurance-sector/"/>
        <s v="https://ico.org.uk/media/for-organisations/documents/1589/promotion_of_a_political_party.pdf"/>
        <s v="https://www.cigionline.org/documents/1454/Paper%20No.178.pdf"/>
        <s v="https://datapractices.org/manifesto/"/>
        <s v="http://www.giodo.gov.pl/pl/1520297/10068"/>
        <s v="https://www.soumu.go.jp/main_content/000507517.pdf"/>
        <s v="https://www.soumu.go.jp/main_content/000581310.pdf"/>
        <s v="https://www.europarl.europa.eu/RegData/etudes/STUD/2021/654212/EPRS_STU(2021)654212_EN.pdf"/>
        <s v="https://www.torontodeclaration.org/declaration-text/english/"/>
        <s v="https://ethicalos.org/wp-content/uploads/2018/08/Ethical-OS-Toolkit-2.pdf"/>
        <s v="https://ai.google/static/documents/perspectives-on-issues-in-ai-governance.pdf"/>
        <s v="https://big-data-ljubljana-2017.weebly.com/uploads/1/1/9/1/1191873/big-data-2017-print.pdf"/>
        <s v="https://op.europa.eu/o/opportal-service/download-handler?identifier=6cc0f1b6-59dd-11ea-8b81-01aa75ed71a1&amp;format=pdf&amp;language=en&amp;productionSystem=cellar&amp;part="/>
        <s v="https://ethicsinaction.ieee.org/#set-the-standard"/>
        <s v="https://www3.weforum.org/docs/WEF_Ethics_by_Design_2020.pdf"/>
        <s v="https://julkaisut.valtioneuvosto.fi/bitstream/handle/10024/160980/TEMjul_21_2018_Work_in_the_age.pdf"/>
        <s v="https://www.aomrc.org.uk/wp-content/uploads/2019/01/Artificial_intelligence_in_healthcare_0119.pdf"/>
        <s v="https://arxiv.org/abs/1809.03400"/>
        <s v="https://publications.iadb.org/publications/english/document/Ethical-Assessment-of-AI-for-Actors-within-the-Entrepreneurial-Ecosystem-Application-Guide.pdf"/>
        <s v="https://www.buckingham.ac.uk/wp-content/uploads/2021/03/The-Institute-for-Ethical-AI-in-Education-The-Ethical-Framework-for-AI-in-Education.pdf"/>
        <s v="https://publications.iadb.org/publications/english/document/Responsible-use-of-AI-for-public-policy-Project-formulation-manual.pdf"/>
        <s v="https://www.hrc.co.nz/files/5715/2575/3415/Privacy_Data_Technology_-_Human_Rights_Challenges_in_the_Digital_Age_FINAL.pdf"/>
        <s v="https://dighum.ec.tuwien.ac.at/dighum-manifesto/"/>
        <s v="https://www.acm.org/binaries/content/assets/public-policy/2017_usacm_statement_algorithms.pdf"/>
        <s v="https://www.ipsos.com/sites/default/files/ct/news/documents/2022-01/Global-opinions-and-expectations-about-AI-2022.pdf"/>
        <s v="https://www.iso.org/committee/6794475.html"/>
        <s v="https://assets.innovazione.gov.it/1637777513-strategic-program-aiweb.pdf"/>
        <s v="https://wedocs.unep.org/bitstream/handle/20.500.11822/38482/CODES_ActionPlan.pdf"/>
        <s v="https://www8.cao.go.jp/cstp/english/outline_strategy_2022.pdf"/>
        <s v="http://ai-elsi.org/wp-content/uploads/2017/05/JSAI-Ethical-Guidelines-1.pdf"/>
        <s v="https://www.jaist.ac.jp/~bao/AI/OtherAIstrategies/MissionVillani_Report_ENG-VF.pdf"/>
        <s v="https://kenyanwallstreet.com/kenya-govt-unveils-11-member-blockchain-ai-taskforce-headed-by-bitange-ndemo/"/>
        <s v="https://www.zukunft-der-verwaltungsgerichtsbarkeit.de/media/pages/ki-und-verwaltung/709898829-1580462498/9-theses-en.pdf"/>
        <s v="https://www.datenschutz.rlp.de/fileadmin/lfdi/Konferenzdokumente/Datenschutz/DSK/Entschliessungen/097_Hambacher_Erklaerung.pdf"/>
        <s v="https://www.inf.ufrgs.br/~prestes/Courses/Robotics/beyond%20asimov.pdf"/>
        <s v="https://www.kas.de/documents/252038/4521287/Comparison+of+National+Strategies+to+Promote+Artificial+Intelligence+Part+1.pdf/397fb700-0c6f-88b6-46be-2d50d7942b83?version=1.1&amp;t=1560500570070"/>
        <s v="https://www.kas.de/documents/252038/4521287/Comparison+of+National+Strategies+to+Promote+Artificial+Intelligence+Part+2.pdf/4c6f3a0d-beaa-09f3-1db4-c66467739653?version=1.1&amp;t=1560500520623"/>
        <s v="https://www.europarl.europa.eu/RegData/etudes/STUD/2022/729541/EPRS_STU(2022)729541_EN.pdf"/>
        <s v="https://papers.ssrn.com/sol3/papers.cfm?abstract_id=3899991"/>
        <s v="https://www.laboratoiredelegalite.org/le-pacte-pour-une-intelligence-artificielle-egalitaire-entre-les-femmes-et-les-hommes/"/>
        <s v="https://www.lne.fr/en/service/certification/certification-processes-ai"/>
        <s v="https://op.europa.eu/en/publication-detail/-/publication/13e6a212-6181-11ec-9c6c-01aa75ed71a1/language-en"/>
        <s v="https://op.europa.eu/o/opportal-service/download-handler?identifier=5cb8eee3-e888-11e8-b690-01aa75ed71a1&amp;format=pdf&amp;language=en&amp;productionSystem=cellar&amp;part="/>
        <s v="https://mdia.gov.mt/wp-content/uploads/2020/07/itas-sandbox-consultation-document-v1.0.pdf"/>
        <s v="https://www.scu.edu/ethics-in-technology-practice/ethical-toolkit/"/>
        <s v="http://web.mit.edu/comptfreport/sirc.pdf"/>
        <s v="https://www.mckinsey.com/capabilities/quantumblack/our-insights/the-state-of-ai-in-2022-and-a-half-decade-in-review"/>
        <s v="https://www.gov.uk/government/publications/national-ai-strategy/national-ai-strategy-html-version"/>
        <s v="https://webfoundation.org/docs/2018/06/AI-Gender.pdf"/>
        <s v="https://query.prod.cms.rt.microsoft.com/cms/api/am/binary/RWFKCm"/>
        <s v="http://chinainnovationfunding.eu/dt_testimonials/publication-of-the-new-generation-ai-governance-principles-developing-responsible-ai/ new url https://www.chinadaily.com.cn/a/201906/17/WS5d07486ba3103dbf14328ab7.html"/>
        <s v="http://www.unicri.it/sites/default/files/2020-07/UNICRI-INTERPOL_Report_Towards_Responsible_AI_Innovation_0.pdf"/>
        <s v="https://hai.stanford.edu/news/introducing-stanfords-human-centered-ai-initiative"/>
        <s v="https://hai.stanford.edu/sites/default/files/2022-03/White%20Paper%20-%20Recommendations%20on%20Updating%20the%20National%20AI%20R%26D%20Strategy.pdf"/>
        <s v="https://www.microsoft.com/design/inclusive/"/>
        <s v="https://ai-innovation.id/server/static/ebook/stranas-ka.pdf."/>
        <s v="https://www.interieur.gouv.fr/Actualites/L-actu-du-Ministere/Livre-blanc-de-la-securite-interieure?utm_source=POLITICO.EU&amp;utm_campaign=4a2811137a-EMAIL_CAMPAIGN_2020_12_02_09_59&amp;utm_medium=email&amp;utm_term=0_10959edeb5-4a2811137a-190482161"/>
        <s v="https://portal.mineco.gob.es/RecursosArticulo/mineco/ministerio/participacion_publica/audiencia/ficheros/Charter%20of%20Digital%20Rights.pdf"/>
        <s v="http://mil.ru/conferences/is-intellekt.htm."/>
        <s v="https://thedigital.gov.ua/news/mikhaylo-fedorov-rozvivayuchi-sferu-shtuchnogo-intelektu-mi-zabezpechuemo-konkurentospromozhnist-ukraini-na-mizhnarodnomu-rinku?fbclid=IwAR0HilGr0J-yptpdAO1J6EhmFv50LcsloiwjJba--inpyawI-mnpQToWK68"/>
        <s v="https://www.gov.pl/attachment/a8ea194c-d0ce-404e-a9ca-e007e9fbc93e"/>
        <s v="https://www.gov.pl/web/cyfryzacja/sztuczna-inteligencja-polska-2118"/>
        <s v="https://www.nederlanddigitaal.nl/binaries/nederlanddigitaal-nl/documenten/publicaties/2019/09/30/english-version-of-the-dutch-digitalisation-strategy/Nederlandse_Digitaliseringsstrategie_ENG.pdf"/>
        <s v="https://www.unicef.org/globalinsight/media/2356/file/UNICEF-Global-Insight-policy-guidance-AI-children-2.0-2021.pdf"/>
        <s v="https://julkaisut.valtioneuvosto.fi/bitstream/handle/10024/160980/TEMjul_21_2018_Work_in_the_age.pdf?sequence=1&amp;isAllowed=y"/>
        <s v="https://tem.fi/en/artificial-intelligence-programme"/>
        <s v="https://unesdoc.unesco.org/in/documentViewer.xhtml?v=2.1.196&amp;id=p::usmarcdef_0000372132&amp;file=/in/rest/annotationSVC/DownloadWatermarkedAttachment/attach_import_7b0b5c12-3b53-4b84-8796-b39dc4bceb09%3F_%3D372132eng.pdf&amp;locale=en&amp;multi=true&amp;ark=/ark:/48223/p"/>
        <s v="http://julkaisut.valtioneuvosto.fi/bitstream/handle/10024/160391/TEMrap_47_2017_verkkojulkaisu.pdf"/>
        <s v="https://nvlpubs.nist.gov/nistpubs/ai/NIST.AI.100-1.pdf"/>
        <s v="https://www.mise.gov.it/images/stories/documenti/Strategia-Nazionale-Intelligenza-Artificiale-Bozza-Consultazione.pdf"/>
        <s v="https://www.europarl.europa.eu/thinktank/en/document.html?reference=EPRS_STU(2020)654178"/>
        <s v="https://www.srbija.gov.rs/tekst/en/149169"/>
        <s v="http://www.regeringen.se/49adea/contentassets/5429e024be6847fc907b786ab954228f/digitaliseringsstrategin_slutlig_170518-2.pdf"/>
        <s v="https://vm.fi/en/auroraai-en"/>
        <s v="https://www.europarl.europa.eu/RegData/etudes/BRIE/2019/640163/EPRS_BRI(2019)640163_EN.pdf"/>
        <s v="https://www.newamerica.org/cybersecurity-initiative/digichina/blog/translation-chinese-government-outlines-ai-ambitions-through-2020/"/>
        <s v="https://www.nato.int/cps/en/natohq/official_texts_187617.htm"/>
        <s v="https://www.oecd.org/en/publications/ai-intelligent-machines-smart-policies_f1a650d9-en.html"/>
        <s v="http://www.regeringen.se/4ac6ee/contentassets/56e701d354824bcb9826ea0839ab28f3/sa-starker-vi-den-personliga-integriteten-sou-201752"/>
        <s v="https://z-inspection.org/about/"/>
        <s v="https://www.minciencia.gob.cl/uploads/filer_public/bc/38/bc389daf-4514-4306-867c-760ae7686e2c/documento_politica_ia_digital_.pdf"/>
        <s v="https://rm.coe.int/feasability-study-en-cepej-2020-15/1680a0adf4"/>
        <s v="https://eur-lex.europa.eu/legal-content/EN/TXT/PDF/?uri=CELEX:52018DC0237&amp;from=EN"/>
        <s v="https://montrealethics.ai/wp-content/uploads/2021/09/State-of-AI-Ethics-Report-Volume-5-July-2021.pdf"/>
        <s v="https://montrealethics.ai/wp-content/uploads/2022/01/State-of-AI-Ethics-Report-Volume-6-February-2022.pdf"/>
        <s v="https://blog.mozilla.org/en/mozilla/facebook-and-google-this-is-what-an-effective-ad-archive-api-looks-like/"/>
        <s v="https://nap.nationalacademies.org/read/24886/chapter/7#33"/>
        <s v="https://www.thalesgroup.com/sites/default/files/database/document/2021-11/gov-wp-facial-recognition-2021.pdf"/>
        <s v="https://digital-strategy.ec.europa.eu/en/library/study-supporting-impact-assessment-ai-regulation"/>
        <s v="https://rm.coe.int/cdcj-2018-5e-technical-study-odr/1680913249"/>
        <s v="https://www3.weforum.org/docs/WEF_Regulatory_Tech_for_the_21st_Century_2022.pdf"/>
        <s v="https://www.allistene.fr/files/2019/05/rapportCCNE-CERNA-Version-anglaise.pdf"/>
        <s v="https://algorules.org/en/home/"/>
        <s v="https://www.pwc.com/gx/en/issues/data-and-analytics/artificial-intelligence/what-is-responsible-ai/responsible-ai-practical-guide.pdf"/>
        <s v="https://drive.google.com/file/d/1h_9IiL-EkVHJ82upaXkUqpH-JboNyk1c/view"/>
        <s v="https://www.digitaldubai.ae/docs/default-source/ai-principles-resources/ai-ethics.pdf"/>
        <s v="https://www.aisingapore.org/"/>
        <s v="https://journals.plos.org/ploscompbiol/article/file?id=10.1371/journal.pcbi.1005399&amp;type=printable"/>
        <s v="https://www.cncdh.fr/sites/default/files/2022-05/A%20-%202022%20-%206%20%20-%20EN%20%20Artificial%20intelligence%20and%20fundamental%20rights%2C%20april%202022.pdf"/>
        <s v="https://www.transportation.gov/sites/dot.gov/files/docs/policy-initiatives/automated-vehicles/360956/ensuringamericanleadershipav4.pdf"/>
        <s v="https://uxstudioteam.com/ux-blog/ai-ux/"/>
        <s v="https://www.standards.org.au/getmedia/ede81912-55a2-4d8e-849f-9844993c3b9d/1515-An-Artificial-Intelligence-Standards-Roadmap12-02-2020.pdf.aspx"/>
        <s v="https://rm.coe.int/guidelines-on-artificial-intelligence-and-data-protection/168091f9d8"/>
        <s v="https://algorithmwatch.org/wp-content/uploads/2017/06/AlgorithmWatch_Working-Paper_No_2_Ethics_ADM.pdf"/>
        <s v="https://ai-ethical.com/en/manifesto/"/>
        <s v="https://ai-ethical.com/wp-content/uploads/2022/12/2022-SN-Guide-Methodo-IA-Ethiques-web-version.pdf"/>
        <s v="https://www.oreilly.com/ideas/of-oaths-and-checklists"/>
        <s v="https://www.docdroid.com/kI3bJmo/mesures-publiques-dans-strategies-gouvernementales-ia-obiva-202202-pdf"/>
        <s v="https://www.thalesgroup.com/en/group/journalist/press_release/thales-true-ai-approach-artificial-intelligence-be-unveiled-paris"/>
        <s v="http://www.informatizacia.sk/ext_dok-uppvii_sp_manazment_udajov_vfinal/24196c"/>
        <s v="http://www.senat.fr/rap/r16-464-1/r16-464-11.pdf"/>
        <s v="https://rm.coe.int/discrimination-artificial-intelligence-and-algorithmic-decision-making/1680925d73"/>
        <s v="https://openethics.ai/manifesto/"/>
        <s v="https://d32j3j47emgb6f.cloudfront.net/wp-content/uploads/2021/01/AI_Impact_Assessment_A_Policy_Prototyping_Experiment.pdf"/>
        <s v="https://www.microsoft.com/en-us/ai/principles-and-approach?activetab=pivot1:primaryr5"/>
        <s v="https://assembly.coe.int/nw/xml/XRef/Xref-XML2HTML-en.asp?fileid=23726&amp;lang=en"/>
        <s v="https://www.orange.com/en/Human-Inside/Mag/Hello-I-am-AI."/>
        <s v="https://www.digitalhealthnews.eu/images/stories/pdf/artificial_intelligence_in_healthcare-final_report.pdf"/>
        <s v="https://www.oecd-ilibrary.org/deliver/876367e3-en.pdf?itemId=%2Fcontent%2Fpaper%2F876367e3-en&amp;mimeType=pdf"/>
        <s v="https://en.digst.dk/media/19337/305755_gb_version_final-a.pdf"/>
        <s v="https://www.telekom.com/resource/blob/532446/f32ea4f5726ff3ed3902e97dd945fa14/dl-180710-ki-leitlinien-en-data.pdf"/>
        <s v="https://www.unicef.org/innovation/media/10726/file/Executive%20Summary:%20Memorandum%20on%20Artificial%20Intelligence%20and%20Child%20Rights.pdf"/>
        <s v="https://www.europarl.europa.eu/thinktank/en/document/IPOL_STU(2021)662908"/>
        <s v="https://www.oecd-ilibrary.org/deliver/f94df8ec-en.pdf?itemId=%2Fcontent%2Fpaper%2Ff94df8ec-en&amp;mimeType=pdf"/>
        <s v="https://www.oecd-ilibrary.org/deliver/154981d7-en.pdf?itemId=%2Fcontent%2Fpaper%2F154981d7-en&amp;mimeType=pdf"/>
        <s v="https://www.oecd-ilibrary.org/deliver/1f5307e7-en.pdf?itemId=%2Fcontent%2Fpaper%2F1f5307e7-en&amp;mimeType=pdf"/>
        <s v="https://www.oecd-ilibrary.org/deliver/9ce86ca5-en.pdf?itemId=%2Fcontent%2Fpaper%2F9ce86ca5-en&amp;mimeType=pdf"/>
        <s v="https://oecd.ai"/>
        <s v="https://www.oecd-ilibrary.org/docserver/cb6d9eca-en.pdf?expires=1704208445&amp;id=id&amp;accname=guest&amp;checksum=D4906A98889E61868DDDE97B27971025"/>
        <s v="https://www.oecd.org/going-digital/ai/principles/"/>
        <s v="https://ec.europa.eu/newsroom/dae/document.cfm?doc_id=58496"/>
        <s v="https://hai.stanford.edu/research/ai-index-2021"/>
        <s v="https://www.europarl.europa.eu/RegData/etudes/STUD/2020/634452/EPRS_STU(2020)634452_EN.pdf"/>
        <s v="https://www.europarl.europa.eu/RegData/etudes/STUD/2022/699643/IPOL_STU(2022)699643_EN.pdf"/>
        <s v="https://www.oecd-ilibrary.org/deliver/bb17314a-en.pdf?itemId=%2Fcontent%2Fpaper%2Fbb17314a-en&amp;mimeType=pdf"/>
        <s v="https://www.oecd.org/gov/regulatory-policy/BASIC-Toolkit-web.pdf"/>
        <s v="http://uzhupisembassy.eu/wp-content/uploads/2019/07/Uzupis-Principles-for-Trustworthy-AI.pdf"/>
        <s v="https://en.unesco.org/creativity/sites/creativity/files/12igc_inf4_en.pdf"/>
        <s v="https://www3.weforum.org/docs/WEF_Guidelines_for_AI_Procurement.pdf"/>
        <s v="https://read.oecd-ilibrary.org/view/?ref=130_130771-3jtyra9uoh&amp;title=Using-artificial-intelligence-to-help-combat-COVID-19"/>
        <s v="https://www.datatilsynet.no/globalassets/global/english/ai-and-privacy.pdf"/>
        <s v="https://www3.weforum.org/docs/WEF_Framework_for_action_Facial_recognition_2020.pdf"/>
        <s v="https://arxiv.org/abs/1905.06876"/>
        <s v="https://ico.org.uk/media/for-organisations/guide-to-data-protection/key-dp-themes/explaining-decisions-made-with-artificial-intelligence-1-0.pdf"/>
        <s v="https://www.eduskunta.fi/FI/tietoaeduskunnasta/julkaisut/Documents/tuvj_1%2B2018.pdf"/>
        <s v="http://dipbt.bundestag.de/doc/btd/18/135/1813500.pdf"/>
        <s v="https://dip21.bundestag.de/dip21/btd/19/221/1922181.pdf"/>
        <s v="https://www.bundestag.de/en/committees/bodies/study/artificial_intelligence"/>
        <s v="https://joanna-bryson.blogspot.com/2019/01/a-smart-bureaucrats-guide-to-ai.html"/>
        <s v="https://digitalcollection.zhaw.ch/bitstream/11475/24226/4/2020_Christen-etal_Ethical-Codex_Recommendations.pdf"/>
        <s v="https://rm.coe.int/declaration-on-youth-participation-in-ai-governance-eng-08122020/1680a0a745"/>
        <s v="https://unesdoc.unesco.org/ark:/48223/pf0000381137"/>
        <s v="https://bruce2b.files.wordpress.com/2019/08/d3dd6-responsible2bai2bin2bconsumer2benterprise.pdf"/>
        <s v="https://www.itic.org/policy/artificial-intelligence/itis-global-ai-policy-recommendations"/>
        <s v="https://fra.europa.eu/sites/default/files/fra_uploads/fra-2020-artificial-intelligence_en.pdf"/>
        <s v="https://pervade.umd.edu/our-team/"/>
        <s v="https://www.eib.org/attachments/thematic/artificial_intelligence_blockchain_and_the_future_of_europe_report_en.pdf"/>
        <s v="https://www.nist.gov/system/files/documents/2019/08/10/ai_standards_fedengagement_plan_9aug2019.pdf"/>
        <s v="http://prawo.sejm.gov.pl/isap.nsf/download.xsp/WDU20180000317/T/D20180317L.pdf"/>
        <s v="https://policyaction.org.za/ai-data-topical-guide-series;https://policyaction.org.za/sites/default/files/PAN_TopicalGuide_AIData1_IntroSeries_Elec.pdf;https://policyaction.org.za/sites/default/files/PAN_TopicalGuide_AIData2_CrimePolicing_Elec.pdf;https://"/>
        <s v="https://www.europarl.europa.eu/RegData/etudes/STUD/2021/662912/IPOL_STU(2021)662912_EN.pdf"/>
        <s v="https://uai.edu.ar/ciiti/2019/buenos-aires/downloads/B1/JA-Plan-Nacional-IA.pdf."/>
        <s v="https://www.microsoft.com/en-us/research/uploads/prod/2018/11/Bot_Guidelines_Nov_2018.pdf"/>
        <s v="https://namib.online/wp-content/uploads/2019/10/%D0%9E-%D1%80%D0%B0%D0%B7%D0%B2%D0%B8%D1%82%D0%B8%D0%B8-%D0%B8%D1%81%D0%BA%D1%83%D1%81%D1%81%D1%82%D0%B2%D0%B5%D0%BD%D0%BD%D0%BE%D0%B3%D0%BE-%D0%B8%D0%BD%D1%82%D0%B5%D0%BB%D0%BB%D0%B5%D0%BA%D1%82%D0%B0-%D0%B"/>
        <s v="https://freedex.org/wp-content/blogs.dir/2015/files/2018/10/AI-and-FOE-GA.pdf"/>
        <s v="https://www.pwc.com/gx/en/issues/data-and-analytics/artificial-intelligence/what-is-responsible-ai.html"/>
        <s v="https://indiaai.gov.in/documents/pdf/NationalStrategy-for-AI-Discussion-Paper.pdf"/>
        <s v="https://www.europarl.europa.eu/RegData/etudes/STUD/2022/729516/EPRS_STU(2022)729516_EN.pdf"/>
        <s v="https://www.pcpd.org.hk/english/resources_centre/publications/annual_report/files/anreport18_02.pdf"/>
        <s v="https://cms.wellcome.org/sites/default/files/ai-in-health-ethical-social-political-challenges.pdf"/>
        <s v="https://www.ccbe.eu/fileadmin/speciality_distribution/public/documents/IT_LAW/ITL_Reports_studies/EN_ITL_20220331_Guide-AI4L.pdf"/>
        <s v="https://arxiv.org/pdf/1911.01468.pdf"/>
        <s v="https://ai.equineteurope.org/system/files/2021-04/EQUINET_REGULATING%20FOR%20AN%20EQUAL%20AI_2020_report.pdf"/>
        <s v="https://automatingsociety.algorithmwatch.org/report2020/policy-recommendations/"/>
        <s v="https://www.pdpc.gov.sg/-/media/Files/PDPC/PDF-Files/Resource-for-Organisation/AI/Discussion-Paper-on-AI-and-PD---050618.pdf"/>
        <s v="https://www.reputable.ai/principles"/>
        <s v="https://law.stanford.edu/wp-content/uploads/2020/02/ACUS-AI-Report.pdf"/>
        <s v="http://www.linking-ai-principles.org/about"/>
        <s v="https://www.osce.org/files/f/documents/b/a/447829.pdf"/>
        <s v="https://oproma.github.io/rai-trustindex/"/>
        <s v="https://link.springer.com/content/pdf/10.1007/s11023-018-9482-5.pdf"/>
        <s v="https://www.ncbi.nlm.nih.gov/pmc/articles/PMC6591188/"/>
        <s v="https://unesdoc.unesco.org/ark:/48223/pf0000368303"/>
        <s v="https://www.salesforceairesearch.com/trusted-ai"/>
        <s v="https://gpai.ai/projects/responsible-ai/environment/climate-change-and-ai.pdf"/>
        <s v="https://rm.coe.int/ai-report-bil-final/16809f9a88"/>
        <s v="https://www.shkjdw.gov.cn/c/2019-08-30/517552.shtml"/>
        <s v="https://pdf.sciencedirectassets.com/271884/1-s2.0-S0267364918X00053/1-s2.0-S0267364918302012/main.pdf?X-Amz-Security-Token=IQoJb3JpZ2luX2VjEBoaCXVzLWVhc3QtMSJHMEUCIQDRmIZM7EFFry858ooKfG1Wu6tmvc%2BERQuQ96R8mzJjQwIgAreFnPvZspgxDOYES0a6w%2BMX5DQjd4gUnbb6paXc"/>
        <s v="https://www.international.gc.ca/world-monde/international_relations-relations_internationales/europe/2018-06-07-france_ai-ia_france.aspx?lang=eng"/>
        <s v="https://www.sohu.com/a/254630629_260616"/>
        <s v="http://www.europarl.europa.eu/RegData/etudes/BRIE/2021/662937/IPOL_BRI(2021)662937_EN.pdf"/>
        <s v="https://www.lamoncloa.gob.es/presidente/actividades/Documents/2020/021220-ENIA.pdf"/>
        <s v="https://www.aepd.es/media/guias/guia-codigo-de-buenas-practicas-proyectos-de-big-data.pdf"/>
        <s v="https://www.bitkom.org/sites/default/files/file/import/171101-PP-Artificial-Intelligence-ENG-Web.pdf"/>
        <s v="https://cset.georgetown.edu/publication/artificial-intelligence-standardization-white-paper/"/>
        <s v="https://malta.ai/wp-content/uploads/2019/11/Malta_The_Ultimate_AI_Launchpad_vFinal.pdf"/>
        <s v="https://reliefweb.int/attachments/41159932-9621-46ca-af1b-c57fe8a24da0/G2232396.pdf"/>
        <s v="https://www.teliacompany.com/assets/u5c1v3pt22v8/2vc3JrcTrqI77ww43dChjh/a1ddbf5d79d203a1aa3cceb3e43c719d/Telia_Company-s_Guiding_principles_for_AI_Ethics.pdf"/>
        <s v="https://digichina.stanford.edu/work/full-translation-chinas-new-generation-artificial-intelligence-development-plan-2017/#:~:text=By%202025%2C%20a%20new%20generation,global%20high%2Dend%20value%20chain."/>
        <s v="https://dataethics.eu/data-ethics-principles/"/>
        <s v="https://www.nedo.go.jp/content/100865202.pdf"/>
        <s v="https://digital-luxembourg.public.lu/sites/default/files/2020-09/AI_EN_0.pdf"/>
        <s v="https://data.consilium.europa.eu/doc/document/ST-11352-2018-INIT/en/pdf"/>
        <s v="https://unesdoc.unesco.org/ark:/48223/pf0000367422.locale=en"/>
        <s v="https://www.g20-insights.org/wp-content/uploads/2019/04/T20-Recommendations-Report_TF7-The-Future-of-Work-and-Education-in-the-Digital-Age.pdf"/>
        <s v="https://www.article19.org/wp-content/uploads/2018/04/Privacy-and-Freedom-of-Expression-In-the-Age-of-Artificial-Intelligence-1.pdf"/>
        <s v="https://www.oecd-ilibrary.org/deliver/22729bd6-en.pdf?itemId=%2Fcontent%2Fpaper%2F22729bd6-en&amp;mimeType=pdf"/>
        <s v="https://www.telefonica.com/en/sustainability-innovation/how-we-work/business-principles/"/>
        <s v="https://www.rcplondon.ac.uk/projects/outputs/artificial-intelligence-ai-health"/>
        <s v="https://legalinstruments.oecd.org/en/instruments/OECD-LEGAL-0449"/>
        <s v="https://tech.qq.com/a/20190711/004971.htm"/>
        <s v="https://web-archive.oecd.org/2020-07-23/559610-trustworthy-artificial-intelligence-in-education.pdf"/>
        <s v="https://www.thalesgroup.com/en/artificial-intelligence-and-national-security"/>
        <s v="https://www.ibm.com/policy/trust-principles/"/>
        <s v="https://allai.nl/wp-content/uploads/2021/08/EU-Proposal-for-Artificial-Intelligence-Act-Analysis-and-Recommendations.pdf"/>
        <s v="https://www.ibm.com/downloads/cas/J2LAYLOZ"/>
        <s v="https://reghorizon.com/wp-content/uploads/2021/02/RegHorizon-AI-Policy-Conference-2020-Summary.pdf"/>
        <s v="https://ethical.institute/principles.html"/>
        <s v="https://www.tietoevry.com/contentassets/b097de43d84d4c84832f1fff2cb6a30d/tieto-s-ai-ethics-guidelines.pdf"/>
        <s v="https://ethics.org.au/ethical-by-design/"/>
        <s v="https://www.europarl.europa.eu/RegData/etudes/STUD/2021/662906/IPOL_STU(2021)662906_EN.pdf"/>
        <s v="https://www.oecd-ilibrary.org/docserver/7babf571-en.pdf?expires=1700910550&amp;id=id&amp;accname=guest&amp;checksum=A3116351E36F167E26FDAA8262575B12"/>
        <s v="https://www.fatml.org/resources/principles-for-accountable-algorithms"/>
        <s v="https://github.com/GoodTechnologyCollective/GTS"/>
        <s v="https://slate.com/technology/2016/06/microsoft-ceo-satya-nadella-humans-and-a-i-can-work-together-to-solve-societys-challenges.html"/>
        <s v="https://rm.coe.int/cdpc-2018-14rev-artificial-intelligence-and-criminal-law-project-2018-/16808e64ad"/>
        <s v="https://ai-white-paper.readthedocs.io/en/latest/"/>
        <s v="https://rm.coe.int/inf-2022-5-report-impact-of-ai-on-doctor-patient-relations-e/1680a68859"/>
        <s v="https://uniglobalunion.org/wp-content/uploads/uni_ethical_ai.pdf"/>
        <s v="https://www.ourcommons.ca/Content/Committee/441/ETHI/Reports/RP11948475/ethirp06/ethirp06-e.pdf"/>
        <s v="https://algorithmwatch.org/wp-content/uploads/2019/01/Automating_Society_Report_2019.pdf"/>
        <s v="https://ethical.institute/rfx.html"/>
        <s v="https://www.norden.org/en/declaration/ai-nordic-baltic-region"/>
        <s v="https://www.loc.gov/law/help/artificial-intelligence/regulation-artificial-intelligence.pdf"/>
        <s v="https://www.europarl.europa.eu/RegData/etudes/STUD/2021/697191/EPRS_STU(2021)697191_EN.pdf"/>
        <s v="https://bioethics.miami.edu/_assets/pdf/information-technology-and-ethics/ai-and-big-data-resources/ethics-of-ai-in-radiology.pdf"/>
        <s v="https://aicm.ai.gov.eg//en/Resources/EgyptianCharterForResponsibleAIEnglish-v1.0.pdf"/>
        <s v="https://airecht.nl/s/Artificial-Intelligence-Impact-Assessment-English.pdf"/>
        <s v="https://pace.coe.int/files/28721/pdf"/>
        <s v="https://www.internetsociety.org/wp-content/uploads/2017/08/ISOC-AI-Policy-Paper_2017-04-27_0.pdf"/>
        <s v="https://theodi.org/wp-content/uploads/2019/07/ODI-Data-Ethics-Canvas-2019-05.pdf"/>
        <s v="https://participa.gencat.cat/uploads/decidim/attachment/file/932/Document-Bases-Estrategia-IA-Catalunya-_ENversion.pdf"/>
        <s v="https://www.oecd-ilibrary.org/docserver/932780bc-en.pdf?expires=1700910796&amp;id=id&amp;accname=guest&amp;checksum=689A1C4A9057EEAE212A832629A5FA2A"/>
        <s v="https://blogs.microsoft.com/on-the-issues/2018/12/06/facial-recognition-its-time-for-action/"/>
        <s v="https://link.springer.com/content/pdf/10.1007/978-3-031-17040-9.pdf"/>
        <s v="https://t20argentina.org/wp-content/uploads/2018/09/Bridges-to-the-Future-of-Education-Policy-Recommendations-for-the-Digital-Age.pdf"/>
        <s v="http://www.troisiemerevolutionindustrielle.lu/wp-content/uploads/2016/11/TIR-CG_Luxembourg-Final-Report_Long-Version.pdf"/>
        <s v="https://archive.epic.org/international/AIGuidleinesDRAFT20180910.pdf"/>
        <s v="https://ai-ethics-and-governance.institute/beijing-artificial-intelligence-principles/"/>
        <s v="http://publications.tno.nl/publication/34627249/puJbur/TNO-2018-R11086.pdf"/>
        <s v="https://www.canada.ca/en/government/system/digital-government/digital-government-innovations/responsible-use-ai/algorithmic-impact-assessment.html"/>
        <s v="https://www.tbs-sct.gc.ca/pol/doc-eng.aspx?id=32592"/>
        <s v="https://www.canada.ca/en/treasury-board-secretariat/services/information-technology/strategic-plan-2017-2021.html"/>
        <s v="https://royalsociety.org/~/media/policy/projects/machine-learning/publications/machine-learning-report.pdf"/>
        <s v="https://fra.europa.eu/sites/default/files/fra_uploads/fra-2018-focus-big-data_en.pdf"/>
        <s v="http://www.anpr.tn/national-ai-strategy-unlocking-tunisias-capabilities-potential/."/>
        <s v="https://www.industry.gov.au/publications/australias-artificial-intelligence-ethics-framework/australias-ai-ethics-principles"/>
        <s v="https://rm.coe.int/eurimages-entering-the-new-paradigm-051219/1680995331"/>
        <s v="https://www.oecd-ilibrary.org/docserver/1cd40c44-en.pdf?expires=1700910832&amp;id=id&amp;accname=guest&amp;checksum=63EB730E37CC61174E065E5F4502C1EF"/>
        <s v="https://www.kakaocorp.com/page/responsible/detail/algorithm?lang=ENG&amp;tab=all"/>
        <s v="https://rm.coe.int/cahai-2020-23-final-eng-feasibility-study-/1680a0c6da"/>
        <s v="https://www.nitrd.gov/pubs/national_ai_rd_strategic_plan.pdf"/>
        <s v="https://ai.google/responsibilities/responsible-ai-practices/"/>
        <s v="https://www.itu.int/hub/publication/s-gen-unact-2021/"/>
        <s v="https://ohchr.org/EN/HRBodies/HRC/RegularSessions/Session37/Documents/A_HRC_37_62_EN.docx"/>
        <s v="https://arxiv.org/pdf/1811.10154.pdf"/>
        <s v="https://digitalstrategy.undp.org/documents/Digital-Strategy-2022-2025-Full-Document_ENG_Interactive.pdf"/>
        <s v="http://unicri.it/in_focus/files/Report_UNICRI_Cambridge_Workshop_Feb_2017.pdf"/>
        <s v="https://community.intel.com/legacyfs/online/files/Intel-Artificial-Intelligence-Public-Policy-White-Paper-2017.pdf"/>
        <s v="https://www.beuc.eu/publications/beuc-x-2021-088_regulating_ai_to_protect_the_consumer.pdf"/>
        <s v="https://www.bmi.bund.de/SharedDocs/downloads/EN/themen/it-digital-policy/datenethikkommission-abschlussgutachten-lang.pdf?__blob=publicationFile&amp;v=5"/>
        <s v="https://academic.oup.com/jamia/article/29/4/585/6534106?login=true"/>
        <s v="https://publications.parliament.uk/pa/ld201719/ldselect/ldai/100/100.pdf"/>
        <s v="https://www.digitalwallonia.be/en/posts/wallonia-digital-strategy/"/>
        <s v="https://rm.coe.int/prems-092922-gbr-2517-ai-and-education-txt-16x24-web/1680a956e3"/>
        <s v="https://www.buckingham.ac.uk/wp-content/uploads/2020/09/Developing-a-Shared-Vision-of-Ethical-AI-in-Education-An-Invitation-to-Participate.pdf"/>
        <s v="https://unesdoc.unesco.org/ark:/48223/pf0000377897?posInSet=6&amp;queryId=2dd9f054-a205-46ca-8cd4-11a0d475e978"/>
        <s v="https://en.unesco.org/news/first-unesco-recommendations-combat-gender-bias-applications-using-artificial-intelligence"/>
        <s v="https://www.humanrights.dk/files/media/document/A%20HRIA%20of%20Digital%20Activities%20-%20Introduction_ENG_accessible.pdf"/>
        <s v="https://unesdoc.unesco.org/ark:/48223/pf0000367823"/>
        <s v="https://ai.equineteurope.org/system/files/2022-06/Equinet-Position-Paper-on-AI-and-Equality.pdf"/>
        <s v="https://ec.europa.eu/newsroom/dae/redirection/document/92399"/>
        <s v="https://www.ibe.org.uk/uploads/assets/5f167681-e05f-4fae-ae1bef7699625a0d/ibebriefing58businessethicsandartificialintelligence.pdf"/>
        <s v="https://www.privacy.org.nz/assets/New-order/Resources-/Publications/Guidance-resources/Principles-for-the-safe-and-effective-use-of-data-and-analytics-guidance3.pdf"/>
        <s v="https://unesdoc.unesco.org/ark:/48223/pf0000373199"/>
        <s v="http://www.europarl.europa.eu/RegData/etudes/STUD/2018/626074/IPOL_STU(2018)626074_EN.pdf"/>
        <s v="https://www.turing.ac.uk/sites/default/files/2021-03/cahai_feasibility_study_primer_final.pdf"/>
        <s v="http://unesdoc.unesco.org/images/0024/002487/248724e.pdf"/>
        <s v="http://globalprivacyassembly.org/wp-content/uploads/2018/10/20180922_ICDPPC-40th_AI-Declaration_ADOPTED.pdf"/>
        <s v="https://pace.coe.int/files/28723/pdf"/>
        <s v="https://www.administration-numerique.chaire.ulaval.ca/sites/administration-numerique.chaire.ulaval.ca/files/uploads/Cahier%20%235%20-%20IA%20au%20Qu%C3%A9bec%20(2).pdf"/>
        <s v="https://search.coe.int/cm/pages/result_details.aspx?objectid=09000016809e1154"/>
        <s v="https://rm.coe.int/artificial-intelligence-and-data-protection-challenges-and-possible-re/168091f8a6"/>
        <s v="https://www.dgb.de/themen/++co++4f242f08-18a7-11e9-b2c1-52540088cada initial url not working, new url: https://www.google.com/url?sa=t&amp;rct=j&amp;q=&amp;esrc=s&amp;source=web&amp;cd=&amp;ved=2ahUKEwiZ6a3w0_iCAxVlUKQEHcsnDN4QFnoECBIQAQ&amp;url=https%3A%2F%2Fwww.dgb.de%2Fthemen%2F%"/>
        <s v="https://www.gov.uk/government/publications/guidelines-for-ai-procurement/guidelines-for-ai-procurement"/>
        <s v="https://www.researchgate.net/publication/354540868_Putting_AI_ethics_to_work_are_the_tools_fit_for_purpose/fulltext/613ea4a001846e45ef44fa36/Putting-AI-ethics-to-work-are-the-tools-fit-for-purpose.pdf"/>
        <s v="https://www.designethically.com/toolkit"/>
        <s v="https://www.bmdv.bund.de/SharedDocs/EN/publications/report-ethics-commission-automated-and-connected-driving.pdf?__blob=publicationFile"/>
        <s v="https://rm.coe.int/guidelines-on-facial-recognition/1680a134f3"/>
        <s v="https://link.springer.com/content/pdf/10.1007/s43681-021-00131-7.pdf"/>
        <s v="https://www.europarl.europa.eu/RegData/etudes/STUD/2021/662926/IPOL_STU(2021)662926_EN.pdf"/>
        <s v="https://www.mofa.go.jp/files/000373837.pdf"/>
        <s v="http://www.code-of-ethics.org/code-of-conduct/"/>
        <s v="https://www.europarl.europa.eu/doceo/document/A-8-2017-0005_EN.html"/>
        <s v="https://ethics.a-ai.ru/assets/ethics_files/2023/05/12/AI_ETHICS_CODE_10_01_1.pdf"/>
        <s v="http://cdn.aiindex.org/2018/AI%20Index%202018%20Annual%20Report.pdf"/>
        <s v="https://hal.archives-ouvertes.fr/hal-01849092/document"/>
        <s v="https://www.accessnow.org/cms/assets/uploads/2018/11/AI-and-Human-Rights.pdf"/>
        <s v="https://www.oecd-ilibrary.org/sites/eedfee77-en/index.html?itemId=/content/publication/eedfee77-en"/>
        <s v="https://community.intel.com/t5/Blogs/Intel/Policy-Intel/Intel-Recommends-Public-Policy-Principles-for-Artificial/post/1333004"/>
        <s v="https://link.springer.com/article/10.1007/s11023-020-09517-8"/>
        <s v="https://www.uu.nl/sites/default/files/rebo-montaigne-algoritmes_en_grondrechten.pdf"/>
        <s v="https://dataschool.nl/en/deda/"/>
        <s v="http://julkaisut.valtioneuvosto.fi/bitstream/handle/10024/161688/41_19_Leading%20the%20way%20into%20the%20age%20of%20artificial%20intelligence.pdf"/>
        <s v="https://www.verdi.de/++file++5d8240de2193fb3d0b019e30/download/ver.di-Diskussionspapier%20zu%20KI-Leitlinien%20fu%CC%88r%20Gemeinwohl%20und%20Gute%20Arbeit_2019.pdf"/>
        <s v="https://www.verivox.de/company/selbstverpflichtung/"/>
        <s v="https://www.vodafone.com/about-vodafone/how-we-operate/public-policy/policy-positions/artificial-intelligence-framework"/>
        <s v="https://www.gov.uk/government/publications/artificial-intelligence-sector-deal/ai-sector-deal"/>
        <s v="https://blog.unity.com/technology/introducing-unitys-guiding-principles-for-ethical-ai"/>
        <s v="https://www.europarl.europa.eu/RegData/etudes/STUD/2021/696968/IPOL_STU(2021)696968_EN.pdf"/>
        <s v="https://www3.weforum.org/docs/WEF_40065_White_Paper_How_to_Prevent_Discriminatory_Outcomes_in_Machine_Learning.pdf"/>
        <s v="https://www.whitehouse.gov/presidential-actions/executive-order-maintaining-american-leadership-artificial-intelligence/"/>
        <s v="https://www.whitehouse.gov/wp-content/uploads/2020/11/M-21-06.pdf"/>
        <s v="https://www.portugal.gov.pt/download-ficheiros/ficheiro.aspx?v=%3D%3DBAAAAB%2BLCAAAAAAABACzMDQxAQC3h%2ByrBAAAAA%3D%3D"/>
        <s v="https://felixreda.eu/wp-content/uploads/2017/02/Green-Digital-Working-Group-Position-on-Robotics-and-Artificial-Intelligence-2016-11-22.pdf"/>
        <s v="https://www3.weforum.org/docs/WEF_AI_Procurement_in_a_Box_Project_Overview_2020.pdf"/>
        <s v="https://help.twitter.com/en/rules-and-policies/twitter-moments-guidelines-and-principles"/>
        <s v="https://www.sony.com/en/SonyInfo/sony_ai/responsible_ai.html"/>
        <s v="https://www.vinnova.se/contentassets/72ddc02d541141258d10d60a752677df/vr-18_12.pdf?cb=20180924082158"/>
        <s v="https://www.hbku.edu.qa/en/qcri/center-artificial-intelligence"/>
        <s v="https://www.gov.uk/government/publications/ambitious-safe-responsible-our-approach-to-the-delivery-of-ai-enabled-capability-in-defence/ambitious-safe-responsible-our-approach-to-the-delivery-of-ai-enabled-capability-in-defence#annex-a-ethical-principles-f"/>
        <s v="https://ainowinstitute.org/wp-content/uploads/2023/04/AI_Now_2018_Report.pdf"/>
        <s v="https://hai.stanford.edu/sites/default/files/2021-10/HAI_NRCR_2021_0.pdf"/>
        <s v="https://www.who.int/publications/i/item/9789240038462"/>
        <s v="https://pace.coe.int/files/28715/pdf"/>
        <s v="https://www.csiro.au/-/media/D61/Reports/Artificial-Intelligence-ethics-framework.pdf"/>
        <s v="https://publications.jrc.ec.europa.eu/repository/bitstream/JRC120399/jrc120399_misuraca-ai-watch_public-services_30062020_def.pdf"/>
      </sharedItems>
    </cacheField>
    <cacheField name="Authors">
      <sharedItems containsBlank="1" containsMixedTypes="1" containsNumber="1" containsInteger="1">
        <m/>
        <s v="Aarathi Krishnan, Angie Abdilla, A Jung Moon, Carlos Affonso Souza, Chelle Adamson, Eileen M. Lach, Farah Ghazal, Jessica Fjeld, Jennyfer Taylor, John C. Havens, Malavika Jayaram, Monique Morrow, Nagla Rizk, Paola Ricaurte Quijano, R. Buse Çetin, Raja Cha"/>
        <s v="Maxim Orlovsky, Andrey Sobol"/>
        <s v="."/>
        <s v="David De Cremer, Devesh Narayanan, Andreas Deppeler, Mahak Nagpal, Jack McGuire, Jess Zhang"/>
        <s v="Ivana Bartoletti,Allison Gardner,Reema Patel,Emma Gibson,Liz Stocks,Samara Banno,Sanya Sheikh,Rebecca Geach,Holly Rafique"/>
        <n v="7.0"/>
        <s v="Adam Cutler, Milena Pribić"/>
        <s v="Victor Demiaux, Yacine Si Abdallah"/>
        <s v="Margaret Bodena, Joanna Brysonb, Darwin Caldwellc, Kerstin Dautenhahnd, Lilian Edwardse, Sarah Kemberf, Paul Newmang, Vivienne Parryh, Geoff Pegmani, Tom Roddenj, Tom Sorrellk, Mick Wallisl, Blay Whitbyaand, Alan Winfield"/>
        <s v="Anna Bacciarelli, Joe Westby, Fanny Hidvegi, Estelle Massé, Drew Mitnick"/>
        <s v="Jane McGonigal, Raina Kumra, Eshanthi Ranasinghe, Yoav Schlesinger, Randolph Wiggins"/>
        <s v="Aisha Bint Butti Bin Bishr"/>
        <s v="Dávid Pásztor"/>
        <s v="Renaud Vedel, Katya Lainé"/>
        <s v="Anna Roy"/>
        <s v="Luciano Floridi, Josh Cowls, Monica Beltrametti, Raja Chatila, Patrice Chazerand, Virginia Dignum, Christoph Luetge, Robert Madelin, Ugo Pagallo, Francesca Rossi, Burkhard Schafer, Peggy Valcke, Effy Vayena"/>
        <s v="Lina Stankovik, Geeta Chauhan, Jens dittrich, Jack Stilgoe, Oswaldo Baez, Radhaprem Ramaraj, Ari Kamlani, David Fagnan, Kate Carruthers, Ramin Vatanparast, Prasenjeet Bhattacharya, Narayanan Subramaniam, Drake Pruitt, Detlef Nauck, Adrian Gonzalez-Martin,"/>
        <s v="Nicholas Diakopoulos, Sorelle Friedler, Marcelo Arenas, Solon Barocas, Michael Hay, Bill Howe, H. V. Jagadish, Kris Unsworth, Arnaud Sahuguet, Suresh Venkatasubramanian, Christo Wilson, Cong Yu, Bendert Zevenbergen"/>
        <s v="Satya Nadella"/>
        <s v="Andrus Ansip, Antonio Samaritani"/>
        <s v="Anthony E Solomonides, Eileen Koski, Shireen M Atabaki, Scott Weinberg, John D McGreevey, Joseph L Kannry, Carolyn Petersen, Christoph U Lehmann"/>
        <s v="Naveen Rao"/>
        <s v="Dawson D, Schleiger E, Horton J, McLaughlin J, Robinson C, Quezada G, Scowcroft J, Hajkowicz S"/>
      </sharedItems>
    </cacheField>
    <cacheField name="Affiliates" numFmtId="0">
      <sharedItems containsBlank="1">
        <m/>
        <s v="."/>
        <s v="National University of Singapore"/>
        <s v="Ethique et Numerique"/>
        <s v="Université de Montréal, Centre de Recherche en Ethique, LAB VILLE PROSPECTIVE, IVADO, SAT, Mila, ICRA Programme IA et société, Design société, polIEtHics, CIRANO, Québec, Université Laval, Musée de la Civilisation, CERIUM, Centre de Recherche en données m"/>
        <s v="Access Now, AI Now Institute at New York University, AfroLeadership, AlgorithmWatch, Amnesty International, Article 19, Big Brother Watch, Business &amp; Human Rights Resource Centre, Electronic Frontiers Australia, Embassy of the Republic of Užupis to Munich"/>
        <s v="Digital Intelligence"/>
        <s v="Falcon and Associates"/>
        <s v="Numeum, 3iA Côte d'Azur, Telecom Valley, Impact AI, Hub France IA, Grand Est, Grand ENOV+, Institut DataIA, ANITI, aivancity, 42, Services du Premier Ministre"/>
        <s v="The Future World of Work"/>
        <s v="Bejing Academy of Artificial Intelligence, Peking University, Tsinghua University, Institute of Automation in Chinese Academy of Sciences, Institute of Computing Technology in Chinese Academy of Sciences, Baidu, Alibaba, Tencent"/>
        <s v="Commission Nationale de l’Informatique et des Libertés (CNIL), France, European Data Protection Supervisor (EDPS), European Union, Garante per la protezione dei dati personali, Italy, Agencia de Acceso a la Información Pública, Argentina, Commission d’acc"/>
        <s v="CSIRO, Data61"/>
      </sharedItems>
    </cacheField>
    <cacheField name="Sector" numFmtId="0">
      <sharedItems containsBlank="1">
        <m/>
        <s v="civil society"/>
        <s v="academia, private sector"/>
        <s v="international organisation &gt; EU institution"/>
        <s v="academia"/>
        <s v="national authority"/>
        <s v="private sector"/>
        <s v="international organisation &gt; IGO"/>
        <s v="national authority, academia"/>
        <s v="civil society &gt; other"/>
        <s v="civil society &gt; NGO"/>
        <s v="civil society &gt; state-dependant"/>
        <s v="civil society &gt; other, academia"/>
        <s v="international organisation &gt; other"/>
        <s v="private sector, academia"/>
        <s v="private sector, national authority"/>
        <s v="international organisation &gt; IGO, private sector"/>
        <s v="academia, civil society &gt; other, private sector"/>
        <s v="academia, civil society"/>
        <s v="civil society &gt; NGO, academic, private sector"/>
        <s v="international organisation &gt; IGO, civil society &gt; other"/>
        <s v="national authority, academia, international organisation &gt; IGO"/>
      </sharedItems>
    </cacheField>
    <cacheField name="Country" numFmtId="0">
      <sharedItems containsBlank="1">
        <m/>
        <s v="international"/>
        <s v="USA"/>
        <s v="Belgium"/>
        <s v="China"/>
        <s v="UK"/>
        <s v="EU"/>
        <s v="South Korea"/>
        <s v="Ireland"/>
        <s v="France"/>
        <s v="Singapore"/>
        <s v="Germany"/>
        <s v="Japan"/>
        <s v="South Africa"/>
        <s v="Canada"/>
        <s v="Australia"/>
        <s v="Austria"/>
        <s v="Brazil"/>
        <s v="Czech Republic"/>
        <s v="Netherlands"/>
        <s v="Switzerland"/>
        <s v="Finland"/>
        <s v="Saudi Arabia"/>
        <s v="New Zealand"/>
        <s v="Colombia"/>
        <s v="Philippines"/>
        <s v="Malta"/>
        <s v="Slovakia"/>
        <s v="Denmark"/>
        <s v="Vatican"/>
        <s v="Malaysia"/>
        <s v="Luxembourg"/>
        <s v="Taiwan"/>
        <s v="Spain"/>
        <s v="Estonia"/>
        <s v="Norway"/>
        <s v="Israel"/>
        <s v="Lithuania"/>
        <s v="Sweden"/>
        <s v="Mexico"/>
        <s v="Iceland"/>
        <s v="India"/>
        <s v="Poland"/>
        <s v="Slovenia"/>
        <s v="Italy"/>
        <s v="Kenya"/>
        <s v="UAE"/>
        <s v="Indonesia"/>
        <s v="Russia"/>
        <s v="Ukraine"/>
        <s v="Serbia"/>
        <s v="Chile"/>
        <s v="Hungary"/>
        <s v="international "/>
        <s v="Argentina"/>
        <s v="Hong Kong"/>
        <s v="Egypt"/>
        <s v="Tunisia"/>
        <s v="Portugal"/>
        <s v="Qatar"/>
      </sharedItems>
    </cacheField>
    <cacheField name="Date">
      <sharedItems containsDate="1" containsBlank="1" containsMixedTypes="1">
        <m/>
        <n v="2021.0"/>
        <s v="2022"/>
        <s v="09/03/2021"/>
        <s v="2021"/>
        <n v="2018.0"/>
        <s v="30/03/2022"/>
        <s v="10/2020"/>
        <s v="2019"/>
        <s v="2020"/>
        <s v="03/2015"/>
        <d v="2018-11-01T00:00:00Z"/>
        <s v="01/2007"/>
        <s v="10/2018"/>
        <s v="09/08/2019"/>
        <s v="04/12/2018"/>
        <s v="12/2021"/>
        <s v="01/2021"/>
        <s v="15/10/2017"/>
        <s v="2017"/>
        <s v="23/05/2018"/>
        <s v="19/11/2018"/>
        <s v="04/2019"/>
        <s v="10/2016"/>
        <s v="22/09/2016"/>
        <s v="15/07/2017"/>
        <s v="20/06/2019"/>
        <s v="31/08/2017"/>
        <s v="10/2022"/>
        <s v="01/10/2020"/>
        <s v="02/2019"/>
        <s v="2018"/>
        <s v="12/2017"/>
        <s v="05/2022"/>
        <s v="28/06/2018"/>
        <s v="12/01/2021"/>
        <s v="08/10/2020"/>
        <s v="09/2021"/>
        <s v="15/09/2021"/>
        <s v="26/09/2017"/>
        <s v="27/02/2019"/>
        <s v="03/05/2022"/>
        <s v="03/04/2019"/>
        <s v="03/2022"/>
        <s v="13/04/2020"/>
        <s v="31/10/2019"/>
        <s v="04/2022"/>
        <s v="29/04/2021"/>
        <s v="21/11/2019"/>
        <s v="12/2019"/>
        <s v="07/03/2022"/>
        <s v="30/11/2017"/>
        <s v="03/12/2011"/>
        <s v="26/06/2019"/>
        <s v="05/2020"/>
        <s v="02/05/2019"/>
        <s v="10/2021"/>
        <s v="08/04/2019"/>
        <s v="30/11/2018"/>
        <s v="15/06/2020"/>
        <s v="2014"/>
        <s v="13/10/2018"/>
        <s v="11/2020"/>
        <s v="04/09/2017"/>
        <s v="04/2017"/>
        <s v="03/2021"/>
        <s v="27/11/2023"/>
        <s v="06/2018"/>
        <s v="12/2020"/>
        <s v="19/01/2021"/>
        <s v="07/2021"/>
        <s v="23/05/2017"/>
        <s v="03/2020"/>
        <s v="22/10/2018"/>
        <s v="08/2020"/>
        <s v="06/2021"/>
        <s v="09/2018"/>
        <s v="29/01/2021"/>
        <s v="03/2018"/>
        <s v="09/11/2019"/>
        <s v="17/07/2020"/>
        <n v="2017.0"/>
        <s v="05/2019"/>
        <s v="21/04/2021"/>
        <s v="12/02/2019"/>
        <s v="01/2022"/>
        <s v="27/09/2018"/>
        <s v="09/10/2018"/>
        <s v="17/07/2019"/>
        <s v="08/2019"/>
        <s v="05/07/2022"/>
        <s v="02/10/2020"/>
        <s v="08/07/2021"/>
        <s v="16/06/2018"/>
        <s v="07/2020"/>
        <s v="24/04/2018"/>
        <s v="03/12/2018"/>
        <s v="11/2018"/>
        <s v="14/09/2017"/>
        <s v="14/07/2018"/>
        <s v="16/02/2017"/>
        <s v="28/02/2020"/>
        <s v="09/2020"/>
        <s v="27/02/2014"/>
        <s v="11/2021"/>
        <s v="08/12/2022"/>
        <s v="07/2022"/>
        <s v="24/03/2017"/>
        <s v="09/04/2018"/>
        <s v="06/2022"/>
        <s v="03/07/2018"/>
        <s v="09/04/2020"/>
        <s v="03/2019"/>
        <s v="21/01/2020"/>
        <s v="28/01/2022"/>
        <s v="28/10/2017"/>
        <s v="04/2021"/>
        <s v="01/04/2020"/>
        <s v="11/04/2023"/>
        <s v="04/2015"/>
        <s v="05/10/2020"/>
        <s v="01/2020"/>
        <s v="18/07/2022"/>
        <s v="21/12/2018"/>
        <s v="13/02/2019"/>
        <s v="24/09/2020"/>
        <s v="08/2021"/>
        <s v="09/2019"/>
        <s v="02/03/2019"/>
        <s v="02/2023"/>
        <s v="2016"/>
        <s v="11/08/2017"/>
        <s v="07/12/2018"/>
        <s v="15/03/2023"/>
        <s v="11/02/2021"/>
        <s v="19/02/2020"/>
        <s v="17/03/2021"/>
        <s v="07/06/2019"/>
        <s v="09/10/2016"/>
        <s v="17/12/2021"/>
        <s v="24/06/2019"/>
        <s v="07/2019"/>
        <s v="06/11/2019"/>
        <s v="09/2023"/>
        <s v="16/09/2020"/>
        <s v="02/2018"/>
        <s v="05/03/2020"/>
        <s v="07/2018"/>
        <s v="16/05/2018"/>
        <s v="10/09/2018"/>
        <s v="01/2019"/>
        <s v="27/11/2018"/>
        <s v="05/2018"/>
        <s v="12/01/2017"/>
        <s v="03/03/2018"/>
        <s v="2009"/>
        <s v="18/12/2022"/>
        <s v="18/10/2018"/>
        <s v="01/2023"/>
        <s v="22/10/2021"/>
        <s v="02/08/2018"/>
        <s v="08/12/2020"/>
        <s v="25/04/2018"/>
        <s v="16/11/2018"/>
        <s v="07/03/2019"/>
        <s v="19/05/2021"/>
        <s v="30/12/2018"/>
        <s v="30/03/2017"/>
        <s v="07/04/2022"/>
        <s v="17/04/2018"/>
        <s v="25/01/2019"/>
        <s v="06/2017"/>
        <s v="28/04/2017"/>
        <s v="09/03/2018"/>
        <s v="05/2021"/>
        <s v="01/2018"/>
        <s v="02/2020"/>
        <s v="17/10/2022"/>
        <s v="14/05/2021"/>
        <s v="01/12/2020"/>
        <s v="23/11/2021"/>
        <s v="14/12/2020"/>
        <s v="11/04/2018"/>
        <s v="29/08/2018"/>
        <s v="04/2018"/>
        <s v="06/05/2018"/>
        <s v="26/11/2018"/>
        <s v="19/02/2018"/>
        <s v="18/05/2019"/>
        <s v="06/12/2019"/>
        <s v="04/08/2018"/>
        <s v="07/06/2018"/>
        <s v="10/2019"/>
        <s v="21/04/2022"/>
        <s v="29/12/2017"/>
        <s v="26/07/2018"/>
        <s v="21/03/2019"/>
        <s v="07/12/2021"/>
        <s v="08/2023"/>
        <s v="22/05/2019"/>
        <s v="02/02/2020"/>
        <s v="30/05/2018"/>
        <s v="06/08/2021"/>
        <s v="04/2020"/>
        <s v="17/11/2020"/>
        <s v="11/2022"/>
        <s v="28/06/2016"/>
        <s v="16/10/2018"/>
        <s v="21/03/2018"/>
        <s v="14/05/2018"/>
        <s v="13/06/2019"/>
        <s v="2023"/>
        <s v="22/09/2020"/>
        <s v="06/12/2018"/>
        <s v="23/10/2018"/>
        <s v="15/10/2024"/>
        <s v="17/12/2020"/>
        <s v="22/09/2019"/>
        <s v="07/10/2021"/>
        <s v="04/04/2022"/>
        <s v="13/03/2018"/>
        <s v="30/08/2022"/>
        <s v="12/12/2022"/>
        <s v="15/09/2017"/>
        <s v="08/04/2020"/>
        <s v="08/06/2020"/>
        <s v="10/08/2021"/>
        <s v="28/01/2021"/>
        <s v="27/01/2017"/>
        <s v="12/05/2023"/>
        <s v="27/07/2018"/>
        <s v="11/06/2019"/>
        <s v="18/10/2017"/>
        <s v="12/06/2019"/>
        <s v="21/05/2019"/>
        <s v="28/11/2018"/>
        <s v="11/2016"/>
        <s v="12/2018"/>
        <s v="15/06/2022"/>
        <s v="29/09/2020"/>
        <s v="30/06/2020"/>
      </sharedItems>
    </cacheField>
    <cacheField name="Keywords" numFmtId="0">
      <sharedItems containsBlank="1">
        <m/>
        <s v="collective, decolonial, petition"/>
        <s v="manifest machine-learning, neural-network, decentralized, manifesto, artificial-intelligence, neural-networks, floss, cognitive-science, decentralization, anarchy, anarchism, skynet, transhumanism, anarcho-capitalism, austrian-school-economics"/>
        <s v="tech, principles"/>
        <s v="Robot ethics, principles of robotics, responsible innovation"/>
        <s v="tech, manifesto"/>
        <s v="tech, principles, Cybersecurity, Data Responsibility, New Collar Jobs, THINK Policy"/>
        <s v="stakeholders, industry, OpenAI, collective"/>
        <s v="academic"/>
        <s v="mixed, academia, stem, social sciences, industry"/>
        <s v="tech, practices"/>
        <s v="mixed countries"/>
      </sharedItems>
    </cacheField>
    <cacheField name="Exclusion criteria" numFmtId="0">
      <sharedItems containsString="0" containsBlank="1">
        <m/>
      </sharedItems>
    </cacheField>
    <cacheField name="Status" numFmtId="0">
      <sharedItems>
        <s v="Not included"/>
        <s v="included"/>
        <s v="maybe"/>
      </sharedItems>
    </cacheField>
    <cacheField name="Label" numFmtId="0">
      <sharedItems containsBlank="1">
        <s v="meta analysis"/>
        <s v="not cited"/>
        <s v="not accessible"/>
        <s v="SPI"/>
        <s v="SPI field-specific"/>
        <s v="not in english"/>
        <s v="SPI, issue-specific"/>
        <s v="not ai ethics"/>
        <s v="initial url does not work and couldn't find new url"/>
        <s v="SPI issue-specific"/>
        <s v="digital"/>
        <s v="meta-analysis"/>
        <s v="SPI digital"/>
        <m/>
        <s v="field-specific"/>
        <s v="SPI (study)"/>
        <s v="tool"/>
        <s v="issue-specific"/>
        <s v="SPI digital issue-specific"/>
        <s v="press"/>
        <s v="not english"/>
        <s v="SPI, digital"/>
        <s v="digital issue-specific"/>
        <s v="SPI (strategy)"/>
        <s v="SPI, field-specific"/>
        <s v="SPI (study), field-specific"/>
        <s v="digital field-specific"/>
        <s v="SPI, techno-specific, issue-specific"/>
        <s v="binding"/>
        <s v="SPI techno-specific"/>
        <s v="not ai, not ai ethics"/>
        <s v="draft"/>
        <s v="not ai"/>
        <s v="not prescriptive (comments on other texts)"/>
        <s v="not a text"/>
        <s v="SPI, field-specific, issue-specific"/>
        <s v="not in english, not accessible"/>
        <s v="SPI (policy)"/>
        <s v="policy"/>
        <s v="SPI (study), issue-specific"/>
        <s v="not prescriptive (binding)"/>
        <s v="digital techno-specific"/>
        <s v="not prescriptive (tool)"/>
        <s v="SPI, techno-specific"/>
        <s v="SPI techno-specific field-specific"/>
        <s v="summary of AI Act"/>
        <s v="not prescriptive"/>
        <s v="not in english, not prescriptive"/>
        <s v="not prescriptive (strategy)"/>
        <s v="not accessible (project website)"/>
        <s v="SPI digital field-specific"/>
        <s v="SPI (study), field-specific, issue-specific"/>
        <s v="SPI, digital, techno-specific"/>
        <s v="not prescriptive, list of reports"/>
        <s v="not final"/>
        <s v="SPI(strategy)"/>
        <s v="not prescriptive (study), not accessible"/>
        <s v="not prescriptive (impact assessment)"/>
        <s v="not in english (translation)"/>
        <s v="SPI, digital, field-specific"/>
        <s v="not a charter"/>
        <s v="hard to crawl"/>
        <s v="techno-specific"/>
        <s v="field-specific, digital"/>
        <s v="field-specific, issue-specific"/>
        <s v="SPI sector-specific"/>
        <s v="field-specific issue-specific"/>
        <s v="same as below"/>
        <s v="SPI, digital, issue-specific"/>
        <s v="not found"/>
        <s v="same as A724"/>
        <s v="issue-specific, field-specific"/>
      </sharedItems>
    </cacheField>
    <cacheField name="MapAIE (ours)" numFmtId="0">
      <sharedItems containsSemiMixedTypes="0" containsString="0" containsNumber="1" containsInteger="1">
        <n v="0.0"/>
        <n v="1.0"/>
      </sharedItems>
    </cacheField>
    <cacheField name="Jobin" numFmtId="0">
      <sharedItems containsString="0" containsBlank="1" containsNumber="1" containsInteger="1">
        <m/>
        <n v="1.0"/>
      </sharedItems>
    </cacheField>
    <cacheField name="Fjeld" numFmtId="0">
      <sharedItems containsString="0" containsBlank="1" containsNumber="1" containsInteger="1">
        <m/>
        <n v="1.0"/>
      </sharedItems>
    </cacheField>
    <cacheField name="Tidjon" numFmtId="0">
      <sharedItems containsString="0" containsBlank="1" containsNumber="1" containsInteger="1">
        <m/>
        <n v="1.0"/>
      </sharedItems>
    </cacheField>
    <cacheField name="Hagendorff" numFmtId="0">
      <sharedItems containsString="0" containsBlank="1" containsNumber="1" containsInteger="1">
        <m/>
        <n v="1.0"/>
      </sharedItems>
    </cacheField>
    <cacheField name="Floridi" numFmtId="0">
      <sharedItems containsString="0" containsBlank="1" containsNumber="1" containsInteger="1">
        <m/>
        <n v="1.0"/>
      </sharedItems>
    </cacheField>
    <cacheField name="Zeng (LAIP)" numFmtId="0">
      <sharedItems containsString="0" containsBlank="1" containsNumber="1" containsInteger="1">
        <m/>
        <n v="1.0"/>
      </sharedItems>
    </cacheField>
    <cacheField name="Attard-Frost" numFmtId="0">
      <sharedItems containsString="0" containsBlank="1" containsNumber="1" containsInteger="1">
        <m/>
        <n v="1.0"/>
      </sharedItems>
    </cacheField>
    <cacheField name="EP" numFmtId="0">
      <sharedItems containsString="0" containsBlank="1" containsNumber="1" containsInteger="1">
        <m/>
        <n v="1.0"/>
      </sharedItems>
    </cacheField>
    <cacheField name="Algorithm watch" numFmtId="0">
      <sharedItems containsString="0" containsBlank="1" containsNumber="1" containsInteger="1">
        <m/>
        <n v="1.0"/>
      </sharedItems>
    </cacheField>
    <cacheField name="CE" numFmtId="0">
      <sharedItems containsString="0" containsBlank="1" containsNumber="1" containsInteger="1">
        <m/>
        <n v="1.0"/>
        <n v="0.0"/>
      </sharedItems>
    </cacheField>
    <cacheField name="Winfield" numFmtId="0">
      <sharedItems containsString="0" containsBlank="1" containsNumber="1" containsInteger="1">
        <n v="1.0"/>
        <m/>
      </sharedItems>
    </cacheField>
    <cacheField name="EthicalML GitHub" numFmtId="0">
      <sharedItems containsString="0" containsBlank="1" containsNumber="1" containsInteger="1">
        <m/>
        <n v="1.0"/>
      </sharedItems>
    </cacheField>
    <cacheField name="all sources" numFmtId="0">
      <sharedItems containsString="0" containsBlank="1" containsNumber="1" containsInteger="1">
        <n v="1.0"/>
        <n v="0.0"/>
        <n v="2.0"/>
        <n v="3.0"/>
        <n v="5.0"/>
        <n v="6.0"/>
        <n v="8.0"/>
        <n v="4.0"/>
        <n v="9.0"/>
        <n v="12.0"/>
        <m/>
        <n v="10.0"/>
        <n v="11.0"/>
        <n v="7.0"/>
      </sharedItems>
    </cacheField>
    <cacheField name="Checked by" numFmtId="0">
      <sharedItems>
        <s v="Maria"/>
        <s v="Simon"/>
        <s v="Tiphaine"/>
        <s v="Mel"/>
        <s v="Maria, Simon, Tiphain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3" cacheId="0" dataCaption="" compact="0" compactData="0">
  <location ref="A1:E25" firstHeaderRow="0" firstDataRow="1" firstDataCol="1"/>
  <pivotFields>
    <pivotField name="Name of the docu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name="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Autho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ffiliates" compact="0" outline="0" multipleItemSelectionAllowed="1" showAll="0">
      <items>
        <item x="0"/>
        <item x="1"/>
        <item x="2"/>
        <item x="3"/>
        <item x="4"/>
        <item x="5"/>
        <item x="6"/>
        <item x="7"/>
        <item x="8"/>
        <item x="9"/>
        <item x="10"/>
        <item x="11"/>
        <item x="12"/>
        <item t="default"/>
      </items>
    </pivotField>
    <pivotField name="Sector" axis="axisRow" compact="0" outline="0" multipleItemSelectionAllowed="1" showAll="0" sortType="ascending">
      <items>
        <item x="0"/>
        <item x="4"/>
        <item x="18"/>
        <item x="17"/>
        <item x="2"/>
        <item x="1"/>
        <item x="10"/>
        <item x="19"/>
        <item x="9"/>
        <item x="12"/>
        <item x="11"/>
        <item x="3"/>
        <item x="7"/>
        <item x="20"/>
        <item x="16"/>
        <item x="13"/>
        <item x="5"/>
        <item x="8"/>
        <item x="21"/>
        <item x="6"/>
        <item x="14"/>
        <item x="15"/>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Keywords" compact="0" outline="0" multipleItemSelectionAllowed="1" showAll="0">
      <items>
        <item x="0"/>
        <item x="1"/>
        <item x="2"/>
        <item x="3"/>
        <item x="4"/>
        <item x="5"/>
        <item x="6"/>
        <item x="7"/>
        <item x="8"/>
        <item x="9"/>
        <item x="10"/>
        <item x="11"/>
        <item t="default"/>
      </items>
    </pivotField>
    <pivotField name="Exclusion criteria" compact="0" outline="0" multipleItemSelectionAllowed="1" showAll="0">
      <items>
        <item x="0"/>
        <item t="default"/>
      </items>
    </pivotField>
    <pivotField name="Status" axis="axisCol" compact="0" outline="0" multipleItemSelectionAllowed="1" showAll="0" sortType="ascending">
      <items>
        <item x="1"/>
        <item x="2"/>
        <item x="0"/>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apAIE (ours)" compact="0" outline="0" multipleItemSelectionAllowed="1" showAll="0">
      <items>
        <item x="0"/>
        <item x="1"/>
        <item t="default"/>
      </items>
    </pivotField>
    <pivotField name="Jobin" compact="0" outline="0" multipleItemSelectionAllowed="1" showAll="0">
      <items>
        <item x="0"/>
        <item x="1"/>
        <item t="default"/>
      </items>
    </pivotField>
    <pivotField name="Fjeld" compact="0" outline="0" multipleItemSelectionAllowed="1" showAll="0">
      <items>
        <item x="0"/>
        <item x="1"/>
        <item t="default"/>
      </items>
    </pivotField>
    <pivotField name="Tidjon" compact="0" outline="0" multipleItemSelectionAllowed="1" showAll="0">
      <items>
        <item x="0"/>
        <item x="1"/>
        <item t="default"/>
      </items>
    </pivotField>
    <pivotField name="Hagendorff" compact="0" outline="0" multipleItemSelectionAllowed="1" showAll="0">
      <items>
        <item x="0"/>
        <item x="1"/>
        <item t="default"/>
      </items>
    </pivotField>
    <pivotField name="Floridi" compact="0" outline="0" multipleItemSelectionAllowed="1" showAll="0">
      <items>
        <item x="0"/>
        <item x="1"/>
        <item t="default"/>
      </items>
    </pivotField>
    <pivotField name="Zeng (LAIP)" compact="0" outline="0" multipleItemSelectionAllowed="1" showAll="0">
      <items>
        <item x="0"/>
        <item x="1"/>
        <item t="default"/>
      </items>
    </pivotField>
    <pivotField name="Attard-Frost" compact="0" outline="0" multipleItemSelectionAllowed="1" showAll="0">
      <items>
        <item x="0"/>
        <item x="1"/>
        <item t="default"/>
      </items>
    </pivotField>
    <pivotField name="EP" compact="0" outline="0" multipleItemSelectionAllowed="1" showAll="0">
      <items>
        <item x="0"/>
        <item x="1"/>
        <item t="default"/>
      </items>
    </pivotField>
    <pivotField name="Algorithm watch" compact="0" outline="0" multipleItemSelectionAllowed="1" showAll="0">
      <items>
        <item x="0"/>
        <item x="1"/>
        <item t="default"/>
      </items>
    </pivotField>
    <pivotField name="CE" compact="0" outline="0" multipleItemSelectionAllowed="1" showAll="0">
      <items>
        <item x="0"/>
        <item x="1"/>
        <item x="2"/>
        <item t="default"/>
      </items>
    </pivotField>
    <pivotField name="Winfield" compact="0" outline="0" multipleItemSelectionAllowed="1" showAll="0">
      <items>
        <item x="0"/>
        <item x="1"/>
        <item t="default"/>
      </items>
    </pivotField>
    <pivotField name="EthicalML GitHub" compact="0" outline="0" multipleItemSelectionAllowed="1" showAll="0">
      <items>
        <item x="0"/>
        <item x="1"/>
        <item t="default"/>
      </items>
    </pivotField>
    <pivotField name="all sources" compact="0" outline="0" multipleItemSelectionAllowed="1" showAll="0">
      <items>
        <item x="0"/>
        <item x="1"/>
        <item x="2"/>
        <item x="3"/>
        <item x="4"/>
        <item x="5"/>
        <item x="6"/>
        <item x="7"/>
        <item x="8"/>
        <item x="9"/>
        <item x="10"/>
        <item x="11"/>
        <item x="12"/>
        <item x="13"/>
        <item t="default"/>
      </items>
    </pivotField>
    <pivotField name="Checked by" compact="0" outline="0" multipleItemSelectionAllowed="1" showAll="0">
      <items>
        <item x="0"/>
        <item x="1"/>
        <item x="2"/>
        <item x="3"/>
        <item x="4"/>
        <item t="default"/>
      </items>
    </pivotField>
    <pivotField name="Rando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t="default"/>
      </items>
    </pivotField>
  </pivotFields>
  <rowFields>
    <field x="5"/>
  </rowFields>
  <colFields>
    <field x="10"/>
  </colFields>
</pivotTableDefinition>
</file>

<file path=xl/pivotTables/pivotTable2.xml><?xml version="1.0" encoding="utf-8"?>
<pivotTableDefinition xmlns="http://schemas.openxmlformats.org/spreadsheetml/2006/main" name="Statistics" cacheId="1" dataCaption="" compact="0" compactData="0">
  <location ref="H3:L10" firstHeaderRow="0" firstDataRow="1" firstDataCol="1"/>
  <pivotFields>
    <pivotField name="Name of the docu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name="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Autho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ffiliates" compact="0" outline="0" multipleItemSelectionAllowed="1" showAll="0">
      <items>
        <item x="0"/>
        <item x="1"/>
        <item x="2"/>
        <item x="3"/>
        <item x="4"/>
        <item x="5"/>
        <item x="6"/>
        <item x="7"/>
        <item x="8"/>
        <item x="9"/>
        <item x="10"/>
        <item x="11"/>
        <item x="12"/>
        <item t="default"/>
      </items>
    </pivotField>
    <pivotField name="Sec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Keywords" compact="0" outline="0" multipleItemSelectionAllowed="1" showAll="0">
      <items>
        <item x="0"/>
        <item x="1"/>
        <item x="2"/>
        <item x="3"/>
        <item x="4"/>
        <item x="5"/>
        <item x="6"/>
        <item x="7"/>
        <item x="8"/>
        <item x="9"/>
        <item x="10"/>
        <item x="11"/>
        <item t="default"/>
      </items>
    </pivotField>
    <pivotField name="Exclusion criteria" compact="0" outline="0" multipleItemSelectionAllowed="1" showAll="0">
      <items>
        <item x="0"/>
        <item t="default"/>
      </items>
    </pivotField>
    <pivotField name="Status" axis="axisCol" dataField="1" compact="0" outline="0" multipleItemSelectionAllowed="1" showAll="0" sortType="ascending">
      <items>
        <item x="1"/>
        <item x="2"/>
        <item x="0"/>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MapAIE (ours)" compact="0" outline="0" multipleItemSelectionAllowed="1" showAll="0">
      <items>
        <item x="0"/>
        <item x="1"/>
        <item t="default"/>
      </items>
    </pivotField>
    <pivotField name="Jobin" compact="0" outline="0" multipleItemSelectionAllowed="1" showAll="0">
      <items>
        <item x="0"/>
        <item x="1"/>
        <item t="default"/>
      </items>
    </pivotField>
    <pivotField name="Fjeld" compact="0" outline="0" multipleItemSelectionAllowed="1" showAll="0">
      <items>
        <item x="0"/>
        <item x="1"/>
        <item t="default"/>
      </items>
    </pivotField>
    <pivotField name="Tidjon" compact="0" outline="0" multipleItemSelectionAllowed="1" showAll="0">
      <items>
        <item x="0"/>
        <item x="1"/>
        <item t="default"/>
      </items>
    </pivotField>
    <pivotField name="Hagendorff" compact="0" outline="0" multipleItemSelectionAllowed="1" showAll="0">
      <items>
        <item x="0"/>
        <item x="1"/>
        <item t="default"/>
      </items>
    </pivotField>
    <pivotField name="Floridi" compact="0" outline="0" multipleItemSelectionAllowed="1" showAll="0">
      <items>
        <item x="0"/>
        <item x="1"/>
        <item t="default"/>
      </items>
    </pivotField>
    <pivotField name="Zeng (LAIP)" compact="0" outline="0" multipleItemSelectionAllowed="1" showAll="0">
      <items>
        <item x="0"/>
        <item x="1"/>
        <item t="default"/>
      </items>
    </pivotField>
    <pivotField name="Attard-Frost" compact="0" outline="0" multipleItemSelectionAllowed="1" showAll="0">
      <items>
        <item x="0"/>
        <item x="1"/>
        <item t="default"/>
      </items>
    </pivotField>
    <pivotField name="EP" compact="0" outline="0" multipleItemSelectionAllowed="1" showAll="0">
      <items>
        <item x="0"/>
        <item x="1"/>
        <item t="default"/>
      </items>
    </pivotField>
    <pivotField name="Algorithm watch" compact="0" outline="0" multipleItemSelectionAllowed="1" showAll="0">
      <items>
        <item x="0"/>
        <item x="1"/>
        <item t="default"/>
      </items>
    </pivotField>
    <pivotField name="CE" compact="0" outline="0" multipleItemSelectionAllowed="1" showAll="0">
      <items>
        <item x="0"/>
        <item x="1"/>
        <item x="2"/>
        <item t="default"/>
      </items>
    </pivotField>
    <pivotField name="Winfield" compact="0" outline="0" multipleItemSelectionAllowed="1" showAll="0">
      <items>
        <item x="0"/>
        <item x="1"/>
        <item t="default"/>
      </items>
    </pivotField>
    <pivotField name="EthicalML GitHub" compact="0" outline="0" multipleItemSelectionAllowed="1" showAll="0">
      <items>
        <item x="0"/>
        <item x="1"/>
        <item t="default"/>
      </items>
    </pivotField>
    <pivotField name="all sources" compact="0" outline="0" multipleItemSelectionAllowed="1" showAll="0">
      <items>
        <item x="0"/>
        <item x="1"/>
        <item x="2"/>
        <item x="3"/>
        <item x="4"/>
        <item x="5"/>
        <item x="6"/>
        <item x="7"/>
        <item x="8"/>
        <item x="9"/>
        <item x="10"/>
        <item x="11"/>
        <item x="12"/>
        <item x="13"/>
        <item t="default"/>
      </items>
    </pivotField>
    <pivotField name="Checked by" axis="axisRow" compact="0" outline="0" multipleItemSelectionAllowed="1" showAll="0" sortType="ascending">
      <items>
        <item x="0"/>
        <item x="4"/>
        <item x="3"/>
        <item x="1"/>
        <item x="2"/>
        <item t="default"/>
      </items>
    </pivotField>
  </pivotFields>
  <rowFields>
    <field x="26"/>
  </rowFields>
  <colFields>
    <field x="10"/>
  </colFields>
  <dataFields>
    <dataField name="COUNTA of Status" fld="10" subtotal="count" baseField="0"/>
  </dataFields>
</pivotTableDefinition>
</file>

<file path=xl/pivotTables/pivotTable3.xml><?xml version="1.0" encoding="utf-8"?>
<pivotTableDefinition xmlns="http://schemas.openxmlformats.org/spreadsheetml/2006/main" name="Statistics 2" cacheId="0" dataCaption="" compact="0" compactData="0">
  <location ref="H15:CH23" firstHeaderRow="0" firstDataRow="1" firstDataCol="2"/>
  <pivotFields>
    <pivotField name="Name of the docu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name="Instit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ame="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name="Autho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ffiliates" compact="0" outline="0" multipleItemSelectionAllowed="1" showAll="0">
      <items>
        <item x="0"/>
        <item x="1"/>
        <item x="2"/>
        <item x="3"/>
        <item x="4"/>
        <item x="5"/>
        <item x="6"/>
        <item x="7"/>
        <item x="8"/>
        <item x="9"/>
        <item x="10"/>
        <item x="11"/>
        <item x="12"/>
        <item t="default"/>
      </items>
    </pivotField>
    <pivotField name="Sec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Keywords" compact="0" outline="0" multipleItemSelectionAllowed="1" showAll="0">
      <items>
        <item x="0"/>
        <item x="1"/>
        <item x="2"/>
        <item x="3"/>
        <item x="4"/>
        <item x="5"/>
        <item x="6"/>
        <item x="7"/>
        <item x="8"/>
        <item x="9"/>
        <item x="10"/>
        <item x="11"/>
        <item t="default"/>
      </items>
    </pivotField>
    <pivotField name="Exclusion criteria" compact="0" outline="0" multipleItemSelectionAllowed="1" showAll="0">
      <items>
        <item x="0"/>
        <item t="default"/>
      </items>
    </pivotField>
    <pivotField name="Status" axis="axisCol" compact="0" outline="0" multipleItemSelectionAllowed="1" showAll="0" sortType="ascending">
      <items>
        <item x="1"/>
        <item sd="0" x="2"/>
        <item x="0"/>
        <item t="default"/>
      </items>
    </pivotField>
    <pivotField name="Label" axis="axisCol" dataField="1" compact="0" outline="0" multipleItemSelectionAllowed="1" showAll="0" sortType="ascending">
      <items>
        <item x="13"/>
        <item x="28"/>
        <item x="10"/>
        <item x="26"/>
        <item x="22"/>
        <item x="41"/>
        <item x="31"/>
        <item x="14"/>
        <item x="66"/>
        <item x="63"/>
        <item x="64"/>
        <item x="61"/>
        <item x="8"/>
        <item x="17"/>
        <item x="71"/>
        <item x="0"/>
        <item x="11"/>
        <item x="60"/>
        <item x="34"/>
        <item x="2"/>
        <item x="49"/>
        <item x="32"/>
        <item x="7"/>
        <item x="30"/>
        <item x="1"/>
        <item x="20"/>
        <item x="54"/>
        <item x="69"/>
        <item x="5"/>
        <item x="58"/>
        <item x="36"/>
        <item x="47"/>
        <item x="46"/>
        <item x="40"/>
        <item x="33"/>
        <item x="57"/>
        <item x="48"/>
        <item x="56"/>
        <item x="42"/>
        <item x="53"/>
        <item x="38"/>
        <item x="19"/>
        <item x="70"/>
        <item x="67"/>
        <item x="3"/>
        <item x="37"/>
        <item x="23"/>
        <item x="15"/>
        <item x="25"/>
        <item x="51"/>
        <item x="39"/>
        <item x="12"/>
        <item x="50"/>
        <item x="18"/>
        <item x="4"/>
        <item x="9"/>
        <item x="65"/>
        <item x="29"/>
        <item x="44"/>
        <item x="21"/>
        <item x="59"/>
        <item x="68"/>
        <item x="52"/>
        <item x="24"/>
        <item x="35"/>
        <item x="6"/>
        <item x="43"/>
        <item x="27"/>
        <item x="55"/>
        <item x="45"/>
        <item x="62"/>
        <item x="16"/>
        <item t="default"/>
      </items>
    </pivotField>
    <pivotField name="MapAIE (ours)" compact="0" outline="0" multipleItemSelectionAllowed="1" showAll="0">
      <items>
        <item x="0"/>
        <item x="1"/>
        <item t="default"/>
      </items>
    </pivotField>
    <pivotField name="Jobin" compact="0" outline="0" multipleItemSelectionAllowed="1" showAll="0">
      <items>
        <item x="0"/>
        <item x="1"/>
        <item t="default"/>
      </items>
    </pivotField>
    <pivotField name="Fjeld" compact="0" outline="0" multipleItemSelectionAllowed="1" showAll="0">
      <items>
        <item x="0"/>
        <item x="1"/>
        <item t="default"/>
      </items>
    </pivotField>
    <pivotField name="Tidjon" compact="0" outline="0" multipleItemSelectionAllowed="1" showAll="0">
      <items>
        <item x="0"/>
        <item x="1"/>
        <item t="default"/>
      </items>
    </pivotField>
    <pivotField name="Hagendorff" compact="0" outline="0" multipleItemSelectionAllowed="1" showAll="0">
      <items>
        <item x="0"/>
        <item x="1"/>
        <item t="default"/>
      </items>
    </pivotField>
    <pivotField name="Floridi" compact="0" outline="0" multipleItemSelectionAllowed="1" showAll="0">
      <items>
        <item x="0"/>
        <item x="1"/>
        <item t="default"/>
      </items>
    </pivotField>
    <pivotField name="Zeng (LAIP)" compact="0" outline="0" multipleItemSelectionAllowed="1" showAll="0">
      <items>
        <item x="0"/>
        <item x="1"/>
        <item t="default"/>
      </items>
    </pivotField>
    <pivotField name="Attard-Frost" compact="0" outline="0" multipleItemSelectionAllowed="1" showAll="0">
      <items>
        <item x="0"/>
        <item x="1"/>
        <item t="default"/>
      </items>
    </pivotField>
    <pivotField name="EP" compact="0" outline="0" multipleItemSelectionAllowed="1" showAll="0">
      <items>
        <item x="0"/>
        <item x="1"/>
        <item t="default"/>
      </items>
    </pivotField>
    <pivotField name="Algorithm watch" compact="0" outline="0" multipleItemSelectionAllowed="1" showAll="0">
      <items>
        <item x="0"/>
        <item x="1"/>
        <item t="default"/>
      </items>
    </pivotField>
    <pivotField name="CE" compact="0" outline="0" multipleItemSelectionAllowed="1" showAll="0">
      <items>
        <item x="0"/>
        <item x="1"/>
        <item x="2"/>
        <item t="default"/>
      </items>
    </pivotField>
    <pivotField name="Winfield" compact="0" outline="0" multipleItemSelectionAllowed="1" showAll="0">
      <items>
        <item x="0"/>
        <item x="1"/>
        <item t="default"/>
      </items>
    </pivotField>
    <pivotField name="EthicalML GitHub" compact="0" outline="0" multipleItemSelectionAllowed="1" showAll="0">
      <items>
        <item x="0"/>
        <item x="1"/>
        <item t="default"/>
      </items>
    </pivotField>
    <pivotField name="all sources" compact="0" outline="0" multipleItemSelectionAllowed="1" showAll="0">
      <items>
        <item x="0"/>
        <item x="1"/>
        <item x="2"/>
        <item x="3"/>
        <item x="4"/>
        <item x="5"/>
        <item x="6"/>
        <item x="7"/>
        <item x="8"/>
        <item x="9"/>
        <item x="10"/>
        <item x="11"/>
        <item x="12"/>
        <item x="13"/>
        <item t="default"/>
      </items>
    </pivotField>
    <pivotField name="Checked by" axis="axisRow" compact="0" outline="0" multipleItemSelectionAllowed="1" showAll="0" sortType="ascending">
      <items>
        <item x="0"/>
        <item x="4"/>
        <item x="3"/>
        <item x="1"/>
        <item x="2"/>
        <item t="default"/>
      </items>
    </pivotField>
    <pivotField name="Rando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t="default"/>
      </items>
    </pivotField>
  </pivotFields>
  <rowFields>
    <field x="26"/>
  </rowFields>
  <colFields>
    <field x="10"/>
    <field x="11"/>
  </colFields>
  <dataFields>
    <dataField name="COUNTA of Label" fld="1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ewi-vlaanderen.be/sites/default/files/quaternota_aan_de_vlaamse_regering_-_vlaams_beleidsplan_artificiele_intelligentie.pdf" TargetMode="External"/><Relationship Id="rId194" Type="http://schemas.openxmlformats.org/officeDocument/2006/relationships/hyperlink" Target="http://www.informatizacia.sk/strategicke-priority-erf/24190c" TargetMode="External"/><Relationship Id="rId193" Type="http://schemas.openxmlformats.org/officeDocument/2006/relationships/hyperlink" Target="http://www.informatizacia.sk/narodna-koncepcia-informatizacie-verejnej-spravy--2016-/22662c" TargetMode="External"/><Relationship Id="rId192" Type="http://schemas.openxmlformats.org/officeDocument/2006/relationships/hyperlink" Target="http://harmonious-ai.org/" TargetMode="External"/><Relationship Id="rId191" Type="http://schemas.openxmlformats.org/officeDocument/2006/relationships/hyperlink" Target="https://malta.ai/wp-content/uploads/2019/08/Malta_Towards_Ethical_and_Trustworthy_AI.pdf" TargetMode="External"/><Relationship Id="rId187" Type="http://schemas.openxmlformats.org/officeDocument/2006/relationships/hyperlink" Target="https://www.gov.uk/government/publications/artificial-intelligence-sector-deal" TargetMode="External"/><Relationship Id="rId186" Type="http://schemas.openxmlformats.org/officeDocument/2006/relationships/hyperlink" Target="https://www.fhi.ox.ac.uk/wp-content/uploads/GovAI-Agenda.pdf" TargetMode="External"/><Relationship Id="rId185" Type="http://schemas.openxmlformats.org/officeDocument/2006/relationships/hyperlink" Target="https://www.europarl.europa.eu/RegData/etudes/STUD/2022/703345/IPOL_STU(2022)703345_EN.pdf" TargetMode="External"/><Relationship Id="rId184" Type="http://schemas.openxmlformats.org/officeDocument/2006/relationships/hyperlink" Target="https://www.europarl.europa.eu/doceo/document/TA-8-2019-0081_EN.html" TargetMode="External"/><Relationship Id="rId189" Type="http://schemas.openxmlformats.org/officeDocument/2006/relationships/hyperlink" Target="https://www.pna.gov.ph/articles/1075265" TargetMode="External"/><Relationship Id="rId188" Type="http://schemas.openxmlformats.org/officeDocument/2006/relationships/hyperlink" Target="https://www.bmi.bund.de/SharedDocs/downloads/EN/themen/it-digital-policy/recommendations-data-ethics-commission.pdf;jsessionid=F3332ECDBF9E5FFDB93910C64986F0D9.2_cid295?__blob=publicationFile&amp;v=4" TargetMode="External"/><Relationship Id="rId183" Type="http://schemas.openxmlformats.org/officeDocument/2006/relationships/hyperlink" Target="https://policysearch.ama-assn.org/policyfinder/detail/augmented%20intelligence?uri=%2FAMADoc%2FHOD.xml-H-480.940.xml" TargetMode="External"/><Relationship Id="rId182" Type="http://schemas.openxmlformats.org/officeDocument/2006/relationships/hyperlink" Target="https://www.gov.uk/government/news/new-national-innovation-centre-to-put-uk-at-forefront-of-big-data" TargetMode="External"/><Relationship Id="rId181" Type="http://schemas.openxmlformats.org/officeDocument/2006/relationships/hyperlink" Target="https://digital-strategy.ec.europa.eu/en/library/coordinated-plan-artificial-intelligence-2021-review" TargetMode="External"/><Relationship Id="rId180" Type="http://schemas.openxmlformats.org/officeDocument/2006/relationships/hyperlink" Target="https://www.gov.uk/government/uploads/system/uploads/attachment_data/file/709519/2018-05_PSD_Debt_and_Fraud_Draft_Information_Sharing_Code_of_Practice.pdf" TargetMode="External"/><Relationship Id="rId176" Type="http://schemas.openxmlformats.org/officeDocument/2006/relationships/hyperlink" Target="https://dataforgood.fr/projects/sermenthippocrate/" TargetMode="External"/><Relationship Id="rId297" Type="http://schemas.openxmlformats.org/officeDocument/2006/relationships/hyperlink" Target="https://www.nytimes.com/2019/03/01/business/ethical-ai-recommendations.html" TargetMode="External"/><Relationship Id="rId175" Type="http://schemas.openxmlformats.org/officeDocument/2006/relationships/hyperlink" Target="https://ec.europa.eu/newsroom/dae/document.cfm?doc_id=68342" TargetMode="External"/><Relationship Id="rId296" Type="http://schemas.openxmlformats.org/officeDocument/2006/relationships/hyperlink" Target="https://www.europarl.europa.eu/RegData/etudes/STUD/2018/626074/IPOL_STU(2018)626074_EN.pdf" TargetMode="External"/><Relationship Id="rId174" Type="http://schemas.openxmlformats.org/officeDocument/2006/relationships/hyperlink" Target="https://blogs.blackberry.com/en/2019/09/the-ai-manifesto" TargetMode="External"/><Relationship Id="rId295" Type="http://schemas.openxmlformats.org/officeDocument/2006/relationships/hyperlink" Target="https://rm.coe.int/responsability-and-ai-en/168097d9c5" TargetMode="External"/><Relationship Id="rId173" Type="http://schemas.openxmlformats.org/officeDocument/2006/relationships/hyperlink" Target="https://rm.coe.int/algorithms-and-human-rights-en-rev/16807956b5" TargetMode="External"/><Relationship Id="rId294" Type="http://schemas.openxmlformats.org/officeDocument/2006/relationships/hyperlink" Target="https://www.pdpc.gov.sg/-/media/files/pdpc/pdf-files/resource-for-organisation/ai/sgmodelaigovframework2.ashx" TargetMode="External"/><Relationship Id="rId179" Type="http://schemas.openxmlformats.org/officeDocument/2006/relationships/hyperlink" Target="https://www.oii.ox.ac.uk/news-events/reports/harmonising-artificial-intelligence/" TargetMode="External"/><Relationship Id="rId178" Type="http://schemas.openxmlformats.org/officeDocument/2006/relationships/hyperlink" Target="https://www.publicfirst.co.uk/wp-content/uploads/2019/05/A-way-forward-for-the-D9-in-the-age-of-AI-v4.pdf" TargetMode="External"/><Relationship Id="rId299" Type="http://schemas.openxmlformats.org/officeDocument/2006/relationships/hyperlink" Target="https://unesdoc.unesco.org/ark:/48223/pf0000375322" TargetMode="External"/><Relationship Id="rId177" Type="http://schemas.openxmlformats.org/officeDocument/2006/relationships/hyperlink" Target="https://pages.dataiku.com/white-paper-responsible-ai-myths?utm_id=14648494480--127992688035--545776075822--ethical%20ai&amp;utm_source=emea-adwords&amp;utm_medium=paid-search&amp;utm_campaign=CONTENT%20Responsible%20AI%20Myths%20vs%20Reality&amp;gclid=CjwKCAiA7IGcBhA8EiwAFfUDsX1aCtwtfikx-sgtn1Qyt22TtN5cXvgWsLrben7RhzJxi0rMv6IEbRoCfTAQAvD_BwE" TargetMode="External"/><Relationship Id="rId298" Type="http://schemas.openxmlformats.org/officeDocument/2006/relationships/hyperlink" Target="https://www.enisa.europa.eu/publications/artificial-intelligence-cybersecurity-challenges/@@download/fullReport" TargetMode="External"/><Relationship Id="rId198" Type="http://schemas.openxmlformats.org/officeDocument/2006/relationships/hyperlink" Target="https://digitalprinciples.org/" TargetMode="External"/><Relationship Id="rId197" Type="http://schemas.openxmlformats.org/officeDocument/2006/relationships/hyperlink" Target="https://www.oecd-ilibrary.org/docserver/840a2d9f-en.pdf?expires=1700910639&amp;id=id&amp;accname=guest&amp;checksum=B51C7549ABDB00F26FD7F4D8546E78D4" TargetMode="External"/><Relationship Id="rId196" Type="http://schemas.openxmlformats.org/officeDocument/2006/relationships/hyperlink" Target="https://standards.ieee.org/wp-content/uploads/import/documents/other/ead_v2.pdf" TargetMode="External"/><Relationship Id="rId195" Type="http://schemas.openxmlformats.org/officeDocument/2006/relationships/hyperlink" Target="http://www.europarl.europa.eu/doceo/document/TA-8-2019-0081_EN.pdf" TargetMode="External"/><Relationship Id="rId199" Type="http://schemas.openxmlformats.org/officeDocument/2006/relationships/hyperlink" Target="https://deon.drivendata.org/" TargetMode="External"/><Relationship Id="rId150" Type="http://schemas.openxmlformats.org/officeDocument/2006/relationships/hyperlink" Target="https://pace.coe.int/files/28722/pdf" TargetMode="External"/><Relationship Id="rId271" Type="http://schemas.openxmlformats.org/officeDocument/2006/relationships/hyperlink" Target="https://www.cnil.fr/sites/default/files/atoms/files/cnil_rapport_ai_gb_web.pdf" TargetMode="External"/><Relationship Id="rId392" Type="http://schemas.openxmlformats.org/officeDocument/2006/relationships/hyperlink" Target="https://ai.google/static/documents/perspectives-on-issues-in-ai-governance.pdf" TargetMode="External"/><Relationship Id="rId270" Type="http://schemas.openxmlformats.org/officeDocument/2006/relationships/hyperlink" Target="https://opengovasia.com/plans-for-cloud-first-strategy-and-national-ai-framework-revealed-at-29th-msc-malaysia-implementation-council-meeting/" TargetMode="External"/><Relationship Id="rId391" Type="http://schemas.openxmlformats.org/officeDocument/2006/relationships/hyperlink" Target="https://ethicalos.org/wp-content/uploads/2018/08/Ethical-OS-Toolkit-2.pdf" TargetMode="External"/><Relationship Id="rId390" Type="http://schemas.openxmlformats.org/officeDocument/2006/relationships/hyperlink" Target="https://www.torontodeclaration.org/declaration-text/english/" TargetMode="External"/><Relationship Id="rId1" Type="http://schemas.openxmlformats.org/officeDocument/2006/relationships/hyperlink" Target="https://hdsr.mitpress.mit.edu/pub/l0jsh9d1/release/8" TargetMode="External"/><Relationship Id="rId2" Type="http://schemas.openxmlformats.org/officeDocument/2006/relationships/hyperlink" Target="https://manyfesto.ai/" TargetMode="External"/><Relationship Id="rId3" Type="http://schemas.openxmlformats.org/officeDocument/2006/relationships/hyperlink" Target="https://aiindex.stanford.edu/wp-content/uploads/2022/03/2022-AI-Index-Report_Master.pdf" TargetMode="External"/><Relationship Id="rId149" Type="http://schemas.openxmlformats.org/officeDocument/2006/relationships/hyperlink" Target="http://assembly.coe.int/nw/xml/XRef/Xref-XML2HTML-EN.asp?fileid=28598&amp;lang=en" TargetMode="External"/><Relationship Id="rId4" Type="http://schemas.openxmlformats.org/officeDocument/2006/relationships/hyperlink" Target="https://eur-lex.europa.eu/legal-content/en/TXT/?uri=CELEX%3A52021DC0118" TargetMode="External"/><Relationship Id="rId148" Type="http://schemas.openxmlformats.org/officeDocument/2006/relationships/hyperlink" Target="https://ec.europa.eu/futurium/en/system/files/ged/responsible_ai_consultation_-_public_recommendations_v1.0.pdf" TargetMode="External"/><Relationship Id="rId269" Type="http://schemas.openxmlformats.org/officeDocument/2006/relationships/hyperlink" Target="https://www.ideo.com/blog/ai-needs-an-ethical-compass-this-tool-can-help" TargetMode="External"/><Relationship Id="rId9" Type="http://schemas.openxmlformats.org/officeDocument/2006/relationships/hyperlink" Target="https://op.europa.eu/en/publication-detail/-/publication/082f1dbc-821d-11eb-9ac9-01aa75ed71a1" TargetMode="External"/><Relationship Id="rId143" Type="http://schemas.openxmlformats.org/officeDocument/2006/relationships/hyperlink" Target="https://www.digitalaustria.gv.at/dam/jcr:9b934433-f8e7-452f-bc86-cea60b214839/BMF%20Nationaler%20Fahrplan%202023-final-28112023-barrierefrei_EN_Korr.pdf" TargetMode="External"/><Relationship Id="rId264" Type="http://schemas.openxmlformats.org/officeDocument/2006/relationships/hyperlink" Target="https://assets.publishing.service.gov.uk/government/uploads/system/uploads/attachment_data/file/781745/Facial_Recognition_Briefing_BFEG_February_2019.pdf" TargetMode="External"/><Relationship Id="rId385" Type="http://schemas.openxmlformats.org/officeDocument/2006/relationships/hyperlink" Target="https://datapractices.org/manifesto/" TargetMode="External"/><Relationship Id="rId142" Type="http://schemas.openxmlformats.org/officeDocument/2006/relationships/hyperlink" Target="https://assets.kpmg.com/content/dam/kpmg/au/pdf/2021/trust-in-ai-multiple-countries.pdf" TargetMode="External"/><Relationship Id="rId263" Type="http://schemas.openxmlformats.org/officeDocument/2006/relationships/hyperlink" Target="https://www.philips.com/a-w/about/news/archive/blogs/innovation-matters/2020/20200121-five-guiding-principles-for-responsible-use-of-ai-in-healthcare-and-healthy-living.html" TargetMode="External"/><Relationship Id="rId384" Type="http://schemas.openxmlformats.org/officeDocument/2006/relationships/hyperlink" Target="https://www.cigionline.org/documents/1454/Paper%20No.178.pdf" TargetMode="External"/><Relationship Id="rId141" Type="http://schemas.openxmlformats.org/officeDocument/2006/relationships/hyperlink" Target="https://www.orange-business.com/en/blogs/ethics-vital-part-responsible-ai-deployment" TargetMode="External"/><Relationship Id="rId262" Type="http://schemas.openxmlformats.org/officeDocument/2006/relationships/hyperlink" Target="https://www.europarl.europa.eu/RegData/etudes/STUD/2019/624261/EPRS_STU(2019)624261_EN.pdf" TargetMode="External"/><Relationship Id="rId383" Type="http://schemas.openxmlformats.org/officeDocument/2006/relationships/hyperlink" Target="https://ico.org.uk/media/for-organisations/documents/1589/promotion_of_a_political_party.pdf" TargetMode="External"/><Relationship Id="rId140" Type="http://schemas.openxmlformats.org/officeDocument/2006/relationships/hyperlink" Target="https://aclanthology.org/W17-1604.pdf" TargetMode="External"/><Relationship Id="rId261" Type="http://schemas.openxmlformats.org/officeDocument/2006/relationships/hyperlink" Target="https://www.canada.ca/en/government/system/digital-government/modern-emerging-technologies/responsible-use-ai.html" TargetMode="External"/><Relationship Id="rId382" Type="http://schemas.openxmlformats.org/officeDocument/2006/relationships/hyperlink" Target="https://ico.org.uk/about-the-ico/news-and-events/news-and-blogs/2017/03/blog-big-data-and-the-insurance-sector/" TargetMode="External"/><Relationship Id="rId5" Type="http://schemas.openxmlformats.org/officeDocument/2006/relationships/hyperlink" Target="https://osf.io/preprints/socarxiv/j36ke/" TargetMode="External"/><Relationship Id="rId147" Type="http://schemas.openxmlformats.org/officeDocument/2006/relationships/hyperlink" Target="https://pace.coe.int/en/files/21694/html" TargetMode="External"/><Relationship Id="rId268" Type="http://schemas.openxmlformats.org/officeDocument/2006/relationships/hyperlink" Target="https://civilrights.org/2014/02/27/civil-rights-principles-era-big-data/" TargetMode="External"/><Relationship Id="rId389" Type="http://schemas.openxmlformats.org/officeDocument/2006/relationships/hyperlink" Target="https://www.europarl.europa.eu/RegData/etudes/STUD/2021/654212/EPRS_STU(2021)654212_EN.pdf" TargetMode="External"/><Relationship Id="rId6" Type="http://schemas.openxmlformats.org/officeDocument/2006/relationships/hyperlink" Target="http://it.people.com.cn/n1/2020/0309/c1009-31622757.html" TargetMode="External"/><Relationship Id="rId146" Type="http://schemas.openxmlformats.org/officeDocument/2006/relationships/hyperlink" Target="https://rm.coe.int/publication-content-prioritisation-report/1680a07a57" TargetMode="External"/><Relationship Id="rId267" Type="http://schemas.openxmlformats.org/officeDocument/2006/relationships/hyperlink" Target="https://www.europarl.europa.eu/doceo/document/TA-9-2021-0009_EN.pdf" TargetMode="External"/><Relationship Id="rId388" Type="http://schemas.openxmlformats.org/officeDocument/2006/relationships/hyperlink" Target="https://www.soumu.go.jp/main_content/000581310.pdf" TargetMode="External"/><Relationship Id="rId7" Type="http://schemas.openxmlformats.org/officeDocument/2006/relationships/hyperlink" Target="https://github.com/freeai-manifesto/manifesto" TargetMode="External"/><Relationship Id="rId145" Type="http://schemas.openxmlformats.org/officeDocument/2006/relationships/hyperlink" Target="https://publications.jrc.ec.europa.eu/repository/bitstream/JRC122684/ai_watch_report_national_ai_strategies.pdf" TargetMode="External"/><Relationship Id="rId266" Type="http://schemas.openxmlformats.org/officeDocument/2006/relationships/hyperlink" Target="https://www.vzbv.de/sites/default/files/downloads/2019/07/19/19-06-25_vzbv_positions_adm_control_summary_en.pdf" TargetMode="External"/><Relationship Id="rId387" Type="http://schemas.openxmlformats.org/officeDocument/2006/relationships/hyperlink" Target="https://www.soumu.go.jp/main_content/000507517.pdf" TargetMode="External"/><Relationship Id="rId8" Type="http://schemas.openxmlformats.org/officeDocument/2006/relationships/hyperlink" Target="https://publications.parliament.uk/pa/ld5802/ldselect/ldjusthom/180/180.pdf" TargetMode="External"/><Relationship Id="rId144" Type="http://schemas.openxmlformats.org/officeDocument/2006/relationships/hyperlink" Target="https://www3.nd.edu/~dhoward1/a-code-of-ethics-for-the-human-robot-interaction-profession-riek-howard.pdf" TargetMode="External"/><Relationship Id="rId265" Type="http://schemas.openxmlformats.org/officeDocument/2006/relationships/hyperlink" Target="https://www.meti.go.jp/shingikai/mono_info_service/ai_shakai_jisso/pdf/20220128_2.pdf" TargetMode="External"/><Relationship Id="rId386" Type="http://schemas.openxmlformats.org/officeDocument/2006/relationships/hyperlink" Target="http://www.giodo.gov.pl/pl/1520297/10068" TargetMode="External"/><Relationship Id="rId260" Type="http://schemas.openxmlformats.org/officeDocument/2006/relationships/hyperlink" Target="https://publications.iadb.org/publications/english/document/Responsible-use-of-AI-for-public-policy-Data-science-toolkit.pdf" TargetMode="External"/><Relationship Id="rId381" Type="http://schemas.openxmlformats.org/officeDocument/2006/relationships/hyperlink" Target="https://www.digicatapult.org.uk/wp-content/uploads/2023/06/DC_AI_Ethics_Framework-2021.pdf" TargetMode="External"/><Relationship Id="rId380" Type="http://schemas.openxmlformats.org/officeDocument/2006/relationships/hyperlink" Target="https://ico.org.uk/media/2617219/guidance-on-the-ai-auditing-framework-draft-for-consultation.pdf" TargetMode="External"/><Relationship Id="rId139" Type="http://schemas.openxmlformats.org/officeDocument/2006/relationships/hyperlink" Target="https://rm.coe.int/information-disorder-toward-an-interdisciplinary-framework-for-researc/168076277c" TargetMode="External"/><Relationship Id="rId138" Type="http://schemas.openxmlformats.org/officeDocument/2006/relationships/hyperlink" Target="https://www.venice.coe.int/webforms/documents/?pdf=CDL-AD(2019)016-e" TargetMode="External"/><Relationship Id="rId259" Type="http://schemas.openxmlformats.org/officeDocument/2006/relationships/hyperlink" Target="https://www.tisi.org/13747" TargetMode="External"/><Relationship Id="rId137" Type="http://schemas.openxmlformats.org/officeDocument/2006/relationships/hyperlink" Target="http://www.europarl.europa.eu/RegData/etudes/STUD/2019/624262/EPRS_STU(2019)624262_EN.pdf" TargetMode="External"/><Relationship Id="rId258" Type="http://schemas.openxmlformats.org/officeDocument/2006/relationships/hyperlink" Target="https://www.un.org/en/pdfs/DigitalCooperation-report-for%20web.pdf" TargetMode="External"/><Relationship Id="rId379" Type="http://schemas.openxmlformats.org/officeDocument/2006/relationships/hyperlink" Target="https://rm.coe.int/iris-special-2-2020en-artificial-intelligence-in-the-audiovisual-secto/1680a11e0b" TargetMode="External"/><Relationship Id="rId132" Type="http://schemas.openxmlformats.org/officeDocument/2006/relationships/hyperlink" Target="https://rm.coe.int/1680750d68" TargetMode="External"/><Relationship Id="rId253" Type="http://schemas.openxmlformats.org/officeDocument/2006/relationships/hyperlink" Target="https://webapi2016.eesc.europa.eu/v1/documents/EESC-2017-00654-00-00-AC-TRA-en.docx/content" TargetMode="External"/><Relationship Id="rId374" Type="http://schemas.openxmlformats.org/officeDocument/2006/relationships/hyperlink" Target="http://www.iiim.is/ethics-policy/" TargetMode="External"/><Relationship Id="rId495" Type="http://schemas.openxmlformats.org/officeDocument/2006/relationships/hyperlink" Target="https://d32j3j47emgb6f.cloudfront.net/wp-content/uploads/2021/01/AI_Impact_Assessment_A_Policy_Prototyping_Experiment.pdf" TargetMode="External"/><Relationship Id="rId131" Type="http://schemas.openxmlformats.org/officeDocument/2006/relationships/hyperlink" Target="https://search.coe.int/cm/Pages/result_details.aspx?ObjectID=0900001680790e14" TargetMode="External"/><Relationship Id="rId252" Type="http://schemas.openxmlformats.org/officeDocument/2006/relationships/hyperlink" Target="https://www.eesc.europa.eu/en/our-work/opinions-information-reports/opinions/investing-smart-innovative-and-sustainable-industry-referral" TargetMode="External"/><Relationship Id="rId373" Type="http://schemas.openxmlformats.org/officeDocument/2006/relationships/hyperlink" Target="https://www.research.ibm.com/artificial-intelligence/trusted-ai/" TargetMode="External"/><Relationship Id="rId494" Type="http://schemas.openxmlformats.org/officeDocument/2006/relationships/hyperlink" Target="https://openethics.ai/manifesto/" TargetMode="External"/><Relationship Id="rId130" Type="http://schemas.openxmlformats.org/officeDocument/2006/relationships/hyperlink" Target="https://rm.coe.int/guidelines-to-respect-protect-and-fulfil-the-rights-of-the-child-in-th/16808d881a" TargetMode="External"/><Relationship Id="rId251" Type="http://schemas.openxmlformats.org/officeDocument/2006/relationships/hyperlink" Target="https://charteia.arborus.org/en/" TargetMode="External"/><Relationship Id="rId372" Type="http://schemas.openxmlformats.org/officeDocument/2006/relationships/hyperlink" Target="https://www.ibm.com/blogs/think/2017/01/ibm-cognitive-principles/" TargetMode="External"/><Relationship Id="rId493" Type="http://schemas.openxmlformats.org/officeDocument/2006/relationships/hyperlink" Target="https://rm.coe.int/discrimination-artificial-intelligence-and-algorithmic-decision-making/1680925d73" TargetMode="External"/><Relationship Id="rId250" Type="http://schemas.openxmlformats.org/officeDocument/2006/relationships/hyperlink" Target="https://edps.europa.eu/sites/edp/files/publication/18-03-19_online_manipulation_en.pdf" TargetMode="External"/><Relationship Id="rId371" Type="http://schemas.openxmlformats.org/officeDocument/2006/relationships/hyperlink" Target="https://www.eurocontrol.int/sites/default/files/2020-03/eurocontrol-fly-ai-report-032020.pdf" TargetMode="External"/><Relationship Id="rId492" Type="http://schemas.openxmlformats.org/officeDocument/2006/relationships/hyperlink" Target="http://www.senat.fr/rap/r16-464-1/r16-464-11.pdf" TargetMode="External"/><Relationship Id="rId136" Type="http://schemas.openxmlformats.org/officeDocument/2006/relationships/hyperlink" Target="https://rm.coe.int/16806ebe7a" TargetMode="External"/><Relationship Id="rId257" Type="http://schemas.openxmlformats.org/officeDocument/2006/relationships/hyperlink" Target="https://www.coe.int/en/web/commissioner/-/safeguarding-human-rights-in-the-era-of-artificial-intelligence?inheritRedirect=true" TargetMode="External"/><Relationship Id="rId378" Type="http://schemas.openxmlformats.org/officeDocument/2006/relationships/hyperlink" Target="https://issuu.com/indiansocietyai/docs/2020_handbook_on_artificial_intelligence_and_inter" TargetMode="External"/><Relationship Id="rId499" Type="http://schemas.openxmlformats.org/officeDocument/2006/relationships/hyperlink" Target="https://www.digitalhealthnews.eu/images/stories/pdf/artificial_intelligence_in_healthcare-final_report.pdf" TargetMode="External"/><Relationship Id="rId135" Type="http://schemas.openxmlformats.org/officeDocument/2006/relationships/hyperlink" Target="https://ico.org.uk/media/for-organisations/documents/2013559/big-data-ai-ml-and-data-protection.pdf" TargetMode="External"/><Relationship Id="rId256" Type="http://schemas.openxmlformats.org/officeDocument/2006/relationships/hyperlink" Target="https://www.europeanlawinstitute.eu/fileadmin/user_upload/p_eli/Publications/ELI_Model_Rules_on_Impact_Assessment_of_ADMSs_Used_by_Public_Administration.pdf" TargetMode="External"/><Relationship Id="rId377" Type="http://schemas.openxmlformats.org/officeDocument/2006/relationships/hyperlink" Target="https://indiaai.gov.in/research-reports/responsible-ai-part-1-principles-for-responsible-ai" TargetMode="External"/><Relationship Id="rId498" Type="http://schemas.openxmlformats.org/officeDocument/2006/relationships/hyperlink" Target="https://www.orange.com/en/Human-Inside/Mag/Hello-I-am-AI." TargetMode="External"/><Relationship Id="rId134" Type="http://schemas.openxmlformats.org/officeDocument/2006/relationships/hyperlink" Target="https://assets.publishing.service.gov.uk/media/60142096d3bf7f70ba377b20/Review_into_bias_in_algorithmic_decision-making.pdf" TargetMode="External"/><Relationship Id="rId255" Type="http://schemas.openxmlformats.org/officeDocument/2006/relationships/hyperlink" Target="https://acpr.banque-france.fr/sites/default/files/medias/documents/20200612_ai_governance_finance.pdf" TargetMode="External"/><Relationship Id="rId376" Type="http://schemas.openxmlformats.org/officeDocument/2006/relationships/hyperlink" Target="https://ind.ie/ethical-design/" TargetMode="External"/><Relationship Id="rId497" Type="http://schemas.openxmlformats.org/officeDocument/2006/relationships/hyperlink" Target="https://assembly.coe.int/nw/xml/XRef/Xref-XML2HTML-en.asp?fileid=23726&amp;lang=en" TargetMode="External"/><Relationship Id="rId133" Type="http://schemas.openxmlformats.org/officeDocument/2006/relationships/hyperlink" Target="https://datasociety.net/wp-content/uploads/2018/10/DataSociety_Governing_Artificial_Intelligence_Upholding_Human_Rights.pdf" TargetMode="External"/><Relationship Id="rId254" Type="http://schemas.openxmlformats.org/officeDocument/2006/relationships/hyperlink" Target="https://openai.com/charter/" TargetMode="External"/><Relationship Id="rId375" Type="http://schemas.openxmlformats.org/officeDocument/2006/relationships/hyperlink" Target="https://cifar.ca/wp-content/uploads/2020/05/buildinganaiworld_eng.pdf" TargetMode="External"/><Relationship Id="rId496" Type="http://schemas.openxmlformats.org/officeDocument/2006/relationships/hyperlink" Target="https://www.microsoft.com/en-us/ai/principles-and-approach?activetab=pivot1:primaryr5" TargetMode="External"/><Relationship Id="rId172" Type="http://schemas.openxmlformats.org/officeDocument/2006/relationships/hyperlink" Target="https://publications.jrc.ec.europa.eu/repository/bitstream/JRC125343/what-future-for-european-robotics.pdf" TargetMode="External"/><Relationship Id="rId293" Type="http://schemas.openxmlformats.org/officeDocument/2006/relationships/hyperlink" Target="https://yjolt.org/sites/default/files/23_yale_j.l._tech._special_issue_1.pdf" TargetMode="External"/><Relationship Id="rId171" Type="http://schemas.openxmlformats.org/officeDocument/2006/relationships/hyperlink" Target="https://www.sap.com/documents/2018/09/940c6047-1c7d-0010-87a3-c30de2ffd8ff.html" TargetMode="External"/><Relationship Id="rId292" Type="http://schemas.openxmlformats.org/officeDocument/2006/relationships/hyperlink" Target="https://pace.coe.int/files/28742/pdf" TargetMode="External"/><Relationship Id="rId170" Type="http://schemas.openxmlformats.org/officeDocument/2006/relationships/hyperlink" Target="https://www.ajcact.org" TargetMode="External"/><Relationship Id="rId291" Type="http://schemas.openxmlformats.org/officeDocument/2006/relationships/hyperlink" Target="http://www.europarl.europa.eu/sides/getDoc.do?pubRef=-//EP//TEXT+TA+P8-TA-2017-0076+0+DOC+XML+V0//EN" TargetMode="External"/><Relationship Id="rId290" Type="http://schemas.openxmlformats.org/officeDocument/2006/relationships/hyperlink" Target="https://www.europarl.europa.eu/doceo/document/TA-9-2021-0405_EN.html" TargetMode="External"/><Relationship Id="rId165" Type="http://schemas.openxmlformats.org/officeDocument/2006/relationships/hyperlink" Target="https://www.consilium.europa.eu/media/37363/gender-equality_text-adopted.pdf" TargetMode="External"/><Relationship Id="rId286" Type="http://schemas.openxmlformats.org/officeDocument/2006/relationships/hyperlink" Target="https://www.gov.uk/government/publications/establishing-a-pro-innovation-approach-to-regulating-ai/establishing-a-pro-innovation-approach-to-regulating-ai-policy-statement" TargetMode="External"/><Relationship Id="rId164" Type="http://schemas.openxmlformats.org/officeDocument/2006/relationships/hyperlink" Target="https://mycloud.coe.int/s/FFFMLg884J6W3na" TargetMode="External"/><Relationship Id="rId285" Type="http://schemas.openxmlformats.org/officeDocument/2006/relationships/hyperlink" Target="https://publications.jrc.ec.europa.eu/repository/bitstream/JRC122014/jrc122014_ai_watch_assessing_technology_readiness_levels_for_artificial_intelligence-1.pdf" TargetMode="External"/><Relationship Id="rId163" Type="http://schemas.openxmlformats.org/officeDocument/2006/relationships/hyperlink" Target="http://www.consilium.europa.eu/media/21620/19-euco-final-conclusions-en.pdf" TargetMode="External"/><Relationship Id="rId284" Type="http://schemas.openxmlformats.org/officeDocument/2006/relationships/hyperlink" Target="https://www.pdpc.gov.sg/Help-and-Resources/2020/01/Model-AI-Governance-Framework" TargetMode="External"/><Relationship Id="rId162" Type="http://schemas.openxmlformats.org/officeDocument/2006/relationships/hyperlink" Target="https://www.europarl.europa.eu/RegData/etudes/BRIE/2022/729376/EPRS_BRI(2022)729376_EN.pdf" TargetMode="External"/><Relationship Id="rId283" Type="http://schemas.openxmlformats.org/officeDocument/2006/relationships/hyperlink" Target="https://www.europarl.europa.eu/doceo/document/A-9-2020-0178_EN.pdf" TargetMode="External"/><Relationship Id="rId169" Type="http://schemas.openxmlformats.org/officeDocument/2006/relationships/hyperlink" Target="https://criticalengineering.org/en" TargetMode="External"/><Relationship Id="rId168" Type="http://schemas.openxmlformats.org/officeDocument/2006/relationships/hyperlink" Target="https://www.courdecassation.fr/files/files/Publications/Divers/Rapport%20open%20data/Rapport_La_Diffusion_des_donn%C3%A9es_d%C3%A9cisionnelles_et_la_jurisprudence.pdf" TargetMode="External"/><Relationship Id="rId289" Type="http://schemas.openxmlformats.org/officeDocument/2006/relationships/hyperlink" Target="https://search.coe.int/cm/pages/result_details.aspx?ObjectId=090000168092dd4b" TargetMode="External"/><Relationship Id="rId167" Type="http://schemas.openxmlformats.org/officeDocument/2006/relationships/hyperlink" Target="https://freedomonlinecoalition.com/wp-content/uploads/2021/06/FOC-Joint-Statement-on-Artificial-Intelligence-and-Human-Rights.pdf" TargetMode="External"/><Relationship Id="rId288" Type="http://schemas.openxmlformats.org/officeDocument/2006/relationships/hyperlink" Target="https://www.cssf.lu/en/Document/white-paper-artificial-intelligence-opportunities-risks-and-recommendations-for-the-financial-sector/" TargetMode="External"/><Relationship Id="rId166" Type="http://schemas.openxmlformats.org/officeDocument/2006/relationships/hyperlink" Target="https://www.consilium.europa.eu/media/46496/st11481-en20.pdf" TargetMode="External"/><Relationship Id="rId287" Type="http://schemas.openxmlformats.org/officeDocument/2006/relationships/hyperlink" Target="https://rm.coe.int/unboxing-artificial-intelligence-10-steps-to-protect-human-rights-reco/1680946e64" TargetMode="External"/><Relationship Id="rId161" Type="http://schemas.openxmlformats.org/officeDocument/2006/relationships/hyperlink" Target="https://community.intel.com/legacyfs/online/files/Intels-AI-Privacy-Policy-White-Paper-2018.pdf" TargetMode="External"/><Relationship Id="rId282" Type="http://schemas.openxmlformats.org/officeDocument/2006/relationships/hyperlink" Target="https://op.europa.eu/fr/publication-detail/-/publication/c721f802-9ce7-11e7-b92d-01aa75ed71a1/language-en" TargetMode="External"/><Relationship Id="rId160" Type="http://schemas.openxmlformats.org/officeDocument/2006/relationships/hyperlink" Target="https://data.govt.nz/assets/data-ethics/algorithm/Trustworthy-AI-in-Aotearoa-March-2020.pdf" TargetMode="External"/><Relationship Id="rId281" Type="http://schemas.openxmlformats.org/officeDocument/2006/relationships/hyperlink" Target="http://www.europarl.europa.eu/RegData/etudes/STUD/2021/662911/IPOL_STU(2021)662911_EN.pdf" TargetMode="External"/><Relationship Id="rId280" Type="http://schemas.openxmlformats.org/officeDocument/2006/relationships/hyperlink" Target="https://www.europarl.europa.eu/RegData/etudes/STUD/2021/656311/EPRS_STU(2021)656311_EN.pdf" TargetMode="External"/><Relationship Id="rId159" Type="http://schemas.openxmlformats.org/officeDocument/2006/relationships/hyperlink" Target="https://ai.google/static/documents/responsible-development-of-ai.pdf" TargetMode="External"/><Relationship Id="rId154" Type="http://schemas.openxmlformats.org/officeDocument/2006/relationships/hyperlink" Target="http://ii.tudelft.nl/bnvki/wp-content/uploads/2018/09/Dutch-AI-Manifesto.pdf" TargetMode="External"/><Relationship Id="rId275" Type="http://schemas.openxmlformats.org/officeDocument/2006/relationships/hyperlink" Target="https://5f2cd2ba-741c-4b29-ae47-00a8291b1d3c.filesusr.com/ugd/d1cf5c_6af8feb771194453817d62c92cee2a21.pdf" TargetMode="External"/><Relationship Id="rId396" Type="http://schemas.openxmlformats.org/officeDocument/2006/relationships/hyperlink" Target="https://www3.weforum.org/docs/WEF_Ethics_by_Design_2020.pdf" TargetMode="External"/><Relationship Id="rId153" Type="http://schemas.openxmlformats.org/officeDocument/2006/relationships/hyperlink" Target="https://www.accessnow.org/wp-content/uploads/2020/12/Europes-approach-to-AI-strategy-is-evolving.pdf" TargetMode="External"/><Relationship Id="rId274" Type="http://schemas.openxmlformats.org/officeDocument/2006/relationships/hyperlink" Target="https://www.europarl.europa.eu/doceo/document/AIDA-PR-680928_EN.pdf" TargetMode="External"/><Relationship Id="rId395" Type="http://schemas.openxmlformats.org/officeDocument/2006/relationships/hyperlink" Target="https://ethicsinaction.ieee.org/" TargetMode="External"/><Relationship Id="rId152" Type="http://schemas.openxmlformats.org/officeDocument/2006/relationships/hyperlink" Target="https://www.oecd.org/health/trustworthy-artificial-intelligence-in-health.pdf" TargetMode="External"/><Relationship Id="rId273" Type="http://schemas.openxmlformats.org/officeDocument/2006/relationships/hyperlink" Target="https://op.europa.eu/en/publication-detail/-/publication/a72ac1a9-98e2-11eb-b85c-01aa75ed71a1/language-en" TargetMode="External"/><Relationship Id="rId394" Type="http://schemas.openxmlformats.org/officeDocument/2006/relationships/hyperlink" Target="https://op.europa.eu/o/opportal-service/download-handler?identifier=6cc0f1b6-59dd-11ea-8b81-01aa75ed71a1&amp;format=pdf&amp;language=en&amp;productionSystem=cellar&amp;part=" TargetMode="External"/><Relationship Id="rId151" Type="http://schemas.openxmlformats.org/officeDocument/2006/relationships/hyperlink" Target="https://pace.coe.int/files/28738/pdf" TargetMode="External"/><Relationship Id="rId272" Type="http://schemas.openxmlformats.org/officeDocument/2006/relationships/hyperlink" Target="https://unesdoc.unesco.org/ark:/48223/pf0000265211" TargetMode="External"/><Relationship Id="rId393" Type="http://schemas.openxmlformats.org/officeDocument/2006/relationships/hyperlink" Target="https://big-data-ljubljana-2017.weebly.com/uploads/1/1/9/1/1191873/big-data-2017-print.pdf" TargetMode="External"/><Relationship Id="rId158" Type="http://schemas.openxmlformats.org/officeDocument/2006/relationships/hyperlink" Target="https://www.acm.org/binaries/content/assets/public-policy/2017_usacm_statement_computingandnetworksecurity.pdf" TargetMode="External"/><Relationship Id="rId279" Type="http://schemas.openxmlformats.org/officeDocument/2006/relationships/hyperlink" Target="https://www.europeanlawinstitute.eu/fileadmin/user_upload/p_eli/Publications/ELI_Innovation_Paper_on_Guiding_Principles_for_ADM_in_the_EU.pdf" TargetMode="External"/><Relationship Id="rId157" Type="http://schemas.openxmlformats.org/officeDocument/2006/relationships/hyperlink" Target="https://www.venice.coe.int/webforms/documents/?pdf=CDL-AD(2020)037-e" TargetMode="External"/><Relationship Id="rId278" Type="http://schemas.openxmlformats.org/officeDocument/2006/relationships/hyperlink" Target="https://cdt.org/wp-content/uploads/2015/04/Digital-Decisions-Project-Description.pdf" TargetMode="External"/><Relationship Id="rId399" Type="http://schemas.openxmlformats.org/officeDocument/2006/relationships/hyperlink" Target="https://arxiv.org/abs/1809.03400" TargetMode="External"/><Relationship Id="rId156" Type="http://schemas.openxmlformats.org/officeDocument/2006/relationships/hyperlink" Target="https://www.europarl.europa.eu/RegData/etudes/BRIE/2021/662936/IPOL_BRI(2021)662936_EN.pdf" TargetMode="External"/><Relationship Id="rId277" Type="http://schemas.openxmlformats.org/officeDocument/2006/relationships/hyperlink" Target="https://ainowinstitute.org/wp-content/uploads/2023/04/AI-Now-2023-Landscape-Report-FINAL.pdf" TargetMode="External"/><Relationship Id="rId398" Type="http://schemas.openxmlformats.org/officeDocument/2006/relationships/hyperlink" Target="https://www.aomrc.org.uk/wp-content/uploads/2019/01/Artificial_intelligence_in_healthcare_0119.pdf" TargetMode="External"/><Relationship Id="rId155" Type="http://schemas.openxmlformats.org/officeDocument/2006/relationships/hyperlink" Target="https://www.gov.uk/government/publications/code-of-conduct-for-data-driven-health-and-care-technology/initial-code-of-conduct-for-data-driven-health-and-care-technology" TargetMode="External"/><Relationship Id="rId276" Type="http://schemas.openxmlformats.org/officeDocument/2006/relationships/hyperlink" Target="https://www.europarl.europa.eu/RegData/etudes/BRIE/2021/698792/EPRS_BRI(2021)698792_EN.pdf" TargetMode="External"/><Relationship Id="rId397" Type="http://schemas.openxmlformats.org/officeDocument/2006/relationships/hyperlink" Target="https://julkaisut.valtioneuvosto.fi/bitstream/handle/10024/160980/TEMjul_21_2018_Work_in_the_age.pdf" TargetMode="External"/><Relationship Id="rId40" Type="http://schemas.openxmlformats.org/officeDocument/2006/relationships/hyperlink" Target="https://eur-lex.europa.eu/legal-content/EN/TXT/PDF/?uri=CELEX:52016IE5369&amp;from=EN" TargetMode="External"/><Relationship Id="rId42" Type="http://schemas.openxmlformats.org/officeDocument/2006/relationships/hyperlink" Target="https://www.accessnow.org/cms/assets/uploads/2022/11/Access-Now-Version-Human-Rights-Implications-of-Algorithmic-Impact-Assessments_-Priority-Recommendations-to-Guide-Effective-Development-and-Use.pdf" TargetMode="External"/><Relationship Id="rId41" Type="http://schemas.openxmlformats.org/officeDocument/2006/relationships/hyperlink" Target="https://www.nytimes.com/2017/09/01/opinion/artificial-intelligence-regulations-rules.html" TargetMode="External"/><Relationship Id="rId44" Type="http://schemas.openxmlformats.org/officeDocument/2006/relationships/hyperlink" Target="https://researchictafrica.net/ranitp2019-2-ai-ethics/" TargetMode="External"/><Relationship Id="rId43" Type="http://schemas.openxmlformats.org/officeDocument/2006/relationships/hyperlink" Target="https://pace.coe.int/files/28737/pdf" TargetMode="External"/><Relationship Id="rId46" Type="http://schemas.openxmlformats.org/officeDocument/2006/relationships/hyperlink" Target="https://fpf.org/wp-content/uploads/2017/12/FPF-Automated-Decision-Making-Harms-and-Mitigation-Charts.pdf" TargetMode="External"/><Relationship Id="rId45" Type="http://schemas.openxmlformats.org/officeDocument/2006/relationships/hyperlink" Target="https://blog.google/technology/ai/ai-principles/" TargetMode="External"/><Relationship Id="rId509" Type="http://schemas.openxmlformats.org/officeDocument/2006/relationships/hyperlink" Target="https://oecd.ai" TargetMode="External"/><Relationship Id="rId508" Type="http://schemas.openxmlformats.org/officeDocument/2006/relationships/hyperlink" Target="https://www.oecd-ilibrary.org/deliver/9ce86ca5-en.pdf?itemId=%2Fcontent%2Fpaper%2F9ce86ca5-en&amp;mimeType=pdf" TargetMode="External"/><Relationship Id="rId629" Type="http://schemas.openxmlformats.org/officeDocument/2006/relationships/hyperlink" Target="https://www.oecd-ilibrary.org/docserver/932780bc-en.pdf?expires=1700910796&amp;id=id&amp;accname=guest&amp;checksum=689A1C4A9057EEAE212A832629A5FA2A" TargetMode="External"/><Relationship Id="rId503" Type="http://schemas.openxmlformats.org/officeDocument/2006/relationships/hyperlink" Target="https://www.unicef.org/innovation/media/10726/file/Executive%20Summary:%20Memorandum%20on%20Artificial%20Intelligence%20and%20Child%20Rights.pdf" TargetMode="External"/><Relationship Id="rId624" Type="http://schemas.openxmlformats.org/officeDocument/2006/relationships/hyperlink" Target="https://www.internetsociety.org/wp-content/uploads/2017/08/ISOC-AI-Policy-Paper_2017-04-27_0.pdf" TargetMode="External"/><Relationship Id="rId502" Type="http://schemas.openxmlformats.org/officeDocument/2006/relationships/hyperlink" Target="https://www.telekom.com/resource/blob/532446/f32ea4f5726ff3ed3902e97dd945fa14/dl-180710-ki-leitlinien-en-data.pdf" TargetMode="External"/><Relationship Id="rId623" Type="http://schemas.openxmlformats.org/officeDocument/2006/relationships/hyperlink" Target="https://pace.coe.int/files/28721/pdf" TargetMode="External"/><Relationship Id="rId501" Type="http://schemas.openxmlformats.org/officeDocument/2006/relationships/hyperlink" Target="https://en.digst.dk/media/19337/305755_gb_version_final-a.pdf" TargetMode="External"/><Relationship Id="rId622" Type="http://schemas.openxmlformats.org/officeDocument/2006/relationships/hyperlink" Target="https://airecht.nl/s/Artificial-Intelligence-Impact-Assessment-English.pdf" TargetMode="External"/><Relationship Id="rId500" Type="http://schemas.openxmlformats.org/officeDocument/2006/relationships/hyperlink" Target="https://www.oecd-ilibrary.org/deliver/876367e3-en.pdf?itemId=%2Fcontent%2Fpaper%2F876367e3-en&amp;mimeType=pdf" TargetMode="External"/><Relationship Id="rId621" Type="http://schemas.openxmlformats.org/officeDocument/2006/relationships/hyperlink" Target="https://aicm.ai.gov.eg//en/Resources/EgyptianCharterForResponsibleAIEnglish-v1.0.pdf" TargetMode="External"/><Relationship Id="rId507" Type="http://schemas.openxmlformats.org/officeDocument/2006/relationships/hyperlink" Target="https://www.oecd-ilibrary.org/deliver/1f5307e7-en.pdf?itemId=%2Fcontent%2Fpaper%2F1f5307e7-en&amp;mimeType=pdf" TargetMode="External"/><Relationship Id="rId628" Type="http://schemas.openxmlformats.org/officeDocument/2006/relationships/hyperlink" Target="https://www.rathenau.nl/sites/default/files/2018-02/Human%20Rights%20in%20the%20Robot%20Age-Rathenau%20Instituut-2017.pdf" TargetMode="External"/><Relationship Id="rId506" Type="http://schemas.openxmlformats.org/officeDocument/2006/relationships/hyperlink" Target="https://www.oecd-ilibrary.org/deliver/154981d7-en.pdf?itemId=%2Fcontent%2Fpaper%2F154981d7-en&amp;mimeType=pdf" TargetMode="External"/><Relationship Id="rId627" Type="http://schemas.openxmlformats.org/officeDocument/2006/relationships/hyperlink" Target="https://participa.gencat.cat/uploads/decidim/attachment/file/932/Document-Bases-Estrategia-IA-Catalunya-_ENversion.pdf" TargetMode="External"/><Relationship Id="rId505" Type="http://schemas.openxmlformats.org/officeDocument/2006/relationships/hyperlink" Target="https://www.oecd-ilibrary.org/deliver/f94df8ec-en.pdf?itemId=%2Fcontent%2Fpaper%2Ff94df8ec-en&amp;mimeType=pdf" TargetMode="External"/><Relationship Id="rId626" Type="http://schemas.openxmlformats.org/officeDocument/2006/relationships/hyperlink" Target="https://www.ki-strategie-deutschland.de/home.html?file=files/downloads/Nationale_KI-Strategie_engl.pdf" TargetMode="External"/><Relationship Id="rId504" Type="http://schemas.openxmlformats.org/officeDocument/2006/relationships/hyperlink" Target="https://www.europarl.europa.eu/thinktank/en/document/IPOL_STU(2021)662908" TargetMode="External"/><Relationship Id="rId625" Type="http://schemas.openxmlformats.org/officeDocument/2006/relationships/hyperlink" Target="https://theodi.org/wp-content/uploads/2019/07/ODI-Data-Ethics-Canvas-2019-05.pdf" TargetMode="External"/><Relationship Id="rId48" Type="http://schemas.openxmlformats.org/officeDocument/2006/relationships/hyperlink" Target="https://ec.europa.eu/newsroom/document.cfm?doc_id=47742" TargetMode="External"/><Relationship Id="rId47" Type="http://schemas.openxmlformats.org/officeDocument/2006/relationships/hyperlink" Target="https://fpf.org/wp-content/uploads/2022/05/FPF-ADM-Report-R2-singles.pdf" TargetMode="External"/><Relationship Id="rId49" Type="http://schemas.openxmlformats.org/officeDocument/2006/relationships/hyperlink" Target="https://perma.cc/K22T-5DFU" TargetMode="External"/><Relationship Id="rId620" Type="http://schemas.openxmlformats.org/officeDocument/2006/relationships/hyperlink" Target="https://bioethics.miami.edu/_assets/pdf/information-technology-and-ethics/ai-and-big-data-resources/ethics-of-ai-in-radiology.pdf" TargetMode="External"/><Relationship Id="rId31" Type="http://schemas.openxmlformats.org/officeDocument/2006/relationships/hyperlink" Target="https://www.fhi.ox.ac.uk/wp-content/uploads/Standards_-FHI-Technical-Report.pdf" TargetMode="External"/><Relationship Id="rId30" Type="http://schemas.openxmlformats.org/officeDocument/2006/relationships/hyperlink" Target="http://data.consilium.europa.eu/doc/document/ST-14411-2018-INIT/en/pdf" TargetMode="External"/><Relationship Id="rId33" Type="http://schemas.openxmlformats.org/officeDocument/2006/relationships/hyperlink" Target="https://assets.ctfassets.net/8wprhhvnpfc0/3JOy5k4f1YSCQOi8MCCmA2/97010d04fbc7892662ce8b2469dc1601/AI_Now_2016_Report.pdf" TargetMode="External"/><Relationship Id="rId32" Type="http://schemas.openxmlformats.org/officeDocument/2006/relationships/hyperlink" Target="https://obamawhitehouse.archives.gov/sites/default/files/whitehouse_files/microsites/ostp/NSTC/preparing_for_the_future_of_ai.pdf" TargetMode="External"/><Relationship Id="rId35" Type="http://schemas.openxmlformats.org/officeDocument/2006/relationships/hyperlink" Target="https://aisp.upenn.edu/wp-content/uploads/2022/07/AISP-Toolkit_5.27.20.pdf" TargetMode="External"/><Relationship Id="rId34" Type="http://schemas.openxmlformats.org/officeDocument/2006/relationships/hyperlink" Target="https://www.aisoma.de/wp-content/uploads/2021/01/Overview-of-National-AI-Strategies.pdf" TargetMode="External"/><Relationship Id="rId619" Type="http://schemas.openxmlformats.org/officeDocument/2006/relationships/hyperlink" Target="https://www.europarl.europa.eu/RegData/etudes/STUD/2021/697191/EPRS_STU(2021)697191_EN.pdf" TargetMode="External"/><Relationship Id="rId618" Type="http://schemas.openxmlformats.org/officeDocument/2006/relationships/hyperlink" Target="https://www.loc.gov/law/help/artificial-intelligence/regulation-artificial-intelligence.pdf" TargetMode="External"/><Relationship Id="rId613" Type="http://schemas.openxmlformats.org/officeDocument/2006/relationships/hyperlink" Target="https://uniglobalunion.org/wp-content/uploads/uni_ethical_ai.pdf" TargetMode="External"/><Relationship Id="rId612" Type="http://schemas.openxmlformats.org/officeDocument/2006/relationships/hyperlink" Target="https://rm.coe.int/inf-2022-5-report-impact-of-ai-on-doctor-patient-relations-e/1680a68859" TargetMode="External"/><Relationship Id="rId611" Type="http://schemas.openxmlformats.org/officeDocument/2006/relationships/hyperlink" Target="https://ai-white-paper.readthedocs.io/en/latest/" TargetMode="External"/><Relationship Id="rId610" Type="http://schemas.openxmlformats.org/officeDocument/2006/relationships/hyperlink" Target="https://rm.coe.int/cdpc-2018-14rev-artificial-intelligence-and-criminal-law-project-2018-/16808e64ad" TargetMode="External"/><Relationship Id="rId617" Type="http://schemas.openxmlformats.org/officeDocument/2006/relationships/hyperlink" Target="https://www.norden.org/en/declaration/ai-nordic-baltic-region" TargetMode="External"/><Relationship Id="rId616" Type="http://schemas.openxmlformats.org/officeDocument/2006/relationships/hyperlink" Target="https://ethical.institute/rfx.html" TargetMode="External"/><Relationship Id="rId615" Type="http://schemas.openxmlformats.org/officeDocument/2006/relationships/hyperlink" Target="https://algorithmwatch.org/wp-content/uploads/2019/01/Automating_Society_Report_2019.pdf" TargetMode="External"/><Relationship Id="rId614" Type="http://schemas.openxmlformats.org/officeDocument/2006/relationships/hyperlink" Target="https://www.ourcommons.ca/Content/Committee/441/ETHI/Reports/RP11948475/ethirp06/ethirp06-e.pdf" TargetMode="External"/><Relationship Id="rId37" Type="http://schemas.openxmlformats.org/officeDocument/2006/relationships/hyperlink" Target="https://thefuturesociety.org/principles-law-and-society-initiative/" TargetMode="External"/><Relationship Id="rId36" Type="http://schemas.openxmlformats.org/officeDocument/2006/relationships/hyperlink" Target="https://www.mofa.go.jp/policy/economy/g20_summit/osaka19/pdf/documents/en/annex_08.pdf" TargetMode="External"/><Relationship Id="rId39" Type="http://schemas.openxmlformats.org/officeDocument/2006/relationships/hyperlink" Target="https://alltechishuman.org/ai-human-rights-report" TargetMode="External"/><Relationship Id="rId38" Type="http://schemas.openxmlformats.org/officeDocument/2006/relationships/hyperlink" Target="https://www.weforum.org/agenda/2019/06/4-steps-to-developing-responsible-ai/" TargetMode="External"/><Relationship Id="rId20" Type="http://schemas.openxmlformats.org/officeDocument/2006/relationships/hyperlink" Target="https://www.turing.ac.uk/sites/default/files/2019-06/understanding_artificial_intelligence_ethics_and_safety.pdf" TargetMode="External"/><Relationship Id="rId22" Type="http://schemas.openxmlformats.org/officeDocument/2006/relationships/hyperlink" Target="https://rm.coe.int/huderaf-coe-final-1-2752-6741-5300-v-1/1680a3f688" TargetMode="External"/><Relationship Id="rId21" Type="http://schemas.openxmlformats.org/officeDocument/2006/relationships/hyperlink" Target="https://www.cigref.fr/wp/wp-content/uploads/2019/02/Cigref-Syntec-Digital-Ethics-Guide-for-Professionals-of-Digital-Age-2018-October-EN.pdf" TargetMode="External"/><Relationship Id="rId24" Type="http://schemas.openxmlformats.org/officeDocument/2006/relationships/hyperlink" Target="https://rm.coe.int/ethical-charter-en-for-publication-4-december-2018/16808f699c" TargetMode="External"/><Relationship Id="rId23" Type="http://schemas.openxmlformats.org/officeDocument/2006/relationships/hyperlink" Target="https://papers.ssrn.com/sol3/papers.cfm?abstract_id=3435011" TargetMode="External"/><Relationship Id="rId409" Type="http://schemas.openxmlformats.org/officeDocument/2006/relationships/hyperlink" Target="https://wedocs.unep.org/bitstream/handle/20.500.11822/38482/CODES_ActionPlan.pdf" TargetMode="External"/><Relationship Id="rId404" Type="http://schemas.openxmlformats.org/officeDocument/2006/relationships/hyperlink" Target="https://dighum.ec.tuwien.ac.at/dighum-manifesto/" TargetMode="External"/><Relationship Id="rId525" Type="http://schemas.openxmlformats.org/officeDocument/2006/relationships/hyperlink" Target="https://ico.org.uk/media/for-organisations/guide-to-data-protection/key-dp-themes/explaining-decisions-made-with-artificial-intelligence-1-0.pdf" TargetMode="External"/><Relationship Id="rId646" Type="http://schemas.openxmlformats.org/officeDocument/2006/relationships/hyperlink" Target="https://www.kakaocorp.com/page/responsible/detail/algorithm?lang=ENG&amp;tab=all" TargetMode="External"/><Relationship Id="rId403" Type="http://schemas.openxmlformats.org/officeDocument/2006/relationships/hyperlink" Target="https://www.hrc.co.nz/files/5715/2575/3415/Privacy_Data_Technology_-_Human_Rights_Challenges_in_the_Digital_Age_FINAL.pdf" TargetMode="External"/><Relationship Id="rId524" Type="http://schemas.openxmlformats.org/officeDocument/2006/relationships/hyperlink" Target="https://arxiv.org/abs/1905.06876" TargetMode="External"/><Relationship Id="rId645" Type="http://schemas.openxmlformats.org/officeDocument/2006/relationships/hyperlink" Target="https://www.oecd-ilibrary.org/docserver/1cd40c44-en.pdf?expires=1700910832&amp;id=id&amp;accname=guest&amp;checksum=63EB730E37CC61174E065E5F4502C1EF" TargetMode="External"/><Relationship Id="rId402" Type="http://schemas.openxmlformats.org/officeDocument/2006/relationships/hyperlink" Target="https://publications.iadb.org/publications/english/document/Responsible-use-of-AI-for-public-policy-Project-formulation-manual.pdf" TargetMode="External"/><Relationship Id="rId523" Type="http://schemas.openxmlformats.org/officeDocument/2006/relationships/hyperlink" Target="https://www3.weforum.org/docs/WEF_Framework_for_action_Facial_recognition_2020.pdf" TargetMode="External"/><Relationship Id="rId644" Type="http://schemas.openxmlformats.org/officeDocument/2006/relationships/hyperlink" Target="https://rm.coe.int/eurimages-entering-the-new-paradigm-051219/1680995331" TargetMode="External"/><Relationship Id="rId401" Type="http://schemas.openxmlformats.org/officeDocument/2006/relationships/hyperlink" Target="https://www.buckingham.ac.uk/wp-content/uploads/2021/03/The-Institute-for-Ethical-AI-in-Education-The-Ethical-Framework-for-AI-in-Education.pdf" TargetMode="External"/><Relationship Id="rId522" Type="http://schemas.openxmlformats.org/officeDocument/2006/relationships/hyperlink" Target="https://www.datatilsynet.no/globalassets/global/english/ai-and-privacy.pdf" TargetMode="External"/><Relationship Id="rId643" Type="http://schemas.openxmlformats.org/officeDocument/2006/relationships/hyperlink" Target="https://www.industry.gov.au/publications/australias-artificial-intelligence-ethics-framework/australias-ai-ethics-principles" TargetMode="External"/><Relationship Id="rId408" Type="http://schemas.openxmlformats.org/officeDocument/2006/relationships/hyperlink" Target="https://assets.innovazione.gov.it/1637777513-strategic-program-aiweb.pdf" TargetMode="External"/><Relationship Id="rId529" Type="http://schemas.openxmlformats.org/officeDocument/2006/relationships/hyperlink" Target="https://www.bundestag.de/en/committees/bodies/study/artificial_intelligence" TargetMode="External"/><Relationship Id="rId407" Type="http://schemas.openxmlformats.org/officeDocument/2006/relationships/hyperlink" Target="https://www.iso.org/committee/6794475.html" TargetMode="External"/><Relationship Id="rId528" Type="http://schemas.openxmlformats.org/officeDocument/2006/relationships/hyperlink" Target="https://dip21.bundestag.de/dip21/btd/19/221/1922181.pdf" TargetMode="External"/><Relationship Id="rId649" Type="http://schemas.openxmlformats.org/officeDocument/2006/relationships/hyperlink" Target="https://ai.google/responsibilities/responsible-ai-practices/" TargetMode="External"/><Relationship Id="rId406" Type="http://schemas.openxmlformats.org/officeDocument/2006/relationships/hyperlink" Target="https://www.ipsos.com/sites/default/files/ct/news/documents/2022-01/Global-opinions-and-expectations-about-AI-2022.pdf" TargetMode="External"/><Relationship Id="rId527" Type="http://schemas.openxmlformats.org/officeDocument/2006/relationships/hyperlink" Target="http://dipbt.bundestag.de/doc/btd/18/135/1813500.pdf" TargetMode="External"/><Relationship Id="rId648" Type="http://schemas.openxmlformats.org/officeDocument/2006/relationships/hyperlink" Target="https://www.nitrd.gov/pubs/national_ai_rd_strategic_plan.pdf" TargetMode="External"/><Relationship Id="rId405" Type="http://schemas.openxmlformats.org/officeDocument/2006/relationships/hyperlink" Target="https://www.acm.org/binaries/content/assets/public-policy/2017_usacm_statement_algorithms.pdf" TargetMode="External"/><Relationship Id="rId526" Type="http://schemas.openxmlformats.org/officeDocument/2006/relationships/hyperlink" Target="https://www.eduskunta.fi/FI/tietoaeduskunnasta/julkaisut/Documents/tuvj_1%2B2018.pdf" TargetMode="External"/><Relationship Id="rId647" Type="http://schemas.openxmlformats.org/officeDocument/2006/relationships/hyperlink" Target="https://rm.coe.int/cahai-2020-23-final-eng-feasibility-study-/1680a0c6da" TargetMode="External"/><Relationship Id="rId26" Type="http://schemas.openxmlformats.org/officeDocument/2006/relationships/hyperlink" Target="https://assets.publishing.service.gov.uk/media/5ff3bc6e8fa8f53b76ccee23/AI_Council_AI_Roadmap.pdf" TargetMode="External"/><Relationship Id="rId25" Type="http://schemas.openxmlformats.org/officeDocument/2006/relationships/hyperlink" Target="https://drive.google.com/uc?export=download&amp;id=1aRyqczni56ONA9PVExt2DrrJ1ATGKSu0" TargetMode="External"/><Relationship Id="rId28" Type="http://schemas.openxmlformats.org/officeDocument/2006/relationships/hyperlink" Target="https://ainowinstitute.org/wp-content/uploads/2023/04/AI_Now_2017_Report.pdf" TargetMode="External"/><Relationship Id="rId27" Type="http://schemas.openxmlformats.org/officeDocument/2006/relationships/hyperlink" Target="https://www.gov.uk/government/publications/growing-the-artificial-intelligence-industry-in-the-uk" TargetMode="External"/><Relationship Id="rId400" Type="http://schemas.openxmlformats.org/officeDocument/2006/relationships/hyperlink" Target="https://publications.iadb.org/publications/english/document/Ethical-Assessment-of-AI-for-Actors-within-the-Entrepreneurial-Ecosystem-Application-Guide.pdf" TargetMode="External"/><Relationship Id="rId521" Type="http://schemas.openxmlformats.org/officeDocument/2006/relationships/hyperlink" Target="https://read.oecd-ilibrary.org/view/?ref=130_130771-3jtyra9uoh&amp;title=Using-artificial-intelligence-to-help-combat-COVID-19" TargetMode="External"/><Relationship Id="rId642" Type="http://schemas.openxmlformats.org/officeDocument/2006/relationships/hyperlink" Target="http://www.anpr.tn/national-ai-strategy-unlocking-tunisias-capabilities-potential/" TargetMode="External"/><Relationship Id="rId29" Type="http://schemas.openxmlformats.org/officeDocument/2006/relationships/hyperlink" Target="https://publications.parliament.uk/pa/cm201719/cmselect/cmsctech/351/351.pdf" TargetMode="External"/><Relationship Id="rId520" Type="http://schemas.openxmlformats.org/officeDocument/2006/relationships/hyperlink" Target="https://www3.weforum.org/docs/WEF_Guidelines_for_AI_Procurement.pdf" TargetMode="External"/><Relationship Id="rId641" Type="http://schemas.openxmlformats.org/officeDocument/2006/relationships/hyperlink" Target="https://fra.europa.eu/sites/default/files/fra_uploads/fra-2018-focus-big-data_en.pdf" TargetMode="External"/><Relationship Id="rId640" Type="http://schemas.openxmlformats.org/officeDocument/2006/relationships/hyperlink" Target="https://royalsociety.org/~/media/policy/projects/machine-learning/publications/machine-learning-report.pdf" TargetMode="External"/><Relationship Id="rId11" Type="http://schemas.openxmlformats.org/officeDocument/2006/relationships/hyperlink" Target="https://www.accenture.com/gb-en/company-responsible-ai-robotics" TargetMode="External"/><Relationship Id="rId10" Type="http://schemas.openxmlformats.org/officeDocument/2006/relationships/hyperlink" Target="https://fr.scribd.com/document/450122018/Accenture-Universal-Principles-Data-Ethics" TargetMode="External"/><Relationship Id="rId13" Type="http://schemas.openxmlformats.org/officeDocument/2006/relationships/hyperlink" Target="https://www.coe.int/en/web/artificial-intelligence/ai-and-control-of-covid-19-coronavirus" TargetMode="External"/><Relationship Id="rId12" Type="http://schemas.openxmlformats.org/officeDocument/2006/relationships/hyperlink" Target="https://hai.stanford.edu/sites/default/files/ai_index_2019_report.pdf" TargetMode="External"/><Relationship Id="rId519" Type="http://schemas.openxmlformats.org/officeDocument/2006/relationships/hyperlink" Target="https://en.unesco.org/creativity/sites/creativity/files/12igc_inf4_en.pdf" TargetMode="External"/><Relationship Id="rId514" Type="http://schemas.openxmlformats.org/officeDocument/2006/relationships/hyperlink" Target="https://www.europarl.europa.eu/RegData/etudes/STUD/2020/634452/EPRS_STU(2020)634452_EN.pdf" TargetMode="External"/><Relationship Id="rId635" Type="http://schemas.openxmlformats.org/officeDocument/2006/relationships/hyperlink" Target="https://ai-ethics-and-governance.institute/beijing-artificial-intelligence-principles/" TargetMode="External"/><Relationship Id="rId513" Type="http://schemas.openxmlformats.org/officeDocument/2006/relationships/hyperlink" Target="https://hai.stanford.edu/research/ai-index-2021" TargetMode="External"/><Relationship Id="rId634" Type="http://schemas.openxmlformats.org/officeDocument/2006/relationships/hyperlink" Target="https://archive.epic.org/international/AIGuidleinesDRAFT20180910.pdf" TargetMode="External"/><Relationship Id="rId512" Type="http://schemas.openxmlformats.org/officeDocument/2006/relationships/hyperlink" Target="https://ec.europa.eu/newsroom/dae/document.cfm?doc_id=58496" TargetMode="External"/><Relationship Id="rId633" Type="http://schemas.openxmlformats.org/officeDocument/2006/relationships/hyperlink" Target="http://www.troisiemerevolutionindustrielle.lu/wp-content/uploads/2016/11/TIR-CG_Luxembourg-Final-Report_Long-Version.pdf" TargetMode="External"/><Relationship Id="rId511" Type="http://schemas.openxmlformats.org/officeDocument/2006/relationships/hyperlink" Target="https://www.oecd.org/going-digital/ai/principles/" TargetMode="External"/><Relationship Id="rId632" Type="http://schemas.openxmlformats.org/officeDocument/2006/relationships/hyperlink" Target="https://t20argentina.org/wp-content/uploads/2018/09/Bridges-to-the-Future-of-Education-Policy-Recommendations-for-the-Digital-Age.pdf" TargetMode="External"/><Relationship Id="rId518" Type="http://schemas.openxmlformats.org/officeDocument/2006/relationships/hyperlink" Target="http://uzhupisembassy.eu/wp-content/uploads/2019/07/Uzupis-Principles-for-Trustworthy-AI.pdf" TargetMode="External"/><Relationship Id="rId639" Type="http://schemas.openxmlformats.org/officeDocument/2006/relationships/hyperlink" Target="https://www.canada.ca/en/treasury-board-secretariat/services/information-technology/strategic-plan-2017-2021.html" TargetMode="External"/><Relationship Id="rId517" Type="http://schemas.openxmlformats.org/officeDocument/2006/relationships/hyperlink" Target="https://www.oecd.org/gov/regulatory-policy/BASIC-Toolkit-web.pdf" TargetMode="External"/><Relationship Id="rId638" Type="http://schemas.openxmlformats.org/officeDocument/2006/relationships/hyperlink" Target="https://www.tbs-sct.gc.ca/pol/doc-eng.aspx?id=32592" TargetMode="External"/><Relationship Id="rId516" Type="http://schemas.openxmlformats.org/officeDocument/2006/relationships/hyperlink" Target="https://www.oecd-ilibrary.org/deliver/bb17314a-en.pdf?itemId=%2Fcontent%2Fpaper%2Fbb17314a-en&amp;mimeType=pdf" TargetMode="External"/><Relationship Id="rId637" Type="http://schemas.openxmlformats.org/officeDocument/2006/relationships/hyperlink" Target="https://www.canada.ca/en/government/system/digital-government/digital-government-innovations/responsible-use-ai/algorithmic-impact-assessment.html" TargetMode="External"/><Relationship Id="rId515" Type="http://schemas.openxmlformats.org/officeDocument/2006/relationships/hyperlink" Target="https://www.europarl.europa.eu/RegData/etudes/STUD/2022/699643/IPOL_STU(2022)699643_EN.pdf" TargetMode="External"/><Relationship Id="rId636" Type="http://schemas.openxmlformats.org/officeDocument/2006/relationships/hyperlink" Target="http://publications.tno.nl/publication/34627249/puJbur/TNO-2018-R11086.pdf" TargetMode="External"/><Relationship Id="rId15" Type="http://schemas.openxmlformats.org/officeDocument/2006/relationships/hyperlink" Target="https://research.samsung.com/artificial-intelligence" TargetMode="External"/><Relationship Id="rId14" Type="http://schemas.openxmlformats.org/officeDocument/2006/relationships/hyperlink" Target="https://bigdata.fpf.org/wp-content/uploads/2015/11/IAF-Unified-Ethical-Frame-for-Big-Data-Analysis.pdf" TargetMode="External"/><Relationship Id="rId17" Type="http://schemas.openxmlformats.org/officeDocument/2006/relationships/hyperlink" Target="http://www.roboethics.org/index_file/Roboethics%20Roadmap%20Rel.1.2.pdf" TargetMode="External"/><Relationship Id="rId16" Type="http://schemas.openxmlformats.org/officeDocument/2006/relationships/hyperlink" Target="http://accessnow.org/wp-content/uploads/2018/11/mapping_regulatory_proposals_for_AI_in_EU.pdf" TargetMode="External"/><Relationship Id="rId19" Type="http://schemas.openxmlformats.org/officeDocument/2006/relationships/hyperlink" Target="http://www.adel-label.com/adel/" TargetMode="External"/><Relationship Id="rId510" Type="http://schemas.openxmlformats.org/officeDocument/2006/relationships/hyperlink" Target="https://www.oecd-ilibrary.org/docserver/cb6d9eca-en.pdf?expires=1704208445&amp;id=id&amp;accname=guest&amp;checksum=D4906A98889E61868DDDE97B27971025" TargetMode="External"/><Relationship Id="rId631" Type="http://schemas.openxmlformats.org/officeDocument/2006/relationships/hyperlink" Target="https://link.springer.com/content/pdf/10.1007/978-3-031-17040-9.pdf" TargetMode="External"/><Relationship Id="rId18" Type="http://schemas.openxmlformats.org/officeDocument/2006/relationships/hyperlink" Target="https://www.ethicscanvas.org/index.html" TargetMode="External"/><Relationship Id="rId630" Type="http://schemas.openxmlformats.org/officeDocument/2006/relationships/hyperlink" Target="https://blogs.microsoft.com/on-the-issues/2018/12/06/facial-recognition-its-time-for-action/" TargetMode="External"/><Relationship Id="rId84" Type="http://schemas.openxmlformats.org/officeDocument/2006/relationships/hyperlink" Target="https://www.gov.uk/government/publications/covid-19-repository-and-public-attitudes-retrospective" TargetMode="External"/><Relationship Id="rId83" Type="http://schemas.openxmlformats.org/officeDocument/2006/relationships/hyperlink" Target="https://www.microsoft.com/en-us/research/blog/research-collection-research-supporting-responsible-ai/" TargetMode="External"/><Relationship Id="rId86" Type="http://schemas.openxmlformats.org/officeDocument/2006/relationships/hyperlink" Target="https://www.huntonprivacyblog.com/wp-content/uploads/sites/28/2020/03/cipl-hunton_andrews_kurth_legal_note_-_how_gdpr_regulates_ai__12_march_2020_-1.pdf" TargetMode="External"/><Relationship Id="rId85" Type="http://schemas.openxmlformats.org/officeDocument/2006/relationships/hyperlink" Target="https://media.defense.gov/2019/Oct/31/2002204458/-1/-1/0/DIB_AI_PRINCIPLES_PRIMARY_DOCUMENT.PDF" TargetMode="External"/><Relationship Id="rId88" Type="http://schemas.openxmlformats.org/officeDocument/2006/relationships/hyperlink" Target="https://ad-aspi.s3.ap-southeast-2.amazonaws.com/2023-01/SR183%20AI%20Your%20questions%20answered.pdf?VersionId=RDGO41fuPaLXTscqQt0SKCfOkLU0G7.6" TargetMode="External"/><Relationship Id="rId87" Type="http://schemas.openxmlformats.org/officeDocument/2006/relationships/hyperlink" Target="https://uploads-ssl.webflow.com/614b70a71b9f71c9c240c7a7/630534b77182a3513398500f_Brussels_Effect_GovAI.pdf" TargetMode="External"/><Relationship Id="rId89" Type="http://schemas.openxmlformats.org/officeDocument/2006/relationships/hyperlink" Target="https://fr.unesco.org/sites/default/files/20210526mappingecosystemeiadsmaghreb.pdf" TargetMode="External"/><Relationship Id="rId709" Type="http://schemas.openxmlformats.org/officeDocument/2006/relationships/hyperlink" Target="https://www.whitehouse.gov/wp-content/uploads/2020/11/M-21-06.pdf" TargetMode="External"/><Relationship Id="rId708" Type="http://schemas.openxmlformats.org/officeDocument/2006/relationships/hyperlink" Target="https://www.whitehouse.gov/presidential-actions/executive-order-maintaining-american-leadership-artificial-intelligence/" TargetMode="External"/><Relationship Id="rId707" Type="http://schemas.openxmlformats.org/officeDocument/2006/relationships/hyperlink" Target="https://www3.weforum.org/docs/WEF_40065_White_Paper_How_to_Prevent_Discriminatory_Outcomes_in_Machine_Learning.pdf" TargetMode="External"/><Relationship Id="rId706" Type="http://schemas.openxmlformats.org/officeDocument/2006/relationships/hyperlink" Target="https://www.europarl.europa.eu/RegData/etudes/STUD/2021/696968/IPOL_STU(2021)696968_EN.pdf" TargetMode="External"/><Relationship Id="rId80" Type="http://schemas.openxmlformats.org/officeDocument/2006/relationships/hyperlink" Target="https://euipo.europa.eu/tunnel-web/secure/webdav/guest/document_library/observatory/documents/reports/2022_Impact_AI_on_the_Infringement_and_Enforcement_CR_Designs/2022_Impact_AI_on_the_Infringement_and_Enforcement_CR_Designs_FullR_en.pdf" TargetMode="External"/><Relationship Id="rId82" Type="http://schemas.openxmlformats.org/officeDocument/2006/relationships/hyperlink" Target="https://www.humanetech.com/technologists" TargetMode="External"/><Relationship Id="rId81" Type="http://schemas.openxmlformats.org/officeDocument/2006/relationships/hyperlink" Target="https://www.cdt.info/ddtool/" TargetMode="External"/><Relationship Id="rId701" Type="http://schemas.openxmlformats.org/officeDocument/2006/relationships/hyperlink" Target="https://www.verdi.de/++file++5d8240de2193fb3d0b019e30/download/ver.di-Diskussionspapier%20zu%20KI-Leitlinien%20fu%CC%88r%20Gemeinwohl%20und%20Gute%20Arbeit_2019.pdf" TargetMode="External"/><Relationship Id="rId700" Type="http://schemas.openxmlformats.org/officeDocument/2006/relationships/hyperlink" Target="http://julkaisut.valtioneuvosto.fi/bitstream/handle/10024/161688/41_19_Leading%20the%20way%20into%20the%20age%20of%20artificial%20intelligence.pdf" TargetMode="External"/><Relationship Id="rId705" Type="http://schemas.openxmlformats.org/officeDocument/2006/relationships/hyperlink" Target="https://blog.unity.com/technology/introducing-unitys-guiding-principles-for-ethical-ai" TargetMode="External"/><Relationship Id="rId704" Type="http://schemas.openxmlformats.org/officeDocument/2006/relationships/hyperlink" Target="https://www.gov.uk/government/publications/artificial-intelligence-sector-deal/ai-sector-deal" TargetMode="External"/><Relationship Id="rId703" Type="http://schemas.openxmlformats.org/officeDocument/2006/relationships/hyperlink" Target="https://www.vodafone.com/about-vodafone/how-we-operate/public-policy/policy-positions/artificial-intelligence-framework" TargetMode="External"/><Relationship Id="rId702" Type="http://schemas.openxmlformats.org/officeDocument/2006/relationships/hyperlink" Target="https://www.verivox.de/company/selbstverpflichtung/" TargetMode="External"/><Relationship Id="rId73" Type="http://schemas.openxmlformats.org/officeDocument/2006/relationships/hyperlink" Target="https://www.acm.org/binaries/content/assets/public-policy/2017_usacm_statement_accessibility.pdf" TargetMode="External"/><Relationship Id="rId72" Type="http://schemas.openxmlformats.org/officeDocument/2006/relationships/hyperlink" Target="https://www.gov.br/mcti/pt-br/centrais-de-conteudo/comunicados-mcti/estrategia-digital-brasileira/digitalstrategy.pdf" TargetMode="External"/><Relationship Id="rId75" Type="http://schemas.openxmlformats.org/officeDocument/2006/relationships/hyperlink" Target="https://ki-verband.de/ki-guetesiegel-ai-made-in-germany" TargetMode="External"/><Relationship Id="rId74" Type="http://schemas.openxmlformats.org/officeDocument/2006/relationships/hyperlink" Target="https://rm.coe.int/conclusions-helsinki-conference-26-27-02-2019/168093bfca" TargetMode="External"/><Relationship Id="rId77" Type="http://schemas.openxmlformats.org/officeDocument/2006/relationships/hyperlink" Target="https://www.datenschutz.bremen.de/sixcms/media.php/13/Hambacher_Erklaerung_englisch.pdf" TargetMode="External"/><Relationship Id="rId76" Type="http://schemas.openxmlformats.org/officeDocument/2006/relationships/hyperlink" Target="https://www.europarl.europa.eu/doceo/document/TA-9-2022-0140_EN.pdf" TargetMode="External"/><Relationship Id="rId79" Type="http://schemas.openxmlformats.org/officeDocument/2006/relationships/hyperlink" Target="https://www.cbs.nl/-/media/_pdf/2018/48/verkennend%20onderzoek%20naar%20het%20gebruik%20van%20algoritmen%20binnen%20overheidsorganisaties.pdf" TargetMode="External"/><Relationship Id="rId78" Type="http://schemas.openxmlformats.org/officeDocument/2006/relationships/hyperlink" Target="https://www.mpo.cz/assets/en/guidepost/for-the-media/press-releases/2019/5/NAIS_eng_web.pdf" TargetMode="External"/><Relationship Id="rId71" Type="http://schemas.openxmlformats.org/officeDocument/2006/relationships/hyperlink" Target="https://www.ohchr.org/en/calls-for-input/2021/right-privacy-digital-age-report-2021" TargetMode="External"/><Relationship Id="rId70" Type="http://schemas.openxmlformats.org/officeDocument/2006/relationships/hyperlink" Target="https://www.bitkom.org/Bitkom/Publikationen/Empfehlungen-fuer-den-verantwortlichen-Einsatz-von-KI-und-automatisierten-Entscheidungen-Corporate-Digital-Responsibility-and-Decision-Making.html" TargetMode="External"/><Relationship Id="rId62" Type="http://schemas.openxmlformats.org/officeDocument/2006/relationships/hyperlink" Target="https://womenleadinginai.org/wp-content/uploads/2019/02/WLiAI-Report-2019.pdf" TargetMode="External"/><Relationship Id="rId61" Type="http://schemas.openxmlformats.org/officeDocument/2006/relationships/hyperlink" Target="https://www.bmk.gv.at/dam/jcr:8acef058-7167-4335-880e-9fa341b723c8/aimat_ua.pdf" TargetMode="External"/><Relationship Id="rId64" Type="http://schemas.openxmlformats.org/officeDocument/2006/relationships/hyperlink" Target="https://web-assets.bcg.com/3a/4a/66275bf64d92b78b8fabeb3fe705/22-05-31-the-future-of-digital-justice-bls-bcg-web.pdf" TargetMode="External"/><Relationship Id="rId63" Type="http://schemas.openxmlformats.org/officeDocument/2006/relationships/hyperlink" Target="https://www.axon.com/news/technology/axon-committed-to-listening-and-learning" TargetMode="External"/><Relationship Id="rId66" Type="http://schemas.openxmlformats.org/officeDocument/2006/relationships/hyperlink" Target="https://www.europarl.europa.eu/doceo/document/A-9-2020-0186_EN.pdf" TargetMode="External"/><Relationship Id="rId65" Type="http://schemas.openxmlformats.org/officeDocument/2006/relationships/hyperlink" Target="https://ssrn.com/abstract=3518482" TargetMode="External"/><Relationship Id="rId68" Type="http://schemas.openxmlformats.org/officeDocument/2006/relationships/hyperlink" Target="https://nvlpubs.nist.gov/nistpubs/ir/2021/NIST.IR.8312.pdf" TargetMode="External"/><Relationship Id="rId67" Type="http://schemas.openxmlformats.org/officeDocument/2006/relationships/hyperlink" Target="https://www.itechlaw.org/publication/responsible-ai-2021-update/" TargetMode="External"/><Relationship Id="rId609" Type="http://schemas.openxmlformats.org/officeDocument/2006/relationships/hyperlink" Target="https://slate.com/technology/2016/06/microsoft-ceo-satya-nadella-humans-and-a-i-can-work-together-to-solve-societys-challenges.html" TargetMode="External"/><Relationship Id="rId608" Type="http://schemas.openxmlformats.org/officeDocument/2006/relationships/hyperlink" Target="https://github.com/GoodTechnologyCollective/GTS" TargetMode="External"/><Relationship Id="rId607" Type="http://schemas.openxmlformats.org/officeDocument/2006/relationships/hyperlink" Target="https://www.fatml.org/resources/principles-for-accountable-algorithms" TargetMode="External"/><Relationship Id="rId60" Type="http://schemas.openxmlformats.org/officeDocument/2006/relationships/hyperlink" Target="https://www.acrai.at/wp-content/uploads/2019/04/190315_Ratsempfehlung_zum_Strategieprozess_AIM_AT_2030.pdf" TargetMode="External"/><Relationship Id="rId602" Type="http://schemas.openxmlformats.org/officeDocument/2006/relationships/hyperlink" Target="https://criticalengineering.org/en" TargetMode="External"/><Relationship Id="rId723" Type="http://schemas.openxmlformats.org/officeDocument/2006/relationships/hyperlink" Target="https://publications.jrc.ec.europa.eu/repository/bitstream/JRC120399/jrc120399_misuraca-ai-watch_public-services_30062020_def.pdf" TargetMode="External"/><Relationship Id="rId601" Type="http://schemas.openxmlformats.org/officeDocument/2006/relationships/hyperlink" Target="https://ethical.institute/principles.html" TargetMode="External"/><Relationship Id="rId722" Type="http://schemas.openxmlformats.org/officeDocument/2006/relationships/hyperlink" Target="https://www.csiro.au/-/media/D61/Reports/Artificial-Intelligence-ethics-framework.pdf" TargetMode="External"/><Relationship Id="rId600" Type="http://schemas.openxmlformats.org/officeDocument/2006/relationships/hyperlink" Target="https://reghorizon.com/wp-content/uploads/2021/02/RegHorizon-AI-Policy-Conference-2020-Summary.pdf" TargetMode="External"/><Relationship Id="rId721" Type="http://schemas.openxmlformats.org/officeDocument/2006/relationships/hyperlink" Target="https://pace.coe.int/files/28715/pdf" TargetMode="External"/><Relationship Id="rId720" Type="http://schemas.openxmlformats.org/officeDocument/2006/relationships/hyperlink" Target="https://www.who.int/publications/i/item/9789240038462" TargetMode="External"/><Relationship Id="rId606" Type="http://schemas.openxmlformats.org/officeDocument/2006/relationships/hyperlink" Target="https://www.oecd-ilibrary.org/docserver/7babf571-en.pdf?expires=1700910550&amp;id=id&amp;accname=guest&amp;checksum=A3116351E36F167E26FDAA8262575B12" TargetMode="External"/><Relationship Id="rId605" Type="http://schemas.openxmlformats.org/officeDocument/2006/relationships/hyperlink" Target="https://www.europarl.europa.eu/RegData/etudes/STUD/2021/662906/IPOL_STU(2021)662906_EN.pdf" TargetMode="External"/><Relationship Id="rId604" Type="http://schemas.openxmlformats.org/officeDocument/2006/relationships/hyperlink" Target="https://ethics.org.au/ethical-by-design/" TargetMode="External"/><Relationship Id="rId603" Type="http://schemas.openxmlformats.org/officeDocument/2006/relationships/hyperlink" Target="https://www.tietoevry.com/contentassets/b097de43d84d4c84832f1fff2cb6a30d/tieto-s-ai-ethics-guidelines.pdf" TargetMode="External"/><Relationship Id="rId724" Type="http://schemas.openxmlformats.org/officeDocument/2006/relationships/drawing" Target="../drawings/drawing1.xml"/><Relationship Id="rId69" Type="http://schemas.openxmlformats.org/officeDocument/2006/relationships/hyperlink" Target="https://www.bitkom.org/sites/default/files/file/import/150901-Bitkom-Positionspapier-Big-Data-Leitlinien.pdf" TargetMode="External"/><Relationship Id="rId51" Type="http://schemas.openxmlformats.org/officeDocument/2006/relationships/hyperlink" Target="http://www.wfeo.org/big-data-and-ai-principles-in-engineering/" TargetMode="External"/><Relationship Id="rId50" Type="http://schemas.openxmlformats.org/officeDocument/2006/relationships/hyperlink" Target="https://www.acm.org/binaries/content/assets/public-policy/usacm/2018-usacm-statement-law-enforcement-access.pdf" TargetMode="External"/><Relationship Id="rId53" Type="http://schemas.openxmlformats.org/officeDocument/2006/relationships/hyperlink" Target="https://www.acm.org/binaries/content/assets/public-policy/2017_joint_statement_iotprivacysecurity.pdf" TargetMode="External"/><Relationship Id="rId52" Type="http://schemas.openxmlformats.org/officeDocument/2006/relationships/hyperlink" Target="https://buyandsell.gc.ca/cds/public/2018/06/28/05baa93c08b6f2d3000855170f831066/ABES.PROD.PW__EE.B017.E33657.EBSU000.PDF" TargetMode="External"/><Relationship Id="rId55" Type="http://schemas.openxmlformats.org/officeDocument/2006/relationships/hyperlink" Target="https://publications.jrc.ec.europa.eu/repository/bitstream/JRC126665/jrc126665_sustainable_implementation_of_ai_in_public_services_technical-report_v2.pdf" TargetMode="External"/><Relationship Id="rId54" Type="http://schemas.openxmlformats.org/officeDocument/2006/relationships/hyperlink" Target="https://www.acm.org/code-of-ethics" TargetMode="External"/><Relationship Id="rId57" Type="http://schemas.openxmlformats.org/officeDocument/2006/relationships/hyperlink" Target="https://edri.org/wp-content/uploads/2021/01/EDRi-open-letter-AI-red-lines.pdf" TargetMode="External"/><Relationship Id="rId56" Type="http://schemas.openxmlformats.org/officeDocument/2006/relationships/hyperlink" Target="https://standards.ieee.org/initiatives/autonomous-intelligence-systems/ethical-dilemmas-ai-report/" TargetMode="External"/><Relationship Id="rId719" Type="http://schemas.openxmlformats.org/officeDocument/2006/relationships/hyperlink" Target="https://hai.stanford.edu/sites/default/files/2021-10/HAI_NRCR_2021_0.pdf" TargetMode="External"/><Relationship Id="rId718" Type="http://schemas.openxmlformats.org/officeDocument/2006/relationships/hyperlink" Target="https://ainowinstitute.org/wp-content/uploads/2023/04/AI_Now_2018_Report.pdf" TargetMode="External"/><Relationship Id="rId717" Type="http://schemas.openxmlformats.org/officeDocument/2006/relationships/hyperlink" Target="https://www.gov.uk/government/publications/ambitious-safe-responsible-our-approach-to-the-delivery-of-ai-enabled-capability-in-defence/ambitious-safe-responsible-our-approach-to-the-delivery-of-ai-enabled-capability-in-defence" TargetMode="External"/><Relationship Id="rId712" Type="http://schemas.openxmlformats.org/officeDocument/2006/relationships/hyperlink" Target="https://www3.weforum.org/docs/WEF_AI_Procurement_in_a_Box_Project_Overview_2020.pdf" TargetMode="External"/><Relationship Id="rId711" Type="http://schemas.openxmlformats.org/officeDocument/2006/relationships/hyperlink" Target="https://felixreda.eu/wp-content/uploads/2017/02/Green-Digital-Working-Group-Position-on-Robotics-and-Artificial-Intelligence-2016-11-22.pdf" TargetMode="External"/><Relationship Id="rId710" Type="http://schemas.openxmlformats.org/officeDocument/2006/relationships/hyperlink" Target="https://www.portugal.gov.pt/download-ficheiros/ficheiro.aspx?v=%3D%3DBAAAAB%2BLCAAAAAAABACzMDQxAQC3h%2ByrBAAAAA%3D%3D" TargetMode="External"/><Relationship Id="rId716" Type="http://schemas.openxmlformats.org/officeDocument/2006/relationships/hyperlink" Target="https://www.hbku.edu.qa/en/qcri/center-artificial-intelligence" TargetMode="External"/><Relationship Id="rId715" Type="http://schemas.openxmlformats.org/officeDocument/2006/relationships/hyperlink" Target="https://www.vinnova.se/contentassets/72ddc02d541141258d10d60a752677df/vr-18_12.pdf?cb=20180924082158" TargetMode="External"/><Relationship Id="rId714" Type="http://schemas.openxmlformats.org/officeDocument/2006/relationships/hyperlink" Target="https://www.sony.com/en/SonyInfo/sony_ai/responsible_ai.html" TargetMode="External"/><Relationship Id="rId713" Type="http://schemas.openxmlformats.org/officeDocument/2006/relationships/hyperlink" Target="https://help.twitter.com/en/rules-and-policies/twitter-moments-guidelines-and-principles" TargetMode="External"/><Relationship Id="rId59" Type="http://schemas.openxmlformats.org/officeDocument/2006/relationships/hyperlink" Target="https://www.newamerica.org/cybersecurity-initiative/digichina/blog/translation-chinese-expert-group-offers-governance-principles-responsible-ai/" TargetMode="External"/><Relationship Id="rId58" Type="http://schemas.openxmlformats.org/officeDocument/2006/relationships/hyperlink" Target="https://tech.humanrights.gov.au/sites/default/files/2021-05/AHRC_RightsTech_2021_Final_Report.pdf" TargetMode="External"/><Relationship Id="rId590" Type="http://schemas.openxmlformats.org/officeDocument/2006/relationships/hyperlink" Target="https://www.telefonica.com/en/sustainability-innovation/how-we-work/business-principles/" TargetMode="External"/><Relationship Id="rId107" Type="http://schemas.openxmlformats.org/officeDocument/2006/relationships/hyperlink" Target="https://www.cnil.fr/en/self-assessment-guide-artificial-intelligence-ai-systems" TargetMode="External"/><Relationship Id="rId228" Type="http://schemas.openxmlformats.org/officeDocument/2006/relationships/hyperlink" Target="https://obamawhitehouse.archives.gov/sites/default/files/whitehouse_files/microsites/ostp/NSTC/preparing_for_the_future_of_ai.pdf" TargetMode="External"/><Relationship Id="rId349" Type="http://schemas.openxmlformats.org/officeDocument/2006/relationships/hyperlink" Target="https://www.arm.com/blogs/blueprint/wp-content/uploads/2019/11/Arm-AI-Trust-Manifesto-2019.pdf" TargetMode="External"/><Relationship Id="rId106" Type="http://schemas.openxmlformats.org/officeDocument/2006/relationships/hyperlink" Target="https://www.cnil.fr/sites/default/files/atoms/files/cnil_rapport_ai_gb_web.pdf" TargetMode="External"/><Relationship Id="rId227" Type="http://schemas.openxmlformats.org/officeDocument/2006/relationships/hyperlink" Target="https://papers.ssrn.com/sol3/papers.cfm?abstract_id=3198732" TargetMode="External"/><Relationship Id="rId348" Type="http://schemas.openxmlformats.org/officeDocument/2006/relationships/hyperlink" Target="https://www.gov.il/BlobFolder/generalpage/strategic_plan_19/en/STRATIGY-%20ICT%20AUTHORITY%20-%20ENGLISH.pdf" TargetMode="External"/><Relationship Id="rId469" Type="http://schemas.openxmlformats.org/officeDocument/2006/relationships/hyperlink" Target="https://www.thalesgroup.com/sites/default/files/database/document/2021-11/gov-wp-facial-recognition-2021.pdf" TargetMode="External"/><Relationship Id="rId105" Type="http://schemas.openxmlformats.org/officeDocument/2006/relationships/hyperlink" Target="https://www.cnil.fr/sites/default/files/atoms/files/cameras-intelligentes-augmentees_position_cnil.pdf" TargetMode="External"/><Relationship Id="rId226" Type="http://schemas.openxmlformats.org/officeDocument/2006/relationships/hyperlink" Target="https://unesdoc.unesco.org/ark:/48223/pf0000253952" TargetMode="External"/><Relationship Id="rId347" Type="http://schemas.openxmlformats.org/officeDocument/2006/relationships/hyperlink" Target="https://www.gov.uk/government/collections/a-guide-to-using-artificial-intelligence-in-the-public-sector" TargetMode="External"/><Relationship Id="rId468" Type="http://schemas.openxmlformats.org/officeDocument/2006/relationships/hyperlink" Target="https://nap.nationalacademies.org/read/24886/chapter/7" TargetMode="External"/><Relationship Id="rId589" Type="http://schemas.openxmlformats.org/officeDocument/2006/relationships/hyperlink" Target="https://www.oecd-ilibrary.org/deliver/22729bd6-en.pdf?itemId=%2Fcontent%2Fpaper%2F22729bd6-en&amp;mimeType=pdf" TargetMode="External"/><Relationship Id="rId104" Type="http://schemas.openxmlformats.org/officeDocument/2006/relationships/hyperlink" Target="https://link.springer.com/article/10.1007/s10115-011-0463-8" TargetMode="External"/><Relationship Id="rId225" Type="http://schemas.openxmlformats.org/officeDocument/2006/relationships/hyperlink" Target="https://digital-strategy.ec.europa.eu/en/library/proposal-regulation-european-approach-artificial-intelligence" TargetMode="External"/><Relationship Id="rId346" Type="http://schemas.openxmlformats.org/officeDocument/2006/relationships/hyperlink" Target="https://tsapps.nist.gov/publication/get_pdf.cfm?pub_id=934464" TargetMode="External"/><Relationship Id="rId467" Type="http://schemas.openxmlformats.org/officeDocument/2006/relationships/hyperlink" Target="https://blog.mozilla.org/en/mozilla/facebook-and-google-this-is-what-an-effective-ad-archive-api-looks-like/" TargetMode="External"/><Relationship Id="rId588" Type="http://schemas.openxmlformats.org/officeDocument/2006/relationships/hyperlink" Target="https://www.article19.org/wp-content/uploads/2018/04/Privacy-and-Freedom-of-Expression-In-the-Age-of-Artificial-Intelligence-1.pdf" TargetMode="External"/><Relationship Id="rId109" Type="http://schemas.openxmlformats.org/officeDocument/2006/relationships/hyperlink" Target="https://www.congress.gov/bill/116th-congress/house-bill/6216/text" TargetMode="External"/><Relationship Id="rId108" Type="http://schemas.openxmlformats.org/officeDocument/2006/relationships/hyperlink" Target="https://ec.europa.eu/newsroom/dae/document.cfm?doc_id=60343" TargetMode="External"/><Relationship Id="rId229" Type="http://schemas.openxmlformats.org/officeDocument/2006/relationships/hyperlink" Target="http://www.europarl.europa.eu/sides/getDoc.do?pubRef=-//EP//TEXT+TA+P8-TA-2017-0051+0+DOC+XML+V0//EN" TargetMode="External"/><Relationship Id="rId220" Type="http://schemas.openxmlformats.org/officeDocument/2006/relationships/hyperlink" Target="https://www.ai4belgium.be/wp-content/uploads/2019/04/report_en.pdf" TargetMode="External"/><Relationship Id="rId341" Type="http://schemas.openxmlformats.org/officeDocument/2006/relationships/hyperlink" Target="https://www.telefonica.com/wp-content/uploads/sites/7/2021/11/principios-ai-eng-2018.pdf" TargetMode="External"/><Relationship Id="rId462" Type="http://schemas.openxmlformats.org/officeDocument/2006/relationships/hyperlink" Target="https://www.minciencia.gob.cl/uploads/filer_public/bc/38/bc389daf-4514-4306-867c-760ae7686e2c/documento_politica_ia_digital_.pdf" TargetMode="External"/><Relationship Id="rId583" Type="http://schemas.openxmlformats.org/officeDocument/2006/relationships/hyperlink" Target="https://www.nedo.go.jp/content/100865202.pdf" TargetMode="External"/><Relationship Id="rId340" Type="http://schemas.openxmlformats.org/officeDocument/2006/relationships/hyperlink" Target="https://www.kas.de/documents/252038/7995358/Analysis+of+current+global+AI+developments+with+a+focus+on+Europe.pdf/da00b869-cc82-03e4-a45d-b74357fdd9c1?version=1.0&amp;t=1606820629157" TargetMode="External"/><Relationship Id="rId461" Type="http://schemas.openxmlformats.org/officeDocument/2006/relationships/hyperlink" Target="https://z-inspection.org/about/" TargetMode="External"/><Relationship Id="rId582" Type="http://schemas.openxmlformats.org/officeDocument/2006/relationships/hyperlink" Target="https://dataethics.eu/data-ethics-principles/" TargetMode="External"/><Relationship Id="rId460" Type="http://schemas.openxmlformats.org/officeDocument/2006/relationships/hyperlink" Target="http://www.regeringen.se/4ac6ee/contentassets/56e701d354824bcb9826ea0839ab28f3/sa-starker-vi-den-personliga-integriteten-sou-201752" TargetMode="External"/><Relationship Id="rId581" Type="http://schemas.openxmlformats.org/officeDocument/2006/relationships/hyperlink" Target="https://digichina.stanford.edu/work/full-translation-chinas-new-generation-artificial-intelligence-development-plan-2017/" TargetMode="External"/><Relationship Id="rId580" Type="http://schemas.openxmlformats.org/officeDocument/2006/relationships/hyperlink" Target="https://www.teliacompany.com/assets/u5c1v3pt22v8/2vc3JrcTrqI77ww43dChjh/a1ddbf5d79d203a1aa3cceb3e43c719d/Telia_Company-s_Guiding_principles_for_AI_Ethics.pdf" TargetMode="External"/><Relationship Id="rId103" Type="http://schemas.openxmlformats.org/officeDocument/2006/relationships/hyperlink" Target="https://www.ethikrat.org/fileadmin/Publikationen/Stellungnahmen/englisch/opinion-big-data-and-health-summary.pdf" TargetMode="External"/><Relationship Id="rId224" Type="http://schemas.openxmlformats.org/officeDocument/2006/relationships/hyperlink" Target="https://ec.europa.eu/docsroom/documents/43845" TargetMode="External"/><Relationship Id="rId345" Type="http://schemas.openxmlformats.org/officeDocument/2006/relationships/hyperlink" Target="https://pair.withgoogle.com/" TargetMode="External"/><Relationship Id="rId466" Type="http://schemas.openxmlformats.org/officeDocument/2006/relationships/hyperlink" Target="https://montrealethics.ai/wp-content/uploads/2022/01/State-of-AI-Ethics-Report-Volume-6-February-2022.pdf" TargetMode="External"/><Relationship Id="rId587" Type="http://schemas.openxmlformats.org/officeDocument/2006/relationships/hyperlink" Target="https://www.g20-insights.org/wp-content/uploads/2019/04/T20-Recommendations-Report_TF7-The-Future-of-Work-and-Education-in-the-Digital-Age.pdf" TargetMode="External"/><Relationship Id="rId102" Type="http://schemas.openxmlformats.org/officeDocument/2006/relationships/hyperlink" Target="https://www.lco-cdo.org/wp-content/uploads/2021/12/Comparing-European-and-Canadian-AI-Regulation-Final-November-2021.pdf" TargetMode="External"/><Relationship Id="rId223" Type="http://schemas.openxmlformats.org/officeDocument/2006/relationships/hyperlink" Target="https://eur-lex.europa.eu/legal-content/EN/TXT/HTML/?uri=CELEX:52020DC0591&amp;from=EN" TargetMode="External"/><Relationship Id="rId344" Type="http://schemas.openxmlformats.org/officeDocument/2006/relationships/hyperlink" Target="https://www.heise.de/downloads/18/2/7/0/8/1/7/0/safety-first-for-automated-driving.pdf" TargetMode="External"/><Relationship Id="rId465" Type="http://schemas.openxmlformats.org/officeDocument/2006/relationships/hyperlink" Target="https://montrealethics.ai/wp-content/uploads/2021/09/State-of-AI-Ethics-Report-Volume-5-July-2021.pdf" TargetMode="External"/><Relationship Id="rId586" Type="http://schemas.openxmlformats.org/officeDocument/2006/relationships/hyperlink" Target="https://unesdoc.unesco.org/ark:/48223/pf0000367422.locale=en" TargetMode="External"/><Relationship Id="rId101" Type="http://schemas.openxmlformats.org/officeDocument/2006/relationships/hyperlink" Target="https://www.op.fi/documents/20556/63695/Teko%C3%A4lyn+eettiset+periaatteet+EN/870b1f83-37bb-6013-f2b5-976d6d49aa85" TargetMode="External"/><Relationship Id="rId222" Type="http://schemas.openxmlformats.org/officeDocument/2006/relationships/hyperlink" Target="https://op.europa.eu/o/opportal-service/download-handler?identifier=651a6438-7357-11ec-9136-01aa75ed71a1&amp;format=pdf&amp;language=en&amp;productionSystem=cellar&amp;part=" TargetMode="External"/><Relationship Id="rId343" Type="http://schemas.openxmlformats.org/officeDocument/2006/relationships/hyperlink" Target="https://www.regjeringen.no/contentassets/1febbbb2c4fd4b7d92c67ddd353b6ae8/en-gb/pdfs/ki-strategi_en.pdf" TargetMode="External"/><Relationship Id="rId464" Type="http://schemas.openxmlformats.org/officeDocument/2006/relationships/hyperlink" Target="https://eur-lex.europa.eu/legal-content/EN/TXT/PDF/?uri=CELEX:52018DC0237&amp;from=EN" TargetMode="External"/><Relationship Id="rId585" Type="http://schemas.openxmlformats.org/officeDocument/2006/relationships/hyperlink" Target="https://data.consilium.europa.eu/doc/document/ST-11352-2018-INIT/en/pdf" TargetMode="External"/><Relationship Id="rId100" Type="http://schemas.openxmlformats.org/officeDocument/2006/relationships/hyperlink" Target="http://cerna-ethics-allistene.org/digitalAssets/38/38704_Avis_robotique_livret.pdf" TargetMode="External"/><Relationship Id="rId221" Type="http://schemas.openxmlformats.org/officeDocument/2006/relationships/hyperlink" Target="https://ec.europa.eu/jrc/communities/en/community/digitranscope/document/eu-declaration-cooperation-artificial-intelligence" TargetMode="External"/><Relationship Id="rId342" Type="http://schemas.openxmlformats.org/officeDocument/2006/relationships/hyperlink" Target="https://f98cc689-5814-47ec-86b3-db505a7c3978.filesusr.com/ugd/7df26f_27a618cb80a648c38be427194affa2f3.pdf" TargetMode="External"/><Relationship Id="rId463" Type="http://schemas.openxmlformats.org/officeDocument/2006/relationships/hyperlink" Target="https://rm.coe.int/feasability-study-en-cepej-2020-15/1680a0adf4" TargetMode="External"/><Relationship Id="rId584" Type="http://schemas.openxmlformats.org/officeDocument/2006/relationships/hyperlink" Target="https://digital-luxembourg.public.lu/sites/default/files/2020-09/AI_EN_0.pdf" TargetMode="External"/><Relationship Id="rId217" Type="http://schemas.openxmlformats.org/officeDocument/2006/relationships/hyperlink" Target="https://cis-india.org/internet-governance/files/data-for-the-benefit-of-people" TargetMode="External"/><Relationship Id="rId338" Type="http://schemas.openxmlformats.org/officeDocument/2006/relationships/hyperlink" Target="http://globalpolicy.ai/" TargetMode="External"/><Relationship Id="rId459" Type="http://schemas.openxmlformats.org/officeDocument/2006/relationships/hyperlink" Target="https://www.oecd.org/en/publications/ai-intelligent-machines-smart-policies_f1a650d9-en.html" TargetMode="External"/><Relationship Id="rId216" Type="http://schemas.openxmlformats.org/officeDocument/2006/relationships/hyperlink" Target="https://digital-strategy.ec.europa.eu/en/news/code-practice-disinformation" TargetMode="External"/><Relationship Id="rId337" Type="http://schemas.openxmlformats.org/officeDocument/2006/relationships/hyperlink" Target="https://declarationmontreal-iaresponsable.com/wp-content/uploads/2023/04/UdeM_Decl-IA-Resp_LA-Declaration-ENG_WEB_09-07-19.pdf" TargetMode="External"/><Relationship Id="rId458" Type="http://schemas.openxmlformats.org/officeDocument/2006/relationships/hyperlink" Target="https://www.nato.int/cps/en/natohq/official_texts_187617.htm" TargetMode="External"/><Relationship Id="rId579" Type="http://schemas.openxmlformats.org/officeDocument/2006/relationships/hyperlink" Target="https://reliefweb.int/attachments/41159932-9621-46ca-af1b-c57fe8a24da0/G2232396.pdf" TargetMode="External"/><Relationship Id="rId215" Type="http://schemas.openxmlformats.org/officeDocument/2006/relationships/hyperlink" Target="https://www.esma.europa.eu/sites/default/files/library/jc-2018-04_joint_committee_final_report_on_big_data.pdf" TargetMode="External"/><Relationship Id="rId336" Type="http://schemas.openxmlformats.org/officeDocument/2006/relationships/hyperlink" Target="https://globalnetworkinitiative.org/wp-content/uploads/2018/04/GNI-Principles-on-Freedom-of-Expression-and-Privacy.pdf" TargetMode="External"/><Relationship Id="rId457" Type="http://schemas.openxmlformats.org/officeDocument/2006/relationships/hyperlink" Target="https://www.newamerica.org/cybersecurity-initiative/digichina/blog/translation-chinese-government-outlines-ai-ambitions-through-2020/" TargetMode="External"/><Relationship Id="rId578" Type="http://schemas.openxmlformats.org/officeDocument/2006/relationships/hyperlink" Target="https://malta.ai/wp-content/uploads/2019/11/Malta_The_Ultimate_AI_Launchpad_vFinal.pdf" TargetMode="External"/><Relationship Id="rId699" Type="http://schemas.openxmlformats.org/officeDocument/2006/relationships/hyperlink" Target="https://dataschool.nl/en/deda/" TargetMode="External"/><Relationship Id="rId214" Type="http://schemas.openxmlformats.org/officeDocument/2006/relationships/hyperlink" Target="https://edps.europa.eu/node/4907" TargetMode="External"/><Relationship Id="rId335" Type="http://schemas.openxmlformats.org/officeDocument/2006/relationships/hyperlink" Target="https://germanycoe.de/storage/documents/Conference_Conclusions.pdf" TargetMode="External"/><Relationship Id="rId456" Type="http://schemas.openxmlformats.org/officeDocument/2006/relationships/hyperlink" Target="https://www.europarl.europa.eu/RegData/etudes/BRIE/2019/640163/EPRS_BRI(2019)640163_EN.pdf" TargetMode="External"/><Relationship Id="rId577" Type="http://schemas.openxmlformats.org/officeDocument/2006/relationships/hyperlink" Target="https://cset.georgetown.edu/publication/artificial-intelligence-standardization-white-paper/" TargetMode="External"/><Relationship Id="rId698" Type="http://schemas.openxmlformats.org/officeDocument/2006/relationships/hyperlink" Target="https://www.uu.nl/sites/default/files/rebo-montaigne-algoritmes_en_grondrechten.pdf" TargetMode="External"/><Relationship Id="rId219" Type="http://schemas.openxmlformats.org/officeDocument/2006/relationships/hyperlink" Target="https://publications.jrc.ec.europa.eu/repository/bitstream/JRC122684/ai_watch_report_national_ai_strategies.pdf" TargetMode="External"/><Relationship Id="rId218" Type="http://schemas.openxmlformats.org/officeDocument/2006/relationships/hyperlink" Target="https://education.ec.europa.eu/focus-topics/digital-education/action-plan" TargetMode="External"/><Relationship Id="rId339" Type="http://schemas.openxmlformats.org/officeDocument/2006/relationships/hyperlink" Target="https://www.blog.google/technology/ai/external-advisory-council-help-advance-responsible-development-ai/" TargetMode="External"/><Relationship Id="rId330" Type="http://schemas.openxmlformats.org/officeDocument/2006/relationships/hyperlink" Target="https://www.oecd-ilibrary.org/deliver/c2c1d276-en.pdf?itemId=%2Fcontent%2Fpaper%2Fc2c1d276-en&amp;mimeType=pdf" TargetMode="External"/><Relationship Id="rId451" Type="http://schemas.openxmlformats.org/officeDocument/2006/relationships/hyperlink" Target="https://www.mise.gov.it/images/stories/documenti/Strategia-Nazionale-Intelligenza-Artificiale-Bozza-Consultazione.pdf" TargetMode="External"/><Relationship Id="rId572" Type="http://schemas.openxmlformats.org/officeDocument/2006/relationships/hyperlink" Target="https://www.sohu.com/a/254630629_260616" TargetMode="External"/><Relationship Id="rId693" Type="http://schemas.openxmlformats.org/officeDocument/2006/relationships/hyperlink" Target="https://hal.archives-ouvertes.fr/hal-01849092/document" TargetMode="External"/><Relationship Id="rId450" Type="http://schemas.openxmlformats.org/officeDocument/2006/relationships/hyperlink" Target="https://nvlpubs.nist.gov/nistpubs/ai/NIST.AI.100-1.pdf" TargetMode="External"/><Relationship Id="rId571" Type="http://schemas.openxmlformats.org/officeDocument/2006/relationships/hyperlink" Target="https://www.international.gc.ca/world-monde/international_relations-relations_internationales/europe/2018-06-07-france_ai-ia_france.aspx?lang=eng" TargetMode="External"/><Relationship Id="rId692" Type="http://schemas.openxmlformats.org/officeDocument/2006/relationships/hyperlink" Target="http://cdn.aiindex.org/2018/AI%20Index%202018%20Annual%20Report.pdf" TargetMode="External"/><Relationship Id="rId570" Type="http://schemas.openxmlformats.org/officeDocument/2006/relationships/hyperlink" Target="https://www.shkjdw.gov.cn/c/2019-08-30/517552.shtml" TargetMode="External"/><Relationship Id="rId691" Type="http://schemas.openxmlformats.org/officeDocument/2006/relationships/hyperlink" Target="https://ethics.a-ai.ru/assets/ethics_files/2023/05/12/AI_ETHICS_CODE_10_01_1.pdf" TargetMode="External"/><Relationship Id="rId690" Type="http://schemas.openxmlformats.org/officeDocument/2006/relationships/hyperlink" Target="https://www.europarl.europa.eu/doceo/document/A-8-2017-0005_EN.html" TargetMode="External"/><Relationship Id="rId213" Type="http://schemas.openxmlformats.org/officeDocument/2006/relationships/hyperlink" Target="https://www.pwc.com/gx/en/issues/data-and-analytics/artificial-intelligence/what-is-responsible-ai/pwc-responsible-ai-maturing-from-theory-to-practice.pdf" TargetMode="External"/><Relationship Id="rId334" Type="http://schemas.openxmlformats.org/officeDocument/2006/relationships/hyperlink" Target="https://gi.de/ethicalguidelines" TargetMode="External"/><Relationship Id="rId455" Type="http://schemas.openxmlformats.org/officeDocument/2006/relationships/hyperlink" Target="https://vm.fi/en/auroraai-en" TargetMode="External"/><Relationship Id="rId576" Type="http://schemas.openxmlformats.org/officeDocument/2006/relationships/hyperlink" Target="https://www.bitkom.org/sites/default/files/file/import/171101-PP-Artificial-Intelligence-ENG-Web.pdf" TargetMode="External"/><Relationship Id="rId697" Type="http://schemas.openxmlformats.org/officeDocument/2006/relationships/hyperlink" Target="https://link.springer.com/article/10.1007/s11023-020-09517-8" TargetMode="External"/><Relationship Id="rId212" Type="http://schemas.openxmlformats.org/officeDocument/2006/relationships/hyperlink" Target="https://publications.jrc.ec.europa.eu/repository/handle/JRC113826" TargetMode="External"/><Relationship Id="rId333" Type="http://schemas.openxmlformats.org/officeDocument/2006/relationships/hyperlink" Target="http://www3.weforum.org/docs/WEF_40065_White_Paper_How_to_Prevent_Discriminatory_Outcomes_in_Machine_Learning.pdf" TargetMode="External"/><Relationship Id="rId454" Type="http://schemas.openxmlformats.org/officeDocument/2006/relationships/hyperlink" Target="http://www.regeringen.se/49adea/contentassets/5429e024be6847fc907b786ab954228f/digitaliseringsstrategin_slutlig_170518-2.pdf" TargetMode="External"/><Relationship Id="rId575" Type="http://schemas.openxmlformats.org/officeDocument/2006/relationships/hyperlink" Target="https://www.aepd.es/media/guias/guia-codigo-de-buenas-practicas-proyectos-de-big-data.pdf" TargetMode="External"/><Relationship Id="rId696" Type="http://schemas.openxmlformats.org/officeDocument/2006/relationships/hyperlink" Target="https://community.intel.com/t5/Blogs/Intel/Policy-Intel/Intel-Recommends-Public-Policy-Principles-for-Artificial/post/1333004" TargetMode="External"/><Relationship Id="rId211" Type="http://schemas.openxmlformats.org/officeDocument/2006/relationships/hyperlink" Target="https://history.siia.net/Portals/0/pdf/Policy/Ethical%20Principles%20for%20Artificial%20Intelligence%20and%20Data%20Analytics%20SIIA%20Issue%20Brief.pdf?ver=2017-11-06-160346-990" TargetMode="External"/><Relationship Id="rId332" Type="http://schemas.openxmlformats.org/officeDocument/2006/relationships/hyperlink" Target="https://www.mofa.go.jp/files/000486596.pdf" TargetMode="External"/><Relationship Id="rId453" Type="http://schemas.openxmlformats.org/officeDocument/2006/relationships/hyperlink" Target="https://www.srbija.gov.rs/tekst/en/149169" TargetMode="External"/><Relationship Id="rId574" Type="http://schemas.openxmlformats.org/officeDocument/2006/relationships/hyperlink" Target="https://www.lamoncloa.gob.es/presidente/actividades/Documents/2020/021220-ENIA.pdf" TargetMode="External"/><Relationship Id="rId695" Type="http://schemas.openxmlformats.org/officeDocument/2006/relationships/hyperlink" Target="https://www.oecd-ilibrary.org/sites/eedfee77-en/index.html?itemId=/content/publication/eedfee77-en" TargetMode="External"/><Relationship Id="rId210" Type="http://schemas.openxmlformats.org/officeDocument/2006/relationships/hyperlink" Target="https://op.europa.eu/en/publication-detail/-/publication/6ef4df8b-4cea-11e8-be1d-01aa75ed71a1/language-en" TargetMode="External"/><Relationship Id="rId331" Type="http://schemas.openxmlformats.org/officeDocument/2006/relationships/hyperlink" Target="http://globalpolicy.ieee.org/wp-content/uploads/2019/06/IEEE19002.pdf" TargetMode="External"/><Relationship Id="rId452" Type="http://schemas.openxmlformats.org/officeDocument/2006/relationships/hyperlink" Target="https://www.europarl.europa.eu/thinktank/en/document.html?reference=EPRS_STU(2020)654178" TargetMode="External"/><Relationship Id="rId573" Type="http://schemas.openxmlformats.org/officeDocument/2006/relationships/hyperlink" Target="http://www.europarl.europa.eu/RegData/etudes/BRIE/2021/662937/IPOL_BRI(2021)662937_EN.pdf" TargetMode="External"/><Relationship Id="rId694" Type="http://schemas.openxmlformats.org/officeDocument/2006/relationships/hyperlink" Target="https://www.accessnow.org/cms/assets/uploads/2018/11/AI-and-Human-Rights.pdf" TargetMode="External"/><Relationship Id="rId370" Type="http://schemas.openxmlformats.org/officeDocument/2006/relationships/hyperlink" Target="https://www.fonow.com/view/208592.html" TargetMode="External"/><Relationship Id="rId491" Type="http://schemas.openxmlformats.org/officeDocument/2006/relationships/hyperlink" Target="http://www.informatizacia.sk/ext_dok-uppvii_sp_manazment_udajov_vfinal/24196c" TargetMode="External"/><Relationship Id="rId490" Type="http://schemas.openxmlformats.org/officeDocument/2006/relationships/hyperlink" Target="https://www.thalesgroup.com/en/group/journalist/press_release/thales-true-ai-approach-artificial-intelligence-be-unveiled-paris" TargetMode="External"/><Relationship Id="rId129" Type="http://schemas.openxmlformats.org/officeDocument/2006/relationships/hyperlink" Target="https://edoc.coe.int/en/module/ec_addformat/download?cle=b430bedaf544d495473ae9767afc7111&amp;k=c3e8ae10658de1d4a47cbcf479c3c201" TargetMode="External"/><Relationship Id="rId128" Type="http://schemas.openxmlformats.org/officeDocument/2006/relationships/hyperlink" Target="https://search.coe.int/cm/Pages/result_details.aspx?ObjectId=0900001680a2cf96" TargetMode="External"/><Relationship Id="rId249" Type="http://schemas.openxmlformats.org/officeDocument/2006/relationships/hyperlink" Target="https://www.dst.defence.gov.au/sites/default/files/publications/documents/A%20Method%20for%20Ethical%20AI%20in%20Defence.pdf" TargetMode="External"/><Relationship Id="rId127" Type="http://schemas.openxmlformats.org/officeDocument/2006/relationships/hyperlink" Target="https://rm.coe.int/e-relevance-of-culture-in-the-age-of-ai-expert-seminar-on-culture-crea/168091e688" TargetMode="External"/><Relationship Id="rId248" Type="http://schemas.openxmlformats.org/officeDocument/2006/relationships/hyperlink" Target="https://unesdoc.unesco.org/ark:/48223/pf0000380861" TargetMode="External"/><Relationship Id="rId369" Type="http://schemas.openxmlformats.org/officeDocument/2006/relationships/hyperlink" Target="https://www.ibm.com/artificial-intelligence/ethics" TargetMode="External"/><Relationship Id="rId126" Type="http://schemas.openxmlformats.org/officeDocument/2006/relationships/hyperlink" Target="https://intelligence.org/files/EthicsofAI.pdf" TargetMode="External"/><Relationship Id="rId247" Type="http://schemas.openxmlformats.org/officeDocument/2006/relationships/hyperlink" Target="https://www8.cao.go.jp/cstp/tyousakai/ai/summary/aisociety_en.pdf" TargetMode="External"/><Relationship Id="rId368" Type="http://schemas.openxmlformats.org/officeDocument/2006/relationships/hyperlink" Target="https://www.mas.gov.sg/-/media/MAS/News-and-Publications/Monographs-and-Information-Papers/FEAT-Principles-Updated-7-Feb-19.pdf" TargetMode="External"/><Relationship Id="rId489" Type="http://schemas.openxmlformats.org/officeDocument/2006/relationships/hyperlink" Target="https://www.docdroid.com/kI3bJmo/mesures-publiques-dans-strategies-gouvernementales-ia-obiva-202202-pdf" TargetMode="External"/><Relationship Id="rId121" Type="http://schemas.openxmlformats.org/officeDocument/2006/relationships/hyperlink" Target="https://www.datenschutz-berlin.de/fileadmin/user_upload/pdf/publikationen/berlin-group/2018/2018-IWGDPT-Working_Paper_Artificial_Intelligence.pdf" TargetMode="External"/><Relationship Id="rId242" Type="http://schemas.openxmlformats.org/officeDocument/2006/relationships/hyperlink" Target="https://fra.europa.eu/sites/default/files/fra_uploads/fra-2022-bias-in-algorithms_en.pdf" TargetMode="External"/><Relationship Id="rId363" Type="http://schemas.openxmlformats.org/officeDocument/2006/relationships/hyperlink" Target="https://www.gov.uk/government/publications/data-ethics-framework/data-ethics-framework-2020" TargetMode="External"/><Relationship Id="rId484" Type="http://schemas.openxmlformats.org/officeDocument/2006/relationships/hyperlink" Target="https://rm.coe.int/guidelines-on-artificial-intelligence-and-data-protection/168091f9d8" TargetMode="External"/><Relationship Id="rId120" Type="http://schemas.openxmlformats.org/officeDocument/2006/relationships/hyperlink" Target="https://www.aepd.es/sites/default/files/2019-12/ai-ethics-guidelines.pdf" TargetMode="External"/><Relationship Id="rId241" Type="http://schemas.openxmlformats.org/officeDocument/2006/relationships/hyperlink" Target="https://www.rathenau.nl/sites/default/files/2018-02/Human%20Rights%20in%20the%20Robot%20Age-Rathenau%20Instituut-2017.pdf" TargetMode="External"/><Relationship Id="rId362" Type="http://schemas.openxmlformats.org/officeDocument/2006/relationships/hyperlink" Target="https://www.hdm-stuttgart.de/digitale-ethik/digitalkompetenz/ethische_unternehmensleitlinien;%20https://www.hdm-stuttgart.de/grimm/material/ethische_unternehmensleitlinien/material/UN_Regeln_booklet" TargetMode="External"/><Relationship Id="rId483" Type="http://schemas.openxmlformats.org/officeDocument/2006/relationships/hyperlink" Target="https://www.standards.org.au/getmedia/ede81912-55a2-4d8e-849f-9844993c3b9d/1515-An-Artificial-Intelligence-Standards-Roadmap12-02-2020.pdf.aspx" TargetMode="External"/><Relationship Id="rId240" Type="http://schemas.openxmlformats.org/officeDocument/2006/relationships/hyperlink" Target="https://global-uploads.webflow.com/5f57d40eb1c2ef22d8a8ca7e/62349d0fc097275eec2a930c_IFOW-AIA%20Policy%20Paper%20(v8-18.03.22).pdf" TargetMode="External"/><Relationship Id="rId361" Type="http://schemas.openxmlformats.org/officeDocument/2006/relationships/hyperlink" Target="https://assets.publishing.service.gov.uk/government/uploads/system/uploads/attachment_data/file/664563/industrial-strategy-white-paper-web-ready-version.pdf" TargetMode="External"/><Relationship Id="rId482" Type="http://schemas.openxmlformats.org/officeDocument/2006/relationships/hyperlink" Target="https://uxstudioteam.com/ux-blog/ai-ux/" TargetMode="External"/><Relationship Id="rId360" Type="http://schemas.openxmlformats.org/officeDocument/2006/relationships/hyperlink" Target="https://www.umweltdialog.de/de-wAssets/docs/2014-Dokumente-zu-Artikeln/leitfaden_unternehmen.pdf" TargetMode="External"/><Relationship Id="rId481" Type="http://schemas.openxmlformats.org/officeDocument/2006/relationships/hyperlink" Target="https://www.transportation.gov/sites/dot.gov/files/docs/policy-initiatives/automated-vehicles/360956/ensuringamericanleadershipav4.pdf" TargetMode="External"/><Relationship Id="rId125" Type="http://schemas.openxmlformats.org/officeDocument/2006/relationships/hyperlink" Target="https://hai.stanford.edu/sites/default/files/2020-07/HAI_WhitePaper_v4B.pdf" TargetMode="External"/><Relationship Id="rId246" Type="http://schemas.openxmlformats.org/officeDocument/2006/relationships/hyperlink" Target="https://www.adobe.com/about-adobe/aiethics.html" TargetMode="External"/><Relationship Id="rId367" Type="http://schemas.openxmlformats.org/officeDocument/2006/relationships/hyperlink" Target="https://knowledge4policy.ec.europa.eu/sites/default/files/netherlands-ai-strategy-report.pdf" TargetMode="External"/><Relationship Id="rId488" Type="http://schemas.openxmlformats.org/officeDocument/2006/relationships/hyperlink" Target="https://www.oreilly.com/ideas/of-oaths-and-checklists" TargetMode="External"/><Relationship Id="rId124" Type="http://schemas.openxmlformats.org/officeDocument/2006/relationships/hyperlink" Target="https://iris.who.int/bitstream/handle/10665/341996/9789240029200-eng.pdf?sequence=1" TargetMode="External"/><Relationship Id="rId245" Type="http://schemas.openxmlformats.org/officeDocument/2006/relationships/hyperlink" Target="https://publications.jrc.ec.europa.eu/repository/bitstream/JRC129614/JRC129614_01.pdf" TargetMode="External"/><Relationship Id="rId366" Type="http://schemas.openxmlformats.org/officeDocument/2006/relationships/hyperlink" Target="https://www.ia2030.mx/principios-ia" TargetMode="External"/><Relationship Id="rId487" Type="http://schemas.openxmlformats.org/officeDocument/2006/relationships/hyperlink" Target="https://ai-ethical.com/wp-content/uploads/2022/12/2022-SN-Guide-Methodo-IA-Ethiques-web-version.pdf" TargetMode="External"/><Relationship Id="rId123" Type="http://schemas.openxmlformats.org/officeDocument/2006/relationships/hyperlink" Target="https://kawa-news.com/en/saudi-arabia-unveils-national-ai-strategy/" TargetMode="External"/><Relationship Id="rId244" Type="http://schemas.openxmlformats.org/officeDocument/2006/relationships/hyperlink" Target="https://ec.europa.eu/newsroom/dae/document.cfm?doc_id=63199" TargetMode="External"/><Relationship Id="rId365" Type="http://schemas.openxmlformats.org/officeDocument/2006/relationships/hyperlink" Target="https://ia-latam.com/etica-ia-latam/" TargetMode="External"/><Relationship Id="rId486" Type="http://schemas.openxmlformats.org/officeDocument/2006/relationships/hyperlink" Target="https://ai-ethical.com/en/manifesto/" TargetMode="External"/><Relationship Id="rId122" Type="http://schemas.openxmlformats.org/officeDocument/2006/relationships/hyperlink" Target="https://rm.coe.int/cdpc-2018-18-draft-programme-thematic-session-artificial-intelligence-/16808e64ab" TargetMode="External"/><Relationship Id="rId243" Type="http://schemas.openxmlformats.org/officeDocument/2006/relationships/hyperlink" Target="https://www.europarl.europa.eu/RegData/etudes/STUD/2022/729533/EPRS_STU(2022)729533_EN.pdf" TargetMode="External"/><Relationship Id="rId364" Type="http://schemas.openxmlformats.org/officeDocument/2006/relationships/hyperlink" Target="https://arxiv.org/pdf/1802.07228.pdf" TargetMode="External"/><Relationship Id="rId485" Type="http://schemas.openxmlformats.org/officeDocument/2006/relationships/hyperlink" Target="https://algorithmwatch.org/wp-content/uploads/2017/06/AlgorithmWatch_Working-Paper_No_2_Ethics_ADM.pdf" TargetMode="External"/><Relationship Id="rId95" Type="http://schemas.openxmlformats.org/officeDocument/2006/relationships/hyperlink" Target="https://www.cifar.ca/ai/pan-canadian-artificial-intelligence-strategy" TargetMode="External"/><Relationship Id="rId94" Type="http://schemas.openxmlformats.org/officeDocument/2006/relationships/hyperlink" Target="https://ainowinstitute.org/wp-content/uploads/2023/04/AI_Now_2019_Report.pdf" TargetMode="External"/><Relationship Id="rId97" Type="http://schemas.openxmlformats.org/officeDocument/2006/relationships/hyperlink" Target="https://www.satw.ch/fileadmin/user_upload/documents/02_Themen/08_Kuenstliche-Intelligenz/SATW-Swiss_AI_Strategy.pdf" TargetMode="External"/><Relationship Id="rId96" Type="http://schemas.openxmlformats.org/officeDocument/2006/relationships/hyperlink" Target="https://www.adp.com/-/media/adp/redesign2018/pdf/data-privacy/ai-ethics-statement.pdf?rev=f155df771fea4850b310f17ca407f3f1&amp;hash=73364D9FB41931A7C1887B976538BE5C" TargetMode="External"/><Relationship Id="rId99" Type="http://schemas.openxmlformats.org/officeDocument/2006/relationships/hyperlink" Target="https://www.sage.com/investors/-/media/files/company/documents/pdf/business%20builders/latest%20news/business%20builders%20ethics%20of%20code.pdf" TargetMode="External"/><Relationship Id="rId480" Type="http://schemas.openxmlformats.org/officeDocument/2006/relationships/hyperlink" Target="https://www.cncdh.fr/sites/default/files/2022-05/A%20-%202022%20-%206%20%20-%20EN%20%20Artificial%20intelligence%20and%20fundamental%20rights%2C%20april%202022.pdf" TargetMode="External"/><Relationship Id="rId98" Type="http://schemas.openxmlformats.org/officeDocument/2006/relationships/hyperlink" Target="https://citiesfordigitalrights.org/assets/Declaration_Cities_for_Digital_Rights.pdf" TargetMode="External"/><Relationship Id="rId91" Type="http://schemas.openxmlformats.org/officeDocument/2006/relationships/hyperlink" Target="https://fra.europa.eu/sites/default/files/fra_uploads/fra-2019-facial-recognition-technology-focus-paper-1_en.pdf" TargetMode="External"/><Relationship Id="rId90" Type="http://schemas.openxmlformats.org/officeDocument/2006/relationships/hyperlink" Target="https://papers.ssrn.com/sol3/papers.cfm?abstract_id=3824736" TargetMode="External"/><Relationship Id="rId93" Type="http://schemas.openxmlformats.org/officeDocument/2006/relationships/hyperlink" Target="https://www.newamerica.org/cybersecurity-initiative/digichina/blog/translation-chinese-ai-alliance-drafts-self-discipline-joint-pledge/" TargetMode="External"/><Relationship Id="rId92" Type="http://schemas.openxmlformats.org/officeDocument/2006/relationships/hyperlink" Target="https://charta-digitale-vernetzung.de/app/uploads/2016/11/Charter-of-Digital-Networking.pdf" TargetMode="External"/><Relationship Id="rId118" Type="http://schemas.openxmlformats.org/officeDocument/2006/relationships/hyperlink" Target="https://www.ai-ethics-impact.org/resource/blob/1961130/c6db9894ee73aefa489d6249f5ee2b9f/aieig---report---download-hb-data.pdf" TargetMode="External"/><Relationship Id="rId239" Type="http://schemas.openxmlformats.org/officeDocument/2006/relationships/hyperlink" Target="https://civilrights.org/2014/02/27/civil-rights-principles-era-big-data/" TargetMode="External"/><Relationship Id="rId117" Type="http://schemas.openxmlformats.org/officeDocument/2006/relationships/hyperlink" Target="https://search.coe.int/cm/Pages/result_details.aspx?ObjectID=09000016809ed062" TargetMode="External"/><Relationship Id="rId238" Type="http://schemas.openxmlformats.org/officeDocument/2006/relationships/hyperlink" Target="https://ai.google/static/documents/ai-principles-2022-progress-update.pdf" TargetMode="External"/><Relationship Id="rId359" Type="http://schemas.openxmlformats.org/officeDocument/2006/relationships/hyperlink" Target="https://www.ranzcr.com/college/document-library/ethical-principles-for-ai-in-medicine" TargetMode="External"/><Relationship Id="rId116" Type="http://schemas.openxmlformats.org/officeDocument/2006/relationships/hyperlink" Target="https://www.microsoft.com/en-us/research/uploads/prod/2019/01/Guidelines-for-Human-AI-Interaction-camera-ready.pdf" TargetMode="External"/><Relationship Id="rId237" Type="http://schemas.openxmlformats.org/officeDocument/2006/relationships/hyperlink" Target="https://op.europa.eu/en/publication-detail/-/publication/4fb8e194-f634-11ea-991b-01aa75ed71a1" TargetMode="External"/><Relationship Id="rId358" Type="http://schemas.openxmlformats.org/officeDocument/2006/relationships/hyperlink" Target="https://www.abajournal.com/legalrebels/article/a_principled_artificial_intelligence_could_improve_justice" TargetMode="External"/><Relationship Id="rId479" Type="http://schemas.openxmlformats.org/officeDocument/2006/relationships/hyperlink" Target="https://journals.plos.org/ploscompbiol/article/file?id=10.1371/journal.pcbi.1005399&amp;type=printable" TargetMode="External"/><Relationship Id="rId115" Type="http://schemas.openxmlformats.org/officeDocument/2006/relationships/hyperlink" Target="https://www.defenseurdesdroits.fr/sites/default/files/2023-07/ddd_rapport_algorithmes_2020_EN_20200531.pdf" TargetMode="External"/><Relationship Id="rId236" Type="http://schemas.openxmlformats.org/officeDocument/2006/relationships/hyperlink" Target="https://www.gov.uk/government/publications/code-of-conduct-for-data-driven-health-and-care-technology/initial-code-of-conduct-for-data-driven-health-and-care-technology" TargetMode="External"/><Relationship Id="rId357" Type="http://schemas.openxmlformats.org/officeDocument/2006/relationships/hyperlink" Target="https://www.gov.uk/government/uploads/system/uploads/attachment_data/file/709515/2018-05-16_Statistics_Statement-of-Principles_and_CoP_Data_Systems.pdf" TargetMode="External"/><Relationship Id="rId478" Type="http://schemas.openxmlformats.org/officeDocument/2006/relationships/hyperlink" Target="https://www.aisingapore.org/" TargetMode="External"/><Relationship Id="rId599" Type="http://schemas.openxmlformats.org/officeDocument/2006/relationships/hyperlink" Target="https://www.ibm.com/downloads/cas/J2LAYLOZ" TargetMode="External"/><Relationship Id="rId119" Type="http://schemas.openxmlformats.org/officeDocument/2006/relationships/hyperlink" Target="https://www.brookings.edu/wp-content/uploads/2021/10/Strengthening-International-Cooperation-AI_Oct21.pdf" TargetMode="External"/><Relationship Id="rId110" Type="http://schemas.openxmlformats.org/officeDocument/2006/relationships/hyperlink" Target="https://www.conseil-etat.fr/Media/actualites/documents/2022/11-novembre/etude-ia-nouvelle-version" TargetMode="External"/><Relationship Id="rId231" Type="http://schemas.openxmlformats.org/officeDocument/2006/relationships/hyperlink" Target="https://7da2ca8d-b80d-4593-a0ab-5272e2b9c6c5.filesusr.com/ugd/7be025_e726c582191c49d2b8b6517a590151f6.pdf" TargetMode="External"/><Relationship Id="rId352" Type="http://schemas.openxmlformats.org/officeDocument/2006/relationships/hyperlink" Target="http://kurklt.lt/wp-content/uploads/2018/09/StrategyIndesignpdf.pdf" TargetMode="External"/><Relationship Id="rId473" Type="http://schemas.openxmlformats.org/officeDocument/2006/relationships/hyperlink" Target="https://www.allistene.fr/files/2019/05/rapportCCNE-CERNA-Version-anglaise.pdf" TargetMode="External"/><Relationship Id="rId594" Type="http://schemas.openxmlformats.org/officeDocument/2006/relationships/hyperlink" Target="https://web-archive.oecd.org/2020-07-23/559610-trustworthy-artificial-intelligence-in-education.pdf" TargetMode="External"/><Relationship Id="rId230" Type="http://schemas.openxmlformats.org/officeDocument/2006/relationships/hyperlink" Target="https://www.romecall.org/wp-content/uploads/2022/03/RomeCall_Paper_web.pdf" TargetMode="External"/><Relationship Id="rId351" Type="http://schemas.openxmlformats.org/officeDocument/2006/relationships/hyperlink" Target="https://k-erc.eu/wp-content/uploads/2017/12/Master-Plan-for-the-intelligent-information-society.pdf" TargetMode="External"/><Relationship Id="rId472" Type="http://schemas.openxmlformats.org/officeDocument/2006/relationships/hyperlink" Target="https://www3.weforum.org/docs/WEF_Regulatory_Tech_for_the_21st_Century_2022.pdf" TargetMode="External"/><Relationship Id="rId593" Type="http://schemas.openxmlformats.org/officeDocument/2006/relationships/hyperlink" Target="https://tech.qq.com/a/20190711/004971.htm" TargetMode="External"/><Relationship Id="rId350" Type="http://schemas.openxmlformats.org/officeDocument/2006/relationships/hyperlink" Target="https://enterprise.gov.ie/en/Publications/Publication-files/National-AI-Strategy.pdf" TargetMode="External"/><Relationship Id="rId471" Type="http://schemas.openxmlformats.org/officeDocument/2006/relationships/hyperlink" Target="https://rm.coe.int/cdcj-2018-5e-technical-study-odr/1680913249" TargetMode="External"/><Relationship Id="rId592" Type="http://schemas.openxmlformats.org/officeDocument/2006/relationships/hyperlink" Target="https://legalinstruments.oecd.org/en/instruments/OECD-LEGAL-0449" TargetMode="External"/><Relationship Id="rId470" Type="http://schemas.openxmlformats.org/officeDocument/2006/relationships/hyperlink" Target="https://digital-strategy.ec.europa.eu/en/library/study-supporting-impact-assessment-ai-regulation" TargetMode="External"/><Relationship Id="rId591" Type="http://schemas.openxmlformats.org/officeDocument/2006/relationships/hyperlink" Target="https://www.rcplondon.ac.uk/projects/outputs/artificial-intelligence-ai-health" TargetMode="External"/><Relationship Id="rId114" Type="http://schemas.openxmlformats.org/officeDocument/2006/relationships/hyperlink" Target="https://www.ki.nrw/wp-content/uploads/2020/03/Whitepaper_Thrustworthy_AI.pdf" TargetMode="External"/><Relationship Id="rId235" Type="http://schemas.openxmlformats.org/officeDocument/2006/relationships/hyperlink" Target="https://publications.jrc.ec.europa.eu/repository/bitstream/JRC127944/JRC127944_01.pdf" TargetMode="External"/><Relationship Id="rId356" Type="http://schemas.openxmlformats.org/officeDocument/2006/relationships/hyperlink" Target="https://www.gov.uk/government/uploads/system/uploads/attachment_data/file/709514/2018-05-16_Research_Code_of_Practice_and_Accreditation_Criteria.pdf" TargetMode="External"/><Relationship Id="rId477" Type="http://schemas.openxmlformats.org/officeDocument/2006/relationships/hyperlink" Target="https://www.digitaldubai.ae/docs/default-source/ai-principles-resources/ai-ethics.pdf" TargetMode="External"/><Relationship Id="rId598" Type="http://schemas.openxmlformats.org/officeDocument/2006/relationships/hyperlink" Target="https://allai.nl/wp-content/uploads/2021/08/EU-Proposal-for-Artificial-Intelligence-Act-Analysis-and-Recommendations.pdf" TargetMode="External"/><Relationship Id="rId113" Type="http://schemas.openxmlformats.org/officeDocument/2006/relationships/hyperlink" Target="https://www3.weforum.org/docs/WEF_Artificial_Intelligence_for_Children_2022.pdf" TargetMode="External"/><Relationship Id="rId234" Type="http://schemas.openxmlformats.org/officeDocument/2006/relationships/hyperlink" Target="https://www.ibm.com/watson/assets/duo/pdf/everydayethics.pdf" TargetMode="External"/><Relationship Id="rId355" Type="http://schemas.openxmlformats.org/officeDocument/2006/relationships/hyperlink" Target="https://www.government.se/491fa7/contentassets/fe2ba005fb49433587574c513a837fac/national-approach-to-artificial-intelligence.pdf" TargetMode="External"/><Relationship Id="rId476" Type="http://schemas.openxmlformats.org/officeDocument/2006/relationships/hyperlink" Target="https://drive.google.com/file/d/1h_9IiL-EkVHJ82upaXkUqpH-JboNyk1c/view" TargetMode="External"/><Relationship Id="rId597" Type="http://schemas.openxmlformats.org/officeDocument/2006/relationships/hyperlink" Target="https://www.ibm.com/policy/trust-principles/" TargetMode="External"/><Relationship Id="rId112" Type="http://schemas.openxmlformats.org/officeDocument/2006/relationships/hyperlink" Target="https://cnnumerique.fr/files/uploads/2022/HumainsMachines/CNNum_Humains_machines_Quelles_interactions_au_travail_2022.pdf" TargetMode="External"/><Relationship Id="rId233" Type="http://schemas.openxmlformats.org/officeDocument/2006/relationships/hyperlink" Target="https://nrc.canada.ca/en/corporate/values-ethics/research-involving-human-participants/advisory-statement-human-ethics-artificial-intelligence-big-data-research-2017" TargetMode="External"/><Relationship Id="rId354" Type="http://schemas.openxmlformats.org/officeDocument/2006/relationships/hyperlink" Target="https://www.northsweden.eu/media/2789/2018ai_webb.pdf" TargetMode="External"/><Relationship Id="rId475" Type="http://schemas.openxmlformats.org/officeDocument/2006/relationships/hyperlink" Target="https://www.pwc.com/gx/en/issues/data-and-analytics/artificial-intelligence/what-is-responsible-ai/responsible-ai-practical-guide.pdf" TargetMode="External"/><Relationship Id="rId596" Type="http://schemas.openxmlformats.org/officeDocument/2006/relationships/hyperlink" Target="https://www.thalesgroup.com/en/artificial-intelligence-and-national-security" TargetMode="External"/><Relationship Id="rId111" Type="http://schemas.openxmlformats.org/officeDocument/2006/relationships/hyperlink" Target="https://www.cnb.avocat.fr/fr/actualites/preconisations-dactions-pour-les-legaltechs-du-domaine-de-la-jurimetrie" TargetMode="External"/><Relationship Id="rId232" Type="http://schemas.openxmlformats.org/officeDocument/2006/relationships/hyperlink" Target="https://english.wrr.nl/binaries/wrr-eng/documenten/policy-briefs/2017/01/31/big-data-and-security-policies-serving-security-protecting-freedom/WRR_PB6_BigDataAndSecurityPolicies.pdf" TargetMode="External"/><Relationship Id="rId353" Type="http://schemas.openxmlformats.org/officeDocument/2006/relationships/hyperlink" Target="https://commission.europa.eu/document/download/ff57e883-cbd7-41dc-81f4-40dc025257e7_en?filename=2018-european-semester-national-reform-programme-lithuania-en.pdf" TargetMode="External"/><Relationship Id="rId474" Type="http://schemas.openxmlformats.org/officeDocument/2006/relationships/hyperlink" Target="https://algorules.org/en/home/" TargetMode="External"/><Relationship Id="rId595" Type="http://schemas.openxmlformats.org/officeDocument/2006/relationships/hyperlink" Target="https://tech.qq.com/a/20190711/004971.htm" TargetMode="External"/><Relationship Id="rId305" Type="http://schemas.openxmlformats.org/officeDocument/2006/relationships/hyperlink" Target="https://www.fast.ai/2018/09/24/ai-ethics-resources/" TargetMode="External"/><Relationship Id="rId426" Type="http://schemas.openxmlformats.org/officeDocument/2006/relationships/hyperlink" Target="https://mdia.gov.mt/wp-content/uploads/2020/07/itas-sandbox-consultation-document-v1.0.pdf" TargetMode="External"/><Relationship Id="rId547" Type="http://schemas.openxmlformats.org/officeDocument/2006/relationships/hyperlink" Target="https://freedex.org/wp-content/blogs.dir/2015/files/2018/10/AI-and-FOE-GA.pdf" TargetMode="External"/><Relationship Id="rId668" Type="http://schemas.openxmlformats.org/officeDocument/2006/relationships/hyperlink" Target="https://ec.europa.eu/newsroom/dae/redirection/document/92399" TargetMode="External"/><Relationship Id="rId304" Type="http://schemas.openxmlformats.org/officeDocument/2006/relationships/hyperlink" Target="https://iapp.org/media/pdf/resource_center/building_ethics_into_privacy_frameworks_white_paper.pdf" TargetMode="External"/><Relationship Id="rId425" Type="http://schemas.openxmlformats.org/officeDocument/2006/relationships/hyperlink" Target="https://op.europa.eu/o/opportal-service/download-handler?identifier=5cb8eee3-e888-11e8-b690-01aa75ed71a1&amp;format=pdf&amp;language=en&amp;productionSystem=cellar&amp;part=" TargetMode="External"/><Relationship Id="rId546" Type="http://schemas.openxmlformats.org/officeDocument/2006/relationships/hyperlink" Target="https://namib.online/wp-content/uploads/2019/10/%D0%9E-%D1%80%D0%B0%D0%B7%D0%B2%D0%B8%D1%82%D0%B8%D0%B8-%D0%B8%D1%81%D0%BA%D1%83%D1%81%D1%81%D1%82%D0%B2%D0%B5%D0%BD%D0%BD%D0%BE%D0%B3%D0%BE-%D0%B8%D0%BD%D1%82%D0%B5%D0%BB%D0%BB%D0%B5%D0%BA%D1%82%D0%B0-%D0%B2-%D0%A0%D0%A4.pdf" TargetMode="External"/><Relationship Id="rId667" Type="http://schemas.openxmlformats.org/officeDocument/2006/relationships/hyperlink" Target="https://ai.equineteurope.org/system/files/2022-06/Equinet-Position-Paper-on-AI-and-Equality.pdf" TargetMode="External"/><Relationship Id="rId303" Type="http://schemas.openxmlformats.org/officeDocument/2006/relationships/hyperlink" Target="https://www.fairtrials.org/automating-injustice" TargetMode="External"/><Relationship Id="rId424" Type="http://schemas.openxmlformats.org/officeDocument/2006/relationships/hyperlink" Target="https://news.microsoft.com/cloudforgood/_media/downloads/the-future-computed-english.pdf" TargetMode="External"/><Relationship Id="rId545" Type="http://schemas.openxmlformats.org/officeDocument/2006/relationships/hyperlink" Target="https://www.microsoft.com/en-us/research/uploads/prod/2018/11/Bot_Guidelines_Nov_2018.pdf" TargetMode="External"/><Relationship Id="rId666" Type="http://schemas.openxmlformats.org/officeDocument/2006/relationships/hyperlink" Target="https://unesdoc.unesco.org/ark:/48223/pf0000367823" TargetMode="External"/><Relationship Id="rId302" Type="http://schemas.openxmlformats.org/officeDocument/2006/relationships/hyperlink" Target="https://english.ey.gov.tw/News3/9E5540D592A5FECD/1dec0902-e02a-49c6-870d-e77208481667" TargetMode="External"/><Relationship Id="rId423" Type="http://schemas.openxmlformats.org/officeDocument/2006/relationships/hyperlink" Target="https://op.europa.eu/en/publication-detail/-/publication/13e6a212-6181-11ec-9c6c-01aa75ed71a1/language-en" TargetMode="External"/><Relationship Id="rId544" Type="http://schemas.openxmlformats.org/officeDocument/2006/relationships/hyperlink" Target="https://uai.edu.ar/ciiti/2019/buenos-aires/downloads/B1/JA-Plan-Nacional-IA.pdf" TargetMode="External"/><Relationship Id="rId665" Type="http://schemas.openxmlformats.org/officeDocument/2006/relationships/hyperlink" Target="https://www.humanrights.dk/files/media/document/A%20HRIA%20of%20Digital%20Activities%20-%20Introduction_ENG_accessible.pdf" TargetMode="External"/><Relationship Id="rId309" Type="http://schemas.openxmlformats.org/officeDocument/2006/relationships/hyperlink" Target="https://www.ki-strategie-deutschland.de/home.html?file=files/downloads/Nationale_KI-Strategie_engl.pdf" TargetMode="External"/><Relationship Id="rId308" Type="http://schemas.openxmlformats.org/officeDocument/2006/relationships/hyperlink" Target="https://www.bmwi.de/Redaktion/DE/Downloads/E/eckpunktepapier-ki.pdf?__blob=publicationFile&amp;v=10" TargetMode="External"/><Relationship Id="rId429" Type="http://schemas.openxmlformats.org/officeDocument/2006/relationships/hyperlink" Target="https://www.mckinsey.com/capabilities/quantumblack/our-insights/the-state-of-ai-in-2022-and-a-half-decade-in-review" TargetMode="External"/><Relationship Id="rId307" Type="http://schemas.openxmlformats.org/officeDocument/2006/relationships/hyperlink" Target="https://partnershiponai.org/about/" TargetMode="External"/><Relationship Id="rId428" Type="http://schemas.openxmlformats.org/officeDocument/2006/relationships/hyperlink" Target="http://web.mit.edu/comptfreport/sirc.pdf" TargetMode="External"/><Relationship Id="rId549" Type="http://schemas.openxmlformats.org/officeDocument/2006/relationships/hyperlink" Target="https://indiaai.gov.in/documents/pdf/NationalStrategy-for-AI-Discussion-Paper.pdf" TargetMode="External"/><Relationship Id="rId306" Type="http://schemas.openxmlformats.org/officeDocument/2006/relationships/hyperlink" Target="http://www.bundeskartellamt.de/SharedDocs/Publikation/DE/Schriftenreihe_Digitales/Schriftenreihe_Digitales_1.pdf?__blob=publicationFile&amp;v=3" TargetMode="External"/><Relationship Id="rId427" Type="http://schemas.openxmlformats.org/officeDocument/2006/relationships/hyperlink" Target="https://www.scu.edu/ethics-in-technology-practice/ethical-toolkit/" TargetMode="External"/><Relationship Id="rId548" Type="http://schemas.openxmlformats.org/officeDocument/2006/relationships/hyperlink" Target="https://www.pwc.com/gx/en/issues/data-and-analytics/artificial-intelligence/what-is-responsible-ai.html" TargetMode="External"/><Relationship Id="rId669" Type="http://schemas.openxmlformats.org/officeDocument/2006/relationships/hyperlink" Target="https://www.ibe.org.uk/uploads/assets/5f167681-e05f-4fae-ae1bef7699625a0d/ibebriefing58businessethicsandartificialintelligence.pdf" TargetMode="External"/><Relationship Id="rId660" Type="http://schemas.openxmlformats.org/officeDocument/2006/relationships/hyperlink" Target="https://www.digitalwallonia.be/en/posts/wallonia-digital-strategy/" TargetMode="External"/><Relationship Id="rId301" Type="http://schemas.openxmlformats.org/officeDocument/2006/relationships/hyperlink" Target="https://www.oecd-ilibrary.org/deliver/2448f04b-en.pdf?itemId=%2Fcontent%2Fpaper%2F2448f04b-en&amp;mimeType=pdf" TargetMode="External"/><Relationship Id="rId422" Type="http://schemas.openxmlformats.org/officeDocument/2006/relationships/hyperlink" Target="https://www.lne.fr/en/service/certification/certification-processes-ai" TargetMode="External"/><Relationship Id="rId543" Type="http://schemas.openxmlformats.org/officeDocument/2006/relationships/hyperlink" Target="https://www.europarl.europa.eu/RegData/etudes/STUD/2021/662912/IPOL_STU(2021)662912_EN.pdf" TargetMode="External"/><Relationship Id="rId664" Type="http://schemas.openxmlformats.org/officeDocument/2006/relationships/hyperlink" Target="https://en.unesco.org/news/first-unesco-recommendations-combat-gender-bias-applications-using-artificial-intelligence" TargetMode="External"/><Relationship Id="rId300" Type="http://schemas.openxmlformats.org/officeDocument/2006/relationships/hyperlink" Target="https://testing-ai.gi.de/english" TargetMode="External"/><Relationship Id="rId421" Type="http://schemas.openxmlformats.org/officeDocument/2006/relationships/hyperlink" Target="https://www.laboratoiredelegalite.org/le-pacte-pour-une-intelligence-artificielle-egalitaire-entre-les-femmes-et-les-hommes/" TargetMode="External"/><Relationship Id="rId542" Type="http://schemas.openxmlformats.org/officeDocument/2006/relationships/hyperlink" Target="https://policyaction.org.za/ai-data-topical-guide-series;https://policyaction.org.za/sites/default/files/PAN_TopicalGuide_AIData1_IntroSeries_Elec.pdf;https://policyaction.org.za/sites/default/files/PAN_TopicalGuide_AIData2_CrimePolicing_Elec.pdf;https://policyaction.org.za/sites/default/files/PAN_TopicalGuide_AIData3_Education_Elec.pdf;https://policyaction.org.za/sites/default/files/PAN_TopicalGuide_AIData4_CitiesTowns_Elec.pdf;https://policyaction.org.za/sites/default/files/PAN_TopicalGuide_AIData5_Migration_Elec.pdf;https://policyaction.org.za/sites/default/files/PAN_TopicalGuide_AIData6_Health_Elec.pdf;https://policyaction.org.za/sites/default/files/PAN_TopicalGuide_AIData7_DigEco_Elec.pdf;https://policyaction.org.za/sites/default/files/PAN_TopicalGuide_AIData8_ElecMedia_Elec.pdf;https://policyaction.org.za/sites/default/files/PAN_TopicalGuide_AIData9_FinServices_V1_Elec.pdf" TargetMode="External"/><Relationship Id="rId663" Type="http://schemas.openxmlformats.org/officeDocument/2006/relationships/hyperlink" Target="https://unesdoc.unesco.org/ark:/48223/pf0000377897?posInSet=6&amp;queryId=2dd9f054-a205-46ca-8cd4-11a0d475e978" TargetMode="External"/><Relationship Id="rId420" Type="http://schemas.openxmlformats.org/officeDocument/2006/relationships/hyperlink" Target="https://papers.ssrn.com/sol3/papers.cfm?abstract_id=3899991" TargetMode="External"/><Relationship Id="rId541" Type="http://schemas.openxmlformats.org/officeDocument/2006/relationships/hyperlink" Target="http://prawo.sejm.gov.pl/isap.nsf/download.xsp/WDU20180000317/T/D20180317L.pdf" TargetMode="External"/><Relationship Id="rId662" Type="http://schemas.openxmlformats.org/officeDocument/2006/relationships/hyperlink" Target="https://www.buckingham.ac.uk/wp-content/uploads/2020/09/Developing-a-Shared-Vision-of-Ethical-AI-in-Education-An-Invitation-to-Participate.pdf" TargetMode="External"/><Relationship Id="rId540" Type="http://schemas.openxmlformats.org/officeDocument/2006/relationships/hyperlink" Target="https://www.nist.gov/system/files/documents/2019/08/10/ai_standards_fedengagement_plan_9aug2019.pdf" TargetMode="External"/><Relationship Id="rId661" Type="http://schemas.openxmlformats.org/officeDocument/2006/relationships/hyperlink" Target="https://rm.coe.int/prems-092922-gbr-2517-ai-and-education-txt-16x24-web/1680a956e3" TargetMode="External"/><Relationship Id="rId415" Type="http://schemas.openxmlformats.org/officeDocument/2006/relationships/hyperlink" Target="https://www.datenschutz.rlp.de/fileadmin/lfdi/Konferenzdokumente/Datenschutz/DSK/Entschliessungen/097_Hambacher_Erklaerung.pdf" TargetMode="External"/><Relationship Id="rId536" Type="http://schemas.openxmlformats.org/officeDocument/2006/relationships/hyperlink" Target="https://fra.europa.eu/sites/default/files/fra_uploads/fra-2020-artificial-intelligence_en.pdf" TargetMode="External"/><Relationship Id="rId657" Type="http://schemas.openxmlformats.org/officeDocument/2006/relationships/hyperlink" Target="https://www.bmi.bund.de/SharedDocs/downloads/EN/themen/it-digital-policy/datenethikkommission-abschlussgutachten-lang.pdf?__blob=publicationFile&amp;v=5" TargetMode="External"/><Relationship Id="rId414" Type="http://schemas.openxmlformats.org/officeDocument/2006/relationships/hyperlink" Target="https://www.zukunft-der-verwaltungsgerichtsbarkeit.de/media/pages/ki-und-verwaltung/709898829-1580462498/9-theses-en.pdf" TargetMode="External"/><Relationship Id="rId535" Type="http://schemas.openxmlformats.org/officeDocument/2006/relationships/hyperlink" Target="https://www.itic.org/policy/artificial-intelligence/itis-global-ai-policy-recommendations" TargetMode="External"/><Relationship Id="rId656" Type="http://schemas.openxmlformats.org/officeDocument/2006/relationships/hyperlink" Target="https://www.beuc.eu/publications/beuc-x-2021-088_regulating_ai_to_protect_the_consumer.pdf" TargetMode="External"/><Relationship Id="rId413" Type="http://schemas.openxmlformats.org/officeDocument/2006/relationships/hyperlink" Target="https://kenyanwallstreet.com/kenya-govt-unveils-11-member-blockchain-ai-taskforce-headed-by-bitange-ndemo/" TargetMode="External"/><Relationship Id="rId534" Type="http://schemas.openxmlformats.org/officeDocument/2006/relationships/hyperlink" Target="https://bruce2b.files.wordpress.com/2019/08/d3dd6-responsible2bai2bin2bconsumer2benterprise.pdf" TargetMode="External"/><Relationship Id="rId655" Type="http://schemas.openxmlformats.org/officeDocument/2006/relationships/hyperlink" Target="https://community.intel.com/legacyfs/online/files/Intel-Artificial-Intelligence-Public-Policy-White-Paper-2017.pdf" TargetMode="External"/><Relationship Id="rId412" Type="http://schemas.openxmlformats.org/officeDocument/2006/relationships/hyperlink" Target="https://www.jaist.ac.jp/~bao/AI/OtherAIstrategies/MissionVillani_Report_ENG-VF.pdf" TargetMode="External"/><Relationship Id="rId533" Type="http://schemas.openxmlformats.org/officeDocument/2006/relationships/hyperlink" Target="https://unesdoc.unesco.org/ark:/48223/pf0000381137" TargetMode="External"/><Relationship Id="rId654" Type="http://schemas.openxmlformats.org/officeDocument/2006/relationships/hyperlink" Target="http://unicri.it/in_focus/files/Report_UNICRI_Cambridge_Workshop_Feb_2017.pdf" TargetMode="External"/><Relationship Id="rId419" Type="http://schemas.openxmlformats.org/officeDocument/2006/relationships/hyperlink" Target="https://www.europarl.europa.eu/RegData/etudes/STUD/2022/729541/EPRS_STU(2022)729541_EN.pdf" TargetMode="External"/><Relationship Id="rId418" Type="http://schemas.openxmlformats.org/officeDocument/2006/relationships/hyperlink" Target="https://www.kas.de/documents/252038/4521287/Comparison+of+National+Strategies+to+Promote+Artificial+Intelligence+Part+2.pdf/4c6f3a0d-beaa-09f3-1db4-c66467739653?version=1.1&amp;t=1560500520623" TargetMode="External"/><Relationship Id="rId539" Type="http://schemas.openxmlformats.org/officeDocument/2006/relationships/hyperlink" Target="https://www.eib.org/attachments/thematic/artificial_intelligence_blockchain_and_the_future_of_europe_report_en.pdf" TargetMode="External"/><Relationship Id="rId417" Type="http://schemas.openxmlformats.org/officeDocument/2006/relationships/hyperlink" Target="https://www.kas.de/documents/252038/4521287/Comparison+of+National+Strategies+to+Promote+Artificial+Intelligence+Part+1.pdf/397fb700-0c6f-88b6-46be-2d50d7942b83?version=1.1&amp;t=1560500570070" TargetMode="External"/><Relationship Id="rId538" Type="http://schemas.openxmlformats.org/officeDocument/2006/relationships/hyperlink" Target="https://pervade.umd.edu/our-team/" TargetMode="External"/><Relationship Id="rId659" Type="http://schemas.openxmlformats.org/officeDocument/2006/relationships/hyperlink" Target="https://publications.parliament.uk/pa/ld201719/ldselect/ldai/100/100.pdf" TargetMode="External"/><Relationship Id="rId416" Type="http://schemas.openxmlformats.org/officeDocument/2006/relationships/hyperlink" Target="https://www.inf.ufrgs.br/~prestes/Courses/Robotics/beyond%20asimov.pdf" TargetMode="External"/><Relationship Id="rId537" Type="http://schemas.openxmlformats.org/officeDocument/2006/relationships/hyperlink" Target="https://pervade.umd.edu/our-team/" TargetMode="External"/><Relationship Id="rId658" Type="http://schemas.openxmlformats.org/officeDocument/2006/relationships/hyperlink" Target="https://academic.oup.com/jamia/article/29/4/585/6534106?login=true" TargetMode="External"/><Relationship Id="rId411" Type="http://schemas.openxmlformats.org/officeDocument/2006/relationships/hyperlink" Target="http://ai-elsi.org/wp-content/uploads/2017/05/JSAI-Ethical-Guidelines-1.pdf" TargetMode="External"/><Relationship Id="rId532" Type="http://schemas.openxmlformats.org/officeDocument/2006/relationships/hyperlink" Target="https://rm.coe.int/declaration-on-youth-participation-in-ai-governance-eng-08122020/1680a0a745" TargetMode="External"/><Relationship Id="rId653" Type="http://schemas.openxmlformats.org/officeDocument/2006/relationships/hyperlink" Target="https://digitalstrategy.undp.org/documents/Digital-Strategy-2022-2025-Full-Document_ENG_Interactive.pdf" TargetMode="External"/><Relationship Id="rId410" Type="http://schemas.openxmlformats.org/officeDocument/2006/relationships/hyperlink" Target="https://www8.cao.go.jp/cstp/english/outline_strategy_2022.pdf" TargetMode="External"/><Relationship Id="rId531" Type="http://schemas.openxmlformats.org/officeDocument/2006/relationships/hyperlink" Target="https://digitalcollection.zhaw.ch/bitstream/11475/24226/4/2020_Christen-etal_Ethical-Codex_Recommendations.pdf" TargetMode="External"/><Relationship Id="rId652" Type="http://schemas.openxmlformats.org/officeDocument/2006/relationships/hyperlink" Target="https://arxiv.org/pdf/1811.10154.pdf" TargetMode="External"/><Relationship Id="rId530" Type="http://schemas.openxmlformats.org/officeDocument/2006/relationships/hyperlink" Target="https://joanna-bryson.blogspot.com/2019/01/a-smart-bureaucrats-guide-to-ai.html" TargetMode="External"/><Relationship Id="rId651" Type="http://schemas.openxmlformats.org/officeDocument/2006/relationships/hyperlink" Target="https://ohchr.org/EN/HRBodies/HRC/RegularSessions/Session37/Documents/A_HRC_37_62_EN.docx" TargetMode="External"/><Relationship Id="rId650" Type="http://schemas.openxmlformats.org/officeDocument/2006/relationships/hyperlink" Target="https://www.itu.int/hub/publication/s-gen-unact-2021/" TargetMode="External"/><Relationship Id="rId206" Type="http://schemas.openxmlformats.org/officeDocument/2006/relationships/hyperlink" Target="https://www.ethikbeirat-hrtech.de/wp-content/uploads/2019/09/Ethikbeirat_und_Richtlinien_Konsultationsfassung_final.pdf" TargetMode="External"/><Relationship Id="rId327" Type="http://schemas.openxmlformats.org/officeDocument/2006/relationships/hyperlink" Target="https://fra.europa.eu/sites/default/files/fra_uploads/fra-2019-data-quality-and-ai_en.pdf" TargetMode="External"/><Relationship Id="rId448" Type="http://schemas.openxmlformats.org/officeDocument/2006/relationships/hyperlink" Target="https://unesdoc.unesco.org/in/documentViewer.xhtml?v=2.1.196&amp;id=p::usmarcdef_0000372132&amp;file=/in/rest/annotationSVC/DownloadWatermarkedAttachment/attach_import_7b0b5c12-3b53-4b84-8796-b39dc4bceb09%3F_%3D372132eng.pdf&amp;locale=en&amp;multi=true&amp;ark=/ark:/48223/pf0000372132/PDF/372132eng.pdf" TargetMode="External"/><Relationship Id="rId569" Type="http://schemas.openxmlformats.org/officeDocument/2006/relationships/hyperlink" Target="https://rm.coe.int/ai-report-bil-final/16809f9a88" TargetMode="External"/><Relationship Id="rId205" Type="http://schemas.openxmlformats.org/officeDocument/2006/relationships/hyperlink" Target="https://www.nature.com/articles/s42256-019-0088-2" TargetMode="External"/><Relationship Id="rId326" Type="http://schemas.openxmlformats.org/officeDocument/2006/relationships/hyperlink" Target="https://search.coe.int/cm/Pages/result_details.aspx?ObjectId=0900001680a1cb98" TargetMode="External"/><Relationship Id="rId447" Type="http://schemas.openxmlformats.org/officeDocument/2006/relationships/hyperlink" Target="https://tem.fi/en/artificial-intelligence-programme" TargetMode="External"/><Relationship Id="rId568" Type="http://schemas.openxmlformats.org/officeDocument/2006/relationships/hyperlink" Target="https://gpai.ai/projects/responsible-ai/environment/climate-change-and-ai.pdf" TargetMode="External"/><Relationship Id="rId689" Type="http://schemas.openxmlformats.org/officeDocument/2006/relationships/hyperlink" Target="http://www.code-of-ethics.org/code-of-conduct/" TargetMode="External"/><Relationship Id="rId204" Type="http://schemas.openxmlformats.org/officeDocument/2006/relationships/hyperlink" Target="https://arxiv.org/ftp/arxiv/papers/1906/1906.11668.pdf" TargetMode="External"/><Relationship Id="rId325" Type="http://schemas.openxmlformats.org/officeDocument/2006/relationships/hyperlink" Target="https://commission.europa.eu/system/files/2020-02/commission-white-paper-artificial-intelligence-feb2020_en.pdf" TargetMode="External"/><Relationship Id="rId446" Type="http://schemas.openxmlformats.org/officeDocument/2006/relationships/hyperlink" Target="https://julkaisut.valtioneuvosto.fi/bitstream/handle/10024/160980/TEMjul_21_2018_Work_in_the_age.pdf?sequence=1&amp;isAllowed=y" TargetMode="External"/><Relationship Id="rId567" Type="http://schemas.openxmlformats.org/officeDocument/2006/relationships/hyperlink" Target="https://www.salesforceairesearch.com/trusted-ai" TargetMode="External"/><Relationship Id="rId688" Type="http://schemas.openxmlformats.org/officeDocument/2006/relationships/hyperlink" Target="https://www.mofa.go.jp/files/000373837.pdf" TargetMode="External"/><Relationship Id="rId203" Type="http://schemas.openxmlformats.org/officeDocument/2006/relationships/hyperlink" Target="https://data.govt.nz/assets/data-ethics/algorithm/Algorithm-Charter-2020_Final-English-1.pdf" TargetMode="External"/><Relationship Id="rId324" Type="http://schemas.openxmlformats.org/officeDocument/2006/relationships/hyperlink" Target="https://global-uploads.webflow.com/5f57d40eb1c2ef22d8a8ca7e/62459a045de6afc1d9973bf4_The%20New%20Frontier%20-%20Artificial%20Intelligence%20at%20Work%5B4%5D.pdf" TargetMode="External"/><Relationship Id="rId445" Type="http://schemas.openxmlformats.org/officeDocument/2006/relationships/hyperlink" Target="https://www.unicef.org/globalinsight/media/2356/file/UNICEF-Global-Insight-policy-guidance-AI-children-2.0-2021.pdf" TargetMode="External"/><Relationship Id="rId566" Type="http://schemas.openxmlformats.org/officeDocument/2006/relationships/hyperlink" Target="https://unesdoc.unesco.org/ark:/48223/pf0000368303" TargetMode="External"/><Relationship Id="rId687" Type="http://schemas.openxmlformats.org/officeDocument/2006/relationships/hyperlink" Target="https://www.europarl.europa.eu/RegData/etudes/STUD/2021/662926/IPOL_STU(2021)662926_EN.pdf" TargetMode="External"/><Relationship Id="rId209" Type="http://schemas.openxmlformats.org/officeDocument/2006/relationships/hyperlink" Target="https://nvlpubs.nist.gov/nistpubs/SpecialPublications/NIST.SP.1270-draft.pdf" TargetMode="External"/><Relationship Id="rId208" Type="http://schemas.openxmlformats.org/officeDocument/2006/relationships/hyperlink" Target="https://op.europa.eu/fr/publication-detail/-/publication/34251428-dc12-11ec-a534-01aa75ed71a1" TargetMode="External"/><Relationship Id="rId329" Type="http://schemas.openxmlformats.org/officeDocument/2006/relationships/hyperlink" Target="https://news.microsoft.com/cloudforgood/_media/downloads/the-future-computed-english.pdf" TargetMode="External"/><Relationship Id="rId207" Type="http://schemas.openxmlformats.org/officeDocument/2006/relationships/hyperlink" Target="https://www.telekom.com/en/company/digital-responsibility/details/artificial-intelligence-ai-guideline-524366" TargetMode="External"/><Relationship Id="rId328" Type="http://schemas.openxmlformats.org/officeDocument/2006/relationships/hyperlink" Target="https://www.tandfonline.com/doi/epdf/10.1080/09540091.2016.1271400?needAccess=true&amp;role=button" TargetMode="External"/><Relationship Id="rId449" Type="http://schemas.openxmlformats.org/officeDocument/2006/relationships/hyperlink" Target="http://julkaisut.valtioneuvosto.fi/bitstream/handle/10024/160391/TEMrap_47_2017_verkkojulkaisu.pdf" TargetMode="External"/><Relationship Id="rId440" Type="http://schemas.openxmlformats.org/officeDocument/2006/relationships/hyperlink" Target="http://mil.ru/conferences/is-intellekt.htm" TargetMode="External"/><Relationship Id="rId561" Type="http://schemas.openxmlformats.org/officeDocument/2006/relationships/hyperlink" Target="http://www.linking-ai-principles.org/about" TargetMode="External"/><Relationship Id="rId682" Type="http://schemas.openxmlformats.org/officeDocument/2006/relationships/hyperlink" Target="https://www.designethically.com/toolkit" TargetMode="External"/><Relationship Id="rId560" Type="http://schemas.openxmlformats.org/officeDocument/2006/relationships/hyperlink" Target="https://law.stanford.edu/wp-content/uploads/2020/02/ACUS-AI-Report.pdf" TargetMode="External"/><Relationship Id="rId681" Type="http://schemas.openxmlformats.org/officeDocument/2006/relationships/hyperlink" Target="https://www.researchgate.net/publication/354540868_Putting_AI_ethics_to_work_are_the_tools_fit_for_purpose/fulltext/613ea4a001846e45ef44fa36/Putting-AI-ethics-to-work-are-the-tools-fit-for-purpose.pdf" TargetMode="External"/><Relationship Id="rId680" Type="http://schemas.openxmlformats.org/officeDocument/2006/relationships/hyperlink" Target="https://www.gov.uk/government/publications/guidelines-for-ai-procurement/guidelines-for-ai-procurement" TargetMode="External"/><Relationship Id="rId202" Type="http://schemas.openxmlformats.org/officeDocument/2006/relationships/hyperlink" Target="https://github.com/Holberton-Turing/oath/blob/master/The_Holberthon-Turing_Oath.md" TargetMode="External"/><Relationship Id="rId323" Type="http://schemas.openxmlformats.org/officeDocument/2006/relationships/hyperlink" Target="https://www.cas.go.jp/jp/seisaku/jinkouchinou/pdf/humancentricai.pdf" TargetMode="External"/><Relationship Id="rId444" Type="http://schemas.openxmlformats.org/officeDocument/2006/relationships/hyperlink" Target="https://www.nederlanddigitaal.nl/binaries/nederlanddigitaal-nl/documenten/publicaties/2019/09/30/english-version-of-the-dutch-digitalisation-strategy/Nederlandse_Digitaliseringsstrategie_ENG.pdf" TargetMode="External"/><Relationship Id="rId565" Type="http://schemas.openxmlformats.org/officeDocument/2006/relationships/hyperlink" Target="https://www.ncbi.nlm.nih.gov/pmc/articles/PMC6591188/" TargetMode="External"/><Relationship Id="rId686" Type="http://schemas.openxmlformats.org/officeDocument/2006/relationships/hyperlink" Target="https://pervade.umd.edu/our-team/" TargetMode="External"/><Relationship Id="rId201" Type="http://schemas.openxmlformats.org/officeDocument/2006/relationships/hyperlink" Target="https://enterprise.gov.ie/en/publications/national-ai-strategy.html" TargetMode="External"/><Relationship Id="rId322" Type="http://schemas.openxmlformats.org/officeDocument/2006/relationships/hyperlink" Target="https://rm.coe.int/prems-107320-gbr-2018-compli-cahai-couv-texte-a4-bat-web/1680a0c17a" TargetMode="External"/><Relationship Id="rId443" Type="http://schemas.openxmlformats.org/officeDocument/2006/relationships/hyperlink" Target="https://www.gov.pl/web/cyfryzacja/sztuczna-inteligencja-polska-2118" TargetMode="External"/><Relationship Id="rId564" Type="http://schemas.openxmlformats.org/officeDocument/2006/relationships/hyperlink" Target="https://link.springer.com/content/pdf/10.1007/s11023-018-9482-5.pdf" TargetMode="External"/><Relationship Id="rId685" Type="http://schemas.openxmlformats.org/officeDocument/2006/relationships/hyperlink" Target="https://link.springer.com/content/pdf/10.1007/s43681-021-00131-7.pdf" TargetMode="External"/><Relationship Id="rId200" Type="http://schemas.openxmlformats.org/officeDocument/2006/relationships/hyperlink" Target="https://www.europarl.europa.eu/doceo/document/A-9-2020-0176_EN.pdf" TargetMode="External"/><Relationship Id="rId321" Type="http://schemas.openxmlformats.org/officeDocument/2006/relationships/hyperlink" Target="https://joelgomez.abogado.digital/2021-law-technology-and-innovation-v-ii/" TargetMode="External"/><Relationship Id="rId442" Type="http://schemas.openxmlformats.org/officeDocument/2006/relationships/hyperlink" Target="https://www.gov.pl/attachment/a8ea194c-d0ce-404e-a9ca-e007e9fbc93e" TargetMode="External"/><Relationship Id="rId563" Type="http://schemas.openxmlformats.org/officeDocument/2006/relationships/hyperlink" Target="https://oproma.github.io/rai-trustindex/" TargetMode="External"/><Relationship Id="rId684" Type="http://schemas.openxmlformats.org/officeDocument/2006/relationships/hyperlink" Target="https://rm.coe.int/guidelines-on-facial-recognition/1680a134f3" TargetMode="External"/><Relationship Id="rId320" Type="http://schemas.openxmlformats.org/officeDocument/2006/relationships/hyperlink" Target="https://rm.coe.int/final-declaration-of-the-french-presidency-conference-of-mj-coe-15-oct/168098383f" TargetMode="External"/><Relationship Id="rId441" Type="http://schemas.openxmlformats.org/officeDocument/2006/relationships/hyperlink" Target="https://thedigital.gov.ua/news/mikhaylo-fedorov-rozvivayuchi-sferu-shtuchnogo-intelektu-mi-zabezpechuemo-konkurentospromozhnist-ukraini-na-mizhnarodnomu-rinku?fbclid=IwAR0HilGr0J-yptpdAO1J6EhmFv50LcsloiwjJba--inpyawI-mnpQToWK68" TargetMode="External"/><Relationship Id="rId562" Type="http://schemas.openxmlformats.org/officeDocument/2006/relationships/hyperlink" Target="https://www.osce.org/files/f/documents/b/a/447829.pdf" TargetMode="External"/><Relationship Id="rId683" Type="http://schemas.openxmlformats.org/officeDocument/2006/relationships/hyperlink" Target="https://www.bmdv.bund.de/SharedDocs/EN/publications/report-ethics-commission-automated-and-connected-driving.pdf?__blob=publicationFile" TargetMode="External"/><Relationship Id="rId316" Type="http://schemas.openxmlformats.org/officeDocument/2006/relationships/hyperlink" Target="https://ico.org.uk/media2/ga4lfb5d/guidance-on-ai-and-data-protection-all-2-0-38.pdf" TargetMode="External"/><Relationship Id="rId437" Type="http://schemas.openxmlformats.org/officeDocument/2006/relationships/hyperlink" Target="https://ai-innovation.id/server/static/ebook/stranas-ka.pdf" TargetMode="External"/><Relationship Id="rId558" Type="http://schemas.openxmlformats.org/officeDocument/2006/relationships/hyperlink" Target="https://www.pdpc.gov.sg/-/media/Files/PDPC/PDF-Files/Resource-for-Organisation/AI/Discussion-Paper-on-AI-and-PD---050618.pdf" TargetMode="External"/><Relationship Id="rId679" Type="http://schemas.openxmlformats.org/officeDocument/2006/relationships/hyperlink" Target="https://rm.coe.int/artificial-intelligence-and-data-protection-challenges-and-possible-re/168091f8a6" TargetMode="External"/><Relationship Id="rId315" Type="http://schemas.openxmlformats.org/officeDocument/2006/relationships/hyperlink" Target="https://www.aiforhumanity.fr/en/" TargetMode="External"/><Relationship Id="rId436" Type="http://schemas.openxmlformats.org/officeDocument/2006/relationships/hyperlink" Target="https://www.microsoft.com/design/inclusive/" TargetMode="External"/><Relationship Id="rId557" Type="http://schemas.openxmlformats.org/officeDocument/2006/relationships/hyperlink" Target="https://automatingsociety.algorithmwatch.org/report2020/policy-recommendations/" TargetMode="External"/><Relationship Id="rId678" Type="http://schemas.openxmlformats.org/officeDocument/2006/relationships/hyperlink" Target="https://search.coe.int/cm/pages/result_details.aspx?objectid=09000016809e1154" TargetMode="External"/><Relationship Id="rId314" Type="http://schemas.openxmlformats.org/officeDocument/2006/relationships/hyperlink" Target="https://ec.europa.eu/newsroom/dae/document.cfm?doc_id=56018" TargetMode="External"/><Relationship Id="rId435" Type="http://schemas.openxmlformats.org/officeDocument/2006/relationships/hyperlink" Target="https://hai.stanford.edu/sites/default/files/2022-03/White%20Paper%20-%20Recommendations%20on%20Updating%20the%20National%20AI%20R%26D%20Strategy.pdf" TargetMode="External"/><Relationship Id="rId556" Type="http://schemas.openxmlformats.org/officeDocument/2006/relationships/hyperlink" Target="https://ai.equineteurope.org/system/files/2021-04/EQUINET_REGULATING%20FOR%20AN%20EQUAL%20AI_2020_report.pdf" TargetMode="External"/><Relationship Id="rId677" Type="http://schemas.openxmlformats.org/officeDocument/2006/relationships/hyperlink" Target="https://www.administration-numerique.chaire.ulaval.ca/sites/administration-numerique.chaire.ulaval.ca/files/uploads/Cahier%20%235%20-%20IA%20au%20Qu%C3%A9bec%20(2).pdf" TargetMode="External"/><Relationship Id="rId313" Type="http://schemas.openxmlformats.org/officeDocument/2006/relationships/hyperlink" Target="https://www.adalovelaceinstitute.org/wp-content/uploads/2022/03/Expert-opinion-Lilian-Edwards-Regulating-AI-in-Europe.pdf" TargetMode="External"/><Relationship Id="rId434" Type="http://schemas.openxmlformats.org/officeDocument/2006/relationships/hyperlink" Target="https://hai.stanford.edu/news/introducing-stanfords-human-centered-ai-initiative" TargetMode="External"/><Relationship Id="rId555" Type="http://schemas.openxmlformats.org/officeDocument/2006/relationships/hyperlink" Target="https://arxiv.org/pdf/1911.01468.pdf" TargetMode="External"/><Relationship Id="rId676" Type="http://schemas.openxmlformats.org/officeDocument/2006/relationships/hyperlink" Target="https://pace.coe.int/files/28723/pdf" TargetMode="External"/><Relationship Id="rId319" Type="http://schemas.openxmlformats.org/officeDocument/2006/relationships/hyperlink" Target="https://www.intelligence.gov/principles-of-artificial-intelligence-ethics-for-the-intelligence-community" TargetMode="External"/><Relationship Id="rId318" Type="http://schemas.openxmlformats.org/officeDocument/2006/relationships/hyperlink" Target="https://unesdoc.unesco.org/ark:/48223/pf0000253952" TargetMode="External"/><Relationship Id="rId439" Type="http://schemas.openxmlformats.org/officeDocument/2006/relationships/hyperlink" Target="https://portal.mineco.gob.es/RecursosArticulo/mineco/ministerio/participacion_publica/audiencia/ficheros/Charter%20of%20Digital%20Rights.pdf" TargetMode="External"/><Relationship Id="rId317" Type="http://schemas.openxmlformats.org/officeDocument/2006/relationships/hyperlink" Target="https://publications.jrc.ec.europa.eu/repository/bitstream/JRC125952/ai_watch_task_9_standardization_activity_mapping_v5.1.3.pdf" TargetMode="External"/><Relationship Id="rId438" Type="http://schemas.openxmlformats.org/officeDocument/2006/relationships/hyperlink" Target="https://www.interieur.gouv.fr/Actualites/L-actu-du-Ministere/Livre-blanc-de-la-securite-interieure?utm_source=POLITICO.EU&amp;utm_campaign=4a2811137a-EMAIL_CAMPAIGN_2020_12_02_09_59&amp;utm_medium=email&amp;utm_term=0_10959edeb5-4a2811137a-190482161" TargetMode="External"/><Relationship Id="rId559" Type="http://schemas.openxmlformats.org/officeDocument/2006/relationships/hyperlink" Target="https://www.reputable.ai/principles" TargetMode="External"/><Relationship Id="rId550" Type="http://schemas.openxmlformats.org/officeDocument/2006/relationships/hyperlink" Target="https://www.pwc.com/gx/en/issues/data-and-analytics/artificial-intelligence/what-is-responsible-ai.html" TargetMode="External"/><Relationship Id="rId671" Type="http://schemas.openxmlformats.org/officeDocument/2006/relationships/hyperlink" Target="https://unesdoc.unesco.org/ark:/48223/pf0000373199" TargetMode="External"/><Relationship Id="rId670" Type="http://schemas.openxmlformats.org/officeDocument/2006/relationships/hyperlink" Target="https://www.privacy.org.nz/assets/New-order/Resources-/Publications/Guidance-resources/Principles-for-the-safe-and-effective-use-of-data-and-analytics-guidance3.pdf" TargetMode="External"/><Relationship Id="rId312" Type="http://schemas.openxmlformats.org/officeDocument/2006/relationships/hyperlink" Target="https://futureoflife.org/open-letter/ai-principles/" TargetMode="External"/><Relationship Id="rId433" Type="http://schemas.openxmlformats.org/officeDocument/2006/relationships/hyperlink" Target="http://www.unicri.it/sites/default/files/2020-07/UNICRI-INTERPOL_Report_Towards_Responsible_AI_Innovation_0.pdf" TargetMode="External"/><Relationship Id="rId554" Type="http://schemas.openxmlformats.org/officeDocument/2006/relationships/hyperlink" Target="https://www.ccbe.eu/fileadmin/speciality_distribution/public/documents/IT_LAW/ITL_Reports_studies/EN_ITL_20220331_Guide-AI4L.pdf" TargetMode="External"/><Relationship Id="rId675" Type="http://schemas.openxmlformats.org/officeDocument/2006/relationships/hyperlink" Target="http://globalprivacyassembly.org/wp-content/uploads/2018/10/20180922_ICDPPC-40th_AI-Declaration_ADOPTED.pdf" TargetMode="External"/><Relationship Id="rId311" Type="http://schemas.openxmlformats.org/officeDocument/2006/relationships/hyperlink" Target="https://www.abida.de/en" TargetMode="External"/><Relationship Id="rId432" Type="http://schemas.openxmlformats.org/officeDocument/2006/relationships/hyperlink" Target="https://query.prod.cms.rt.microsoft.com/cms/api/am/binary/RWFKCm" TargetMode="External"/><Relationship Id="rId553" Type="http://schemas.openxmlformats.org/officeDocument/2006/relationships/hyperlink" Target="https://cms.wellcome.org/sites/default/files/ai-in-health-ethical-social-political-challenges.pdf" TargetMode="External"/><Relationship Id="rId674" Type="http://schemas.openxmlformats.org/officeDocument/2006/relationships/hyperlink" Target="http://unesdoc.unesco.org/images/0024/002487/248724e.pdf" TargetMode="External"/><Relationship Id="rId310" Type="http://schemas.openxmlformats.org/officeDocument/2006/relationships/hyperlink" Target="https://www.bmk.gv.at/dam/jcr:8acef058-7167-4335-880e-9fa341b723c8/aimat_ua.pdf" TargetMode="External"/><Relationship Id="rId431" Type="http://schemas.openxmlformats.org/officeDocument/2006/relationships/hyperlink" Target="https://webfoundation.org/docs/2018/06/AI-Gender.pdf" TargetMode="External"/><Relationship Id="rId552" Type="http://schemas.openxmlformats.org/officeDocument/2006/relationships/hyperlink" Target="https://www.pcpd.org.hk/english/resources_centre/publications/annual_report/files/anreport18_02.pdf" TargetMode="External"/><Relationship Id="rId673" Type="http://schemas.openxmlformats.org/officeDocument/2006/relationships/hyperlink" Target="https://www.turing.ac.uk/sites/default/files/2021-03/cahai_feasibility_study_primer_final.pdf" TargetMode="External"/><Relationship Id="rId430" Type="http://schemas.openxmlformats.org/officeDocument/2006/relationships/hyperlink" Target="https://www.gov.uk/government/publications/national-ai-strategy/national-ai-strategy-html-version" TargetMode="External"/><Relationship Id="rId551" Type="http://schemas.openxmlformats.org/officeDocument/2006/relationships/hyperlink" Target="https://www.europarl.europa.eu/RegData/etudes/STUD/2022/729516/EPRS_STU(2022)729516_EN.pdf" TargetMode="External"/><Relationship Id="rId672" Type="http://schemas.openxmlformats.org/officeDocument/2006/relationships/hyperlink" Target="http://www.europarl.europa.eu/RegData/etudes/STUD/2018/626074/IPOL_STU(2018)626074_EN.pdf"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hai.stanford.edu/assets/files/hai_ai_index_report_2025.pdf" TargetMode="External"/><Relationship Id="rId2" Type="http://schemas.openxmlformats.org/officeDocument/2006/relationships/hyperlink" Target="https://eur-lex.europa.eu/resource.html?uri=cellar:12e835e2-81af-11eb-9ac9-01aa75ed71a1.0001.02/DOC_1&amp;format=PDF" TargetMode="External"/><Relationship Id="rId3" Type="http://schemas.openxmlformats.org/officeDocument/2006/relationships/hyperlink" Target="https://op.europa.eu/en/publication-detail/-/publication/082f1dbc-821d-11eb-9ac9-01aa75ed71a1"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montrealethics.ai/wp-content/uploads/2021/09/State-of-AI-Ethics-Report-Volume-5-July-2021.pdf" TargetMode="External"/><Relationship Id="rId194" Type="http://schemas.openxmlformats.org/officeDocument/2006/relationships/hyperlink" Target="https://www.nitrd.gov/pubs/national_ai_rd_strategic_plan.pdf" TargetMode="External"/><Relationship Id="rId193" Type="http://schemas.openxmlformats.org/officeDocument/2006/relationships/hyperlink" Target="https://nvlpubs.nist.gov/nistpubs/SpecialPublications/NIST.SP.1270-draft.pdf" TargetMode="External"/><Relationship Id="rId192" Type="http://schemas.openxmlformats.org/officeDocument/2006/relationships/hyperlink" Target="https://nap.nationalacademies.org/read/24886/chapter/7" TargetMode="External"/><Relationship Id="rId191" Type="http://schemas.openxmlformats.org/officeDocument/2006/relationships/hyperlink" Target="https://montrealethics.ai/wp-content/uploads/2022/01/State-of-AI-Ethics-Report-Volume-6-February-2022.pdf" TargetMode="External"/><Relationship Id="rId187" Type="http://schemas.openxmlformats.org/officeDocument/2006/relationships/hyperlink" Target="https://www.newamerica.org/cybersecurity-initiative/digichina/blog/translation-chinese-government-outlines-ai-ambitions-through-2020/" TargetMode="External"/><Relationship Id="rId186" Type="http://schemas.openxmlformats.org/officeDocument/2006/relationships/hyperlink" Target="https://vm.fi/en/auroraai-en" TargetMode="External"/><Relationship Id="rId185" Type="http://schemas.openxmlformats.org/officeDocument/2006/relationships/hyperlink" Target="http://www.regeringen.se/49adea/contentassets/5429e024be6847fc907b786ab954228f/digitaliseringsstrategin_slutlig_170518-2.pdf" TargetMode="External"/><Relationship Id="rId184" Type="http://schemas.openxmlformats.org/officeDocument/2006/relationships/hyperlink" Target="https://www.srbija.gov.rs/tekst/en/149169" TargetMode="External"/><Relationship Id="rId189" Type="http://schemas.openxmlformats.org/officeDocument/2006/relationships/hyperlink" Target="https://www.regjeringen.no/contentassets/1febbbb2c4fd4b7d92c67ddd353b6ae8/en-gb/pdfs/ki-strategi_en.pdf" TargetMode="External"/><Relationship Id="rId188" Type="http://schemas.openxmlformats.org/officeDocument/2006/relationships/hyperlink" Target="https://www.mpo.cz/assets/en/guidepost/for-the-media/press-releases/2019/5/NAIS_eng_web.pdf" TargetMode="External"/><Relationship Id="rId183" Type="http://schemas.openxmlformats.org/officeDocument/2006/relationships/hyperlink" Target="https://www.mise.gov.it/images/stories/documenti/Strategia-Nazionale-Intelligenza-Artificiale-Bozza-Consultazione.pdf" TargetMode="External"/><Relationship Id="rId182" Type="http://schemas.openxmlformats.org/officeDocument/2006/relationships/hyperlink" Target="http://julkaisut.valtioneuvosto.fi/bitstream/handle/10024/161688/41_19_Leading%20the%20way%20into%20the%20age%20of%20artificial%20intelligence.pdf" TargetMode="External"/><Relationship Id="rId181" Type="http://schemas.openxmlformats.org/officeDocument/2006/relationships/hyperlink" Target="http://julkaisut.valtioneuvosto.fi/bitstream/handle/10024/160391/TEMrap_47_2017_verkkojulkaisu.pdf" TargetMode="External"/><Relationship Id="rId180" Type="http://schemas.openxmlformats.org/officeDocument/2006/relationships/hyperlink" Target="https://knowledge4policy.ec.europa.eu/sites/default/files/netherlands-ai-strategy-report.pdf" TargetMode="External"/><Relationship Id="rId176" Type="http://schemas.openxmlformats.org/officeDocument/2006/relationships/hyperlink" Target="https://www.microsoft.com/design/inclusive/" TargetMode="External"/><Relationship Id="rId175" Type="http://schemas.openxmlformats.org/officeDocument/2006/relationships/hyperlink" Target="https://www.microsoft.com/en-us/research/uploads/prod/2018/11/Bot_Guidelines_Nov_2018.pdf" TargetMode="External"/><Relationship Id="rId174" Type="http://schemas.openxmlformats.org/officeDocument/2006/relationships/hyperlink" Target="https://mdia.gov.mt/wp-content/uploads/2020/07/itas-sandbox-consultation-document-v1.0.pdf" TargetMode="External"/><Relationship Id="rId173" Type="http://schemas.openxmlformats.org/officeDocument/2006/relationships/hyperlink" Target="https://intelligence.org/files/EthicsofAI.pdf" TargetMode="External"/><Relationship Id="rId179" Type="http://schemas.openxmlformats.org/officeDocument/2006/relationships/hyperlink" Target="https://www.nederlanddigitaal.nl/binaries/nederlanddigitaal-nl/documenten/publicaties/2019/09/30/english-version-of-the-dutch-digitalisation-strategy/Nederlandse_Digitaliseringsstrategie_ENG.pdf" TargetMode="External"/><Relationship Id="rId178" Type="http://schemas.openxmlformats.org/officeDocument/2006/relationships/hyperlink" Target="https://www.gov.pl/web/cyfryzacja/sztuczna-inteligencja-polska-2118" TargetMode="External"/><Relationship Id="rId177" Type="http://schemas.openxmlformats.org/officeDocument/2006/relationships/hyperlink" Target="https://ai-innovation.id/server/static/ebook/stranas-ka.pdf" TargetMode="External"/><Relationship Id="rId198" Type="http://schemas.openxmlformats.org/officeDocument/2006/relationships/hyperlink" Target="https://www.oreilly.com/ideas/of-oaths-and-checklists" TargetMode="External"/><Relationship Id="rId197" Type="http://schemas.openxmlformats.org/officeDocument/2006/relationships/hyperlink" Target="https://www.norden.org/en/declaration/ai-nordic-baltic-region" TargetMode="External"/><Relationship Id="rId196" Type="http://schemas.openxmlformats.org/officeDocument/2006/relationships/hyperlink" Target="https://www.hrc.co.nz/files/5715/2575/3415/Privacy_Data_Technology_-_Human_Rights_Challenges_in_the_Digital_Age_FINAL.pdf" TargetMode="External"/><Relationship Id="rId195" Type="http://schemas.openxmlformats.org/officeDocument/2006/relationships/hyperlink" Target="https://www.transportation.gov/sites/dot.gov/files/docs/policy-initiatives/automated-vehicles/360956/ensuringamericanleadershipav4.pdf" TargetMode="External"/><Relationship Id="rId199" Type="http://schemas.openxmlformats.org/officeDocument/2006/relationships/hyperlink" Target="https://www.intelligence.gov/principles-of-artificial-intelligence-ethics-for-the-intelligence-community" TargetMode="External"/><Relationship Id="rId150" Type="http://schemas.openxmlformats.org/officeDocument/2006/relationships/hyperlink" Target="https://www.ia2030.mx/principios-ia" TargetMode="External"/><Relationship Id="rId1" Type="http://schemas.openxmlformats.org/officeDocument/2006/relationships/hyperlink" Target="https://fr.scribd.com/document/450122018/Accenture-Universal-Principles-Data-Ethics" TargetMode="External"/><Relationship Id="rId2" Type="http://schemas.openxmlformats.org/officeDocument/2006/relationships/hyperlink" Target="https://www.accessnow.org/cms/assets/uploads/2018/11/AI-and-Human-Rights.pdf" TargetMode="External"/><Relationship Id="rId3" Type="http://schemas.openxmlformats.org/officeDocument/2006/relationships/hyperlink" Target="https://www.torontodeclaration.org/declaration-text/english/" TargetMode="External"/><Relationship Id="rId149" Type="http://schemas.openxmlformats.org/officeDocument/2006/relationships/hyperlink" Target="https://ia-latam.com/etica-ia-latam/" TargetMode="External"/><Relationship Id="rId4" Type="http://schemas.openxmlformats.org/officeDocument/2006/relationships/hyperlink" Target="https://www.accessnow.org/wp-content/uploads/2020/12/Europes-approach-to-AI-strategy-is-evolving.pdf" TargetMode="External"/><Relationship Id="rId148" Type="http://schemas.openxmlformats.org/officeDocument/2006/relationships/hyperlink" Target="https://www.hdm-stuttgart.de/digitale-ethik/digitalkompetenz/ethische_unternehmensleitlinien;%20https://www.hdm-stuttgart.de/grimm/material/ethische_unternehmensleitlinien/material/UN_Regeln_booklet" TargetMode="External"/><Relationship Id="rId9" Type="http://schemas.openxmlformats.org/officeDocument/2006/relationships/hyperlink" Target="http://www.adel-label.com/adel/" TargetMode="External"/><Relationship Id="rId143" Type="http://schemas.openxmlformats.org/officeDocument/2006/relationships/hyperlink" Target="https://www.gov.uk/government/uploads/system/uploads/attachment_data/file/709515/2018-05-16_Statistics_Statement-of-Principles_and_CoP_Data_Systems.pdf" TargetMode="External"/><Relationship Id="rId142" Type="http://schemas.openxmlformats.org/officeDocument/2006/relationships/hyperlink" Target="https://www.gov.uk/government/uploads/system/uploads/attachment_data/file/709514/2018-05-16_Research_Code_of_Practice_and_Accreditation_Criteria.pdf" TargetMode="External"/><Relationship Id="rId141" Type="http://schemas.openxmlformats.org/officeDocument/2006/relationships/hyperlink" Target="https://www.government.se/491fa7/contentassets/fe2ba005fb49433587574c513a837fac/national-approach-to-artificial-intelligence.pdf" TargetMode="External"/><Relationship Id="rId140" Type="http://schemas.openxmlformats.org/officeDocument/2006/relationships/hyperlink" Target="https://www.northsweden.eu/media/2789/2018ai_webb.pdf" TargetMode="External"/><Relationship Id="rId5" Type="http://schemas.openxmlformats.org/officeDocument/2006/relationships/hyperlink" Target="https://www.accessnow.org/cms/assets/uploads/2022/11/Access-Now-Version-Human-Rights-Implications-of-Algorithmic-Impact-Assessments_-Priority-Recommendations-to-Guide-Effective-Development-and-Use.pdf" TargetMode="External"/><Relationship Id="rId147" Type="http://schemas.openxmlformats.org/officeDocument/2006/relationships/hyperlink" Target="https://assets.publishing.service.gov.uk/government/uploads/system/uploads/attachment_data/file/664563/industrial-strategy-white-paper-web-ready-version.pdf" TargetMode="External"/><Relationship Id="rId6" Type="http://schemas.openxmlformats.org/officeDocument/2006/relationships/hyperlink" Target="http://accessnow.org/wp-content/uploads/2018/11/mapping_regulatory_proposals_for_AI_in_EU.pdf" TargetMode="External"/><Relationship Id="rId146" Type="http://schemas.openxmlformats.org/officeDocument/2006/relationships/hyperlink" Target="https://www.umweltdialog.de/de-wAssets/docs/2014-Dokumente-zu-Artikeln/leitfaden_unternehmen.pdf" TargetMode="External"/><Relationship Id="rId7" Type="http://schemas.openxmlformats.org/officeDocument/2006/relationships/hyperlink" Target="https://www.adalovelaceinstitute.org/wp-content/uploads/2022/03/Expert-opinion-Lilian-Edwards-Regulating-AI-in-Europe.pdf" TargetMode="External"/><Relationship Id="rId145" Type="http://schemas.openxmlformats.org/officeDocument/2006/relationships/hyperlink" Target="https://hai.stanford.edu/sites/default/files/2021-10/HAI_NRCR_2021_0.pdf" TargetMode="External"/><Relationship Id="rId8" Type="http://schemas.openxmlformats.org/officeDocument/2006/relationships/hyperlink" Target="https://www.ethicscanvas.org/index.html" TargetMode="External"/><Relationship Id="rId144" Type="http://schemas.openxmlformats.org/officeDocument/2006/relationships/hyperlink" Target="https://www.abajournal.com/legalrebels/article/a_principled_artificial_intelligence_could_improve_justice" TargetMode="External"/><Relationship Id="rId139" Type="http://schemas.openxmlformats.org/officeDocument/2006/relationships/hyperlink" Target="https://commission.europa.eu/document/download/ff57e883-cbd7-41dc-81f4-40dc025257e7_en?filename=2018-european-semester-national-reform-programme-lithuania-en.pdf" TargetMode="External"/><Relationship Id="rId138" Type="http://schemas.openxmlformats.org/officeDocument/2006/relationships/hyperlink" Target="http://kurklt.lt/wp-content/uploads/2018/09/StrategyIndesignpdf.pdf" TargetMode="External"/><Relationship Id="rId137" Type="http://schemas.openxmlformats.org/officeDocument/2006/relationships/hyperlink" Target="https://enterprise.gov.ie/en/Publications/Publication-files/National-AI-Strategy.pdf" TargetMode="External"/><Relationship Id="rId132" Type="http://schemas.openxmlformats.org/officeDocument/2006/relationships/hyperlink" Target="https://germanycoe.de/storage/documents/Conference_Conclusions.pdf" TargetMode="External"/><Relationship Id="rId131" Type="http://schemas.openxmlformats.org/officeDocument/2006/relationships/hyperlink" Target="https://www.fhi.ox.ac.uk/wp-content/uploads/Standards_-FHI-Technical-Report.pdf" TargetMode="External"/><Relationship Id="rId130" Type="http://schemas.openxmlformats.org/officeDocument/2006/relationships/hyperlink" Target="https://fra.europa.eu/sites/default/files/fra_uploads/fra-2020-artificial-intelligence_en.pdf" TargetMode="External"/><Relationship Id="rId136" Type="http://schemas.openxmlformats.org/officeDocument/2006/relationships/hyperlink" Target="https://participa.gencat.cat/uploads/decidim/attachment/file/932/Document-Bases-Estrategia-IA-Catalunya-_ENversion.pdf" TargetMode="External"/><Relationship Id="rId135" Type="http://schemas.openxmlformats.org/officeDocument/2006/relationships/hyperlink" Target="https://www.gov.il/BlobFolder/generalpage/strategic_plan_19/en/STRATIGY-%20ICT%20AUTHORITY%20-%20ENGLISH.pdf" TargetMode="External"/><Relationship Id="rId134" Type="http://schemas.openxmlformats.org/officeDocument/2006/relationships/hyperlink" Target="https://www.gov.uk/government/collections/a-guide-to-using-artificial-intelligence-in-the-public-sector" TargetMode="External"/><Relationship Id="rId133" Type="http://schemas.openxmlformats.org/officeDocument/2006/relationships/hyperlink" Target="https://f98cc689-5814-47ec-86b3-db505a7c3978.filesusr.com/ugd/7df26f_27a618cb80a648c38be427194affa2f3.pdf" TargetMode="External"/><Relationship Id="rId172" Type="http://schemas.openxmlformats.org/officeDocument/2006/relationships/hyperlink" Target="https://www.lne.fr/en/service/certification/certification-processes-ai" TargetMode="External"/><Relationship Id="rId171" Type="http://schemas.openxmlformats.org/officeDocument/2006/relationships/hyperlink" Target="https://www.laboratoiredelegalite.org/le-pacte-pour-une-intelligence-artificielle-egalitaire-entre-les-femmes-et-les-hommes/" TargetMode="External"/><Relationship Id="rId170" Type="http://schemas.openxmlformats.org/officeDocument/2006/relationships/hyperlink" Target="https://papers.ssrn.com/sol3/papers.cfm?abstract_id=3899991" TargetMode="External"/><Relationship Id="rId165" Type="http://schemas.openxmlformats.org/officeDocument/2006/relationships/hyperlink" Target="https://www.zukunft-der-verwaltungsgerichtsbarkeit.de/media/pages/ki-und-verwaltung/709898829-1580462498/9-theses-en.pdf" TargetMode="External"/><Relationship Id="rId164" Type="http://schemas.openxmlformats.org/officeDocument/2006/relationships/hyperlink" Target="https://www8.cao.go.jp/cstp/english/outline_strategy_2022.pdf" TargetMode="External"/><Relationship Id="rId163" Type="http://schemas.openxmlformats.org/officeDocument/2006/relationships/hyperlink" Target="https://www.iso.org/committee/6794475.html" TargetMode="External"/><Relationship Id="rId162" Type="http://schemas.openxmlformats.org/officeDocument/2006/relationships/hyperlink" Target="https://www.ipsos.com/sites/default/files/ct/news/documents/2022-01/Global-opinions-and-expectations-about-AI-2022.pdf" TargetMode="External"/><Relationship Id="rId169" Type="http://schemas.openxmlformats.org/officeDocument/2006/relationships/hyperlink" Target="https://www.kas.de/documents/252038/4521287/Comparison+of+National+Strategies+to+Promote+Artificial+Intelligence+Part+2.pdf/4c6f3a0d-beaa-09f3-1db4-c66467739653?version=1.1&amp;t=1560500520623" TargetMode="External"/><Relationship Id="rId168" Type="http://schemas.openxmlformats.org/officeDocument/2006/relationships/hyperlink" Target="https://www.kas.de/documents/252038/4521287/Comparison+of+National+Strategies+to+Promote+Artificial+Intelligence+Part+1.pdf/397fb700-0c6f-88b6-46be-2d50d7942b83?version=1.1&amp;t=1560500570070" TargetMode="External"/><Relationship Id="rId167" Type="http://schemas.openxmlformats.org/officeDocument/2006/relationships/hyperlink" Target="https://www.kas.de/documents/252038/7995358/Analysis+of+current+global+AI+developments+with+a+focus+on+Europe.pdf/da00b869-cc82-03e4-a45d-b74357fdd9c1?version=1.0&amp;t=1606820629157" TargetMode="External"/><Relationship Id="rId166" Type="http://schemas.openxmlformats.org/officeDocument/2006/relationships/hyperlink" Target="https://www.datenschutz.rlp.de/fileadmin/lfdi/Konferenzdokumente/Datenschutz/DSK/Entschliessungen/097_Hambacher_Erklaerung.pdf" TargetMode="External"/><Relationship Id="rId161" Type="http://schemas.openxmlformats.org/officeDocument/2006/relationships/hyperlink" Target="https://publications.iadb.org/publications/english/document/Responsible-use-of-AI-for-public-policy-Project-formulation-manual.pdf" TargetMode="External"/><Relationship Id="rId160" Type="http://schemas.openxmlformats.org/officeDocument/2006/relationships/hyperlink" Target="https://publications.iadb.org/publications/english/document/Responsible-use-of-AI-for-public-policy-Data-science-toolkit.pdf" TargetMode="External"/><Relationship Id="rId159" Type="http://schemas.openxmlformats.org/officeDocument/2006/relationships/hyperlink" Target="https://bruce2b.files.wordpress.com/2019/08/d3dd6-responsible2bai2bin2bconsumer2benterprise.pdf" TargetMode="External"/><Relationship Id="rId154" Type="http://schemas.openxmlformats.org/officeDocument/2006/relationships/hyperlink" Target="https://issuu.com/indiansocietyai/docs/2020_handbook_on_artificial_intelligence_and_inter" TargetMode="External"/><Relationship Id="rId153" Type="http://schemas.openxmlformats.org/officeDocument/2006/relationships/hyperlink" Target="http://www.iiim.is/ethics-policy/" TargetMode="External"/><Relationship Id="rId152" Type="http://schemas.openxmlformats.org/officeDocument/2006/relationships/hyperlink" Target="https://www.research.ibm.com/artificial-intelligence/trusted-ai/" TargetMode="External"/><Relationship Id="rId151" Type="http://schemas.openxmlformats.org/officeDocument/2006/relationships/hyperlink" Target="https://www.ibm.com/blogs/think/2017/01/ibm-cognitive-principles/" TargetMode="External"/><Relationship Id="rId158" Type="http://schemas.openxmlformats.org/officeDocument/2006/relationships/hyperlink" Target="https://ethicsinaction.ieee.org/" TargetMode="External"/><Relationship Id="rId157" Type="http://schemas.openxmlformats.org/officeDocument/2006/relationships/hyperlink" Target="https://big-data-ljubljana-2017.weebly.com/uploads/1/1/9/1/1191873/big-data-2017-print.pdf" TargetMode="External"/><Relationship Id="rId156" Type="http://schemas.openxmlformats.org/officeDocument/2006/relationships/hyperlink" Target="https://ico.org.uk/media/for-organisations/guide-to-data-protection/key-dp-themes/explaining-decisions-made-with-artificial-intelligence-1-0.pdf" TargetMode="External"/><Relationship Id="rId155" Type="http://schemas.openxmlformats.org/officeDocument/2006/relationships/hyperlink" Target="https://ico.org.uk/media/for-organisations/documents/1589/promotion_of_a_political_party.pdf" TargetMode="External"/><Relationship Id="rId40" Type="http://schemas.openxmlformats.org/officeDocument/2006/relationships/hyperlink" Target="https://rm.coe.int/publication-content-prioritisation-report/1680a07a57" TargetMode="External"/><Relationship Id="rId42" Type="http://schemas.openxmlformats.org/officeDocument/2006/relationships/hyperlink" Target="http://assembly.coe.int/nw/xml/XRef/Xref-XML2HTML-EN.asp?fileid=28598&amp;lang=en" TargetMode="External"/><Relationship Id="rId41" Type="http://schemas.openxmlformats.org/officeDocument/2006/relationships/hyperlink" Target="https://pace.coe.int/en/files/21694/html" TargetMode="External"/><Relationship Id="rId44" Type="http://schemas.openxmlformats.org/officeDocument/2006/relationships/hyperlink" Target="https://pace.coe.int/files/28738/pdf" TargetMode="External"/><Relationship Id="rId43" Type="http://schemas.openxmlformats.org/officeDocument/2006/relationships/hyperlink" Target="https://pace.coe.int/files/28722/pdf" TargetMode="External"/><Relationship Id="rId46" Type="http://schemas.openxmlformats.org/officeDocument/2006/relationships/hyperlink" Target="https://pace.coe.int/files/28723/pdf" TargetMode="External"/><Relationship Id="rId45" Type="http://schemas.openxmlformats.org/officeDocument/2006/relationships/hyperlink" Target="https://pace.coe.int/files/28737/pdf" TargetMode="External"/><Relationship Id="rId48" Type="http://schemas.openxmlformats.org/officeDocument/2006/relationships/hyperlink" Target="https://pace.coe.int/files/28715/pdf" TargetMode="External"/><Relationship Id="rId47" Type="http://schemas.openxmlformats.org/officeDocument/2006/relationships/hyperlink" Target="https://pace.coe.int/files/28721/pdf" TargetMode="External"/><Relationship Id="rId49" Type="http://schemas.openxmlformats.org/officeDocument/2006/relationships/hyperlink" Target="https://pace.coe.int/files/28742/pdf" TargetMode="External"/><Relationship Id="rId31" Type="http://schemas.openxmlformats.org/officeDocument/2006/relationships/hyperlink" Target="https://www.adp.com/-/media/adp/redesign2018/pdf/data-privacy/ai-ethics-statement.pdf?rev=f155df771fea4850b310f17ca407f3f1&amp;hash=73364D9FB41931A7C1887B976538BE5C" TargetMode="External"/><Relationship Id="rId30" Type="http://schemas.openxmlformats.org/officeDocument/2006/relationships/hyperlink" Target="https://www.nytimes.com/2017/09/01/opinion/artificial-intelligence-regulations-rules.html" TargetMode="External"/><Relationship Id="rId33" Type="http://schemas.openxmlformats.org/officeDocument/2006/relationships/hyperlink" Target="https://policysearch.ama-assn.org/policyfinder/detail/augmented%20intelligence?uri=%2FAMADoc%2FHOD.xml-H-480.940.xml" TargetMode="External"/><Relationship Id="rId32" Type="http://schemas.openxmlformats.org/officeDocument/2006/relationships/hyperlink" Target="https://www.acr.org/-/media/ACR/Files/Informatics/Ethics-of-AI-in-Radiology-European-and-North-American-Multisociety-Statement--6-13-2019.pdf" TargetMode="External"/><Relationship Id="rId35" Type="http://schemas.openxmlformats.org/officeDocument/2006/relationships/hyperlink" Target="https://rm.coe.int/prems-092922-gbr-2517-ai-and-education-txt-16x24-web/1680a956e3" TargetMode="External"/><Relationship Id="rId34" Type="http://schemas.openxmlformats.org/officeDocument/2006/relationships/hyperlink" Target="https://rm.coe.int/feasability-study-en-cepej-2020-15/1680a0adf4" TargetMode="External"/><Relationship Id="rId37" Type="http://schemas.openxmlformats.org/officeDocument/2006/relationships/hyperlink" Target="https://rm.coe.int/iris-special-2-2020en-artificial-intelligence-in-the-audiovisual-secto/1680a11e0b" TargetMode="External"/><Relationship Id="rId36" Type="http://schemas.openxmlformats.org/officeDocument/2006/relationships/hyperlink" Target="https://rm.coe.int/eurimages-entering-the-new-paradigm-051219/1680995331" TargetMode="External"/><Relationship Id="rId39" Type="http://schemas.openxmlformats.org/officeDocument/2006/relationships/hyperlink" Target="https://rm.coe.int/algorithms-and-human-rights-en-rev/16807956b5" TargetMode="External"/><Relationship Id="rId38" Type="http://schemas.openxmlformats.org/officeDocument/2006/relationships/hyperlink" Target="https://rm.coe.int/responsability-and-ai-en/168097d9c5" TargetMode="External"/><Relationship Id="rId20" Type="http://schemas.openxmlformats.org/officeDocument/2006/relationships/hyperlink" Target="https://airecht.nl/s/Artificial-Intelligence-Impact-Assessment-English.pdf" TargetMode="External"/><Relationship Id="rId22" Type="http://schemas.openxmlformats.org/officeDocument/2006/relationships/hyperlink" Target="https://link.springer.com/content/pdf/10.1007/s11023-018-9482-5.pdf" TargetMode="External"/><Relationship Id="rId21" Type="http://schemas.openxmlformats.org/officeDocument/2006/relationships/hyperlink" Target="https://www.ai4belgium.be/wp-content/uploads/2019/04/report_en.pdf" TargetMode="External"/><Relationship Id="rId24" Type="http://schemas.openxmlformats.org/officeDocument/2006/relationships/hyperlink" Target="https://www.aisoma.de/wp-content/uploads/2021/01/Overview-of-National-AI-Strategies.pdf" TargetMode="External"/><Relationship Id="rId23" Type="http://schemas.openxmlformats.org/officeDocument/2006/relationships/hyperlink" Target="https://www.ai-ethics-impact.org/resource/blob/1961130/c6db9894ee73aefa489d6249f5ee2b9f/aieig---report---download-hb-data.pdf" TargetMode="External"/><Relationship Id="rId26" Type="http://schemas.openxmlformats.org/officeDocument/2006/relationships/hyperlink" Target="https://algorithmwatch.org/wp-content/uploads/2017/06/AlgorithmWatch_Working-Paper_No_2_Ethics_ADM.pdf" TargetMode="External"/><Relationship Id="rId25" Type="http://schemas.openxmlformats.org/officeDocument/2006/relationships/hyperlink" Target="https://aisp.upenn.edu/wp-content/uploads/2022/07/AISP-Toolkit_5.27.20.pdf" TargetMode="External"/><Relationship Id="rId28" Type="http://schemas.openxmlformats.org/officeDocument/2006/relationships/hyperlink" Target="https://alltechishuman.org/ai-human-rights-report" TargetMode="External"/><Relationship Id="rId27" Type="http://schemas.openxmlformats.org/officeDocument/2006/relationships/hyperlink" Target="https://algorithmwatch.org/wp-content/uploads/2019/01/Automating_Society_Report_2019.pdf" TargetMode="External"/><Relationship Id="rId29" Type="http://schemas.openxmlformats.org/officeDocument/2006/relationships/hyperlink" Target="https://allai.nl/wp-content/uploads/2021/08/EU-Proposal-for-Artificial-Intelligence-Act-Analysis-and-Recommendations.pdf" TargetMode="External"/><Relationship Id="rId11" Type="http://schemas.openxmlformats.org/officeDocument/2006/relationships/hyperlink" Target="https://www8.cao.go.jp/cstp/tyousakai/ai/summary/aisociety_en.pdf" TargetMode="External"/><Relationship Id="rId10" Type="http://schemas.openxmlformats.org/officeDocument/2006/relationships/hyperlink" Target="https://www.adobe.com/about-adobe/aiethics.html" TargetMode="External"/><Relationship Id="rId13" Type="http://schemas.openxmlformats.org/officeDocument/2006/relationships/hyperlink" Target="https://assets.publishing.service.gov.uk/media/5ff3bc6e8fa8f53b76ccee23/AI_Council_AI_Roadmap.pdf" TargetMode="External"/><Relationship Id="rId12" Type="http://schemas.openxmlformats.org/officeDocument/2006/relationships/hyperlink" Target="https://ai-white-paper.readthedocs.io/en/latest/" TargetMode="External"/><Relationship Id="rId15" Type="http://schemas.openxmlformats.org/officeDocument/2006/relationships/hyperlink" Target="https://ainowinstitute.org/wp-content/uploads/2023/04/AI_Now_2017_Report.pdf" TargetMode="External"/><Relationship Id="rId14" Type="http://schemas.openxmlformats.org/officeDocument/2006/relationships/hyperlink" Target="https://data.govt.nz/assets/data-ethics/algorithm/Trustworthy-AI-in-Aotearoa-March-2020.pdf" TargetMode="External"/><Relationship Id="rId17" Type="http://schemas.openxmlformats.org/officeDocument/2006/relationships/hyperlink" Target="https://ainowinstitute.org/wp-content/uploads/2023/04/AI-Now-2023-Landscape-Report-FINAL.pdf" TargetMode="External"/><Relationship Id="rId16" Type="http://schemas.openxmlformats.org/officeDocument/2006/relationships/hyperlink" Target="https://ainowinstitute.org/wp-content/uploads/2023/04/AI_Now_2018_Report.pdf" TargetMode="External"/><Relationship Id="rId19" Type="http://schemas.openxmlformats.org/officeDocument/2006/relationships/hyperlink" Target="https://artificialintelligencenow.com/media/documents/AINowSummaryReport_3_RpmwKHu.pdf" TargetMode="External"/><Relationship Id="rId18" Type="http://schemas.openxmlformats.org/officeDocument/2006/relationships/hyperlink" Target="https://ainowinstitute.org/wp-content/uploads/2023/04/AI_Now_2019_Report.pdf" TargetMode="External"/><Relationship Id="rId84" Type="http://schemas.openxmlformats.org/officeDocument/2006/relationships/hyperlink" Target="https://publications.jrc.ec.europa.eu/repository/bitstream/JRC129614/JRC129614_01.pdf" TargetMode="External"/><Relationship Id="rId83" Type="http://schemas.openxmlformats.org/officeDocument/2006/relationships/hyperlink" Target="https://publications.jrc.ec.europa.eu/repository/bitstream/JRC122684/ai_watch_report_national_ai_strategies.pdf" TargetMode="External"/><Relationship Id="rId86" Type="http://schemas.openxmlformats.org/officeDocument/2006/relationships/hyperlink" Target="https://publications.jrc.ec.europa.eu/repository/bitstream/JRC125343/what-future-for-european-robotics.pdf" TargetMode="External"/><Relationship Id="rId85" Type="http://schemas.openxmlformats.org/officeDocument/2006/relationships/hyperlink" Target="https://op.europa.eu/o/opportal-service/download-handler?identifier=5cb8eee3-e888-11e8-b690-01aa75ed71a1&amp;format=pdf&amp;language=en&amp;productionSystem=cellar&amp;part=" TargetMode="External"/><Relationship Id="rId88" Type="http://schemas.openxmlformats.org/officeDocument/2006/relationships/hyperlink" Target="https://edps.europa.eu/sites/edp/files/publication/18-03-19_online_manipulation_en.pdf" TargetMode="External"/><Relationship Id="rId87" Type="http://schemas.openxmlformats.org/officeDocument/2006/relationships/hyperlink" Target="https://www.eib.org/attachments/thematic/artificial_intelligence_blockchain_and_the_future_of_europe_report_en.pdf" TargetMode="External"/><Relationship Id="rId89" Type="http://schemas.openxmlformats.org/officeDocument/2006/relationships/hyperlink" Target="https://www.eesc.europa.eu/en/our-work/opinions-information-reports/opinions/investing-smart-innovative-and-sustainable-industry-referral" TargetMode="External"/><Relationship Id="rId80" Type="http://schemas.openxmlformats.org/officeDocument/2006/relationships/hyperlink" Target="https://publications.jrc.ec.europa.eu/repository/bitstream/JRC126665/jrc126665_sustainable_implementation_of_ai_in_public_services_technical-report_v2.pdf" TargetMode="External"/><Relationship Id="rId82" Type="http://schemas.openxmlformats.org/officeDocument/2006/relationships/hyperlink" Target="https://publications.jrc.ec.europa.eu/repository/bitstream/JRC122684/ai_watch_report_national_ai_strategies.pdf" TargetMode="External"/><Relationship Id="rId81" Type="http://schemas.openxmlformats.org/officeDocument/2006/relationships/hyperlink" Target="https://op.europa.eu/o/opportal-service/download-handler?identifier=6cc0f1b6-59dd-11ea-8b81-01aa75ed71a1&amp;format=pdf&amp;language=en&amp;productionSystem=cellar&amp;part=" TargetMode="External"/><Relationship Id="rId73" Type="http://schemas.openxmlformats.org/officeDocument/2006/relationships/hyperlink" Target="https://ec.europa.eu/docsroom/documents/43845" TargetMode="External"/><Relationship Id="rId72" Type="http://schemas.openxmlformats.org/officeDocument/2006/relationships/hyperlink" Target="https://eur-lex.europa.eu/legal-content/EN/TXT/HTML/?uri=CELEX:52020DC0591&amp;from=EN" TargetMode="External"/><Relationship Id="rId75" Type="http://schemas.openxmlformats.org/officeDocument/2006/relationships/hyperlink" Target="https://ec.europa.eu/newsroom/dae/document.cfm?doc_id=60343" TargetMode="External"/><Relationship Id="rId74" Type="http://schemas.openxmlformats.org/officeDocument/2006/relationships/hyperlink" Target="https://digital-strategy.ec.europa.eu/en/library/proposal-regulation-european-approach-artificial-intelligence" TargetMode="External"/><Relationship Id="rId77" Type="http://schemas.openxmlformats.org/officeDocument/2006/relationships/hyperlink" Target="https://publications.jrc.ec.europa.eu/repository/bitstream/JRC125952/ai_watch_task_9_standardization_activity_mapping_v5.1.3.pdf" TargetMode="External"/><Relationship Id="rId76" Type="http://schemas.openxmlformats.org/officeDocument/2006/relationships/hyperlink" Target="https://publications.jrc.ec.europa.eu/repository/bitstream/JRC127944/JRC127944_01.pdf" TargetMode="External"/><Relationship Id="rId79" Type="http://schemas.openxmlformats.org/officeDocument/2006/relationships/hyperlink" Target="https://publications.jrc.ec.europa.eu/repository/bitstream/JRC122014/jrc122014_ai_watch_assessing_technology_readiness_levels_for_artificial_intelligence-1.pdf" TargetMode="External"/><Relationship Id="rId78" Type="http://schemas.openxmlformats.org/officeDocument/2006/relationships/hyperlink" Target="https://publications.jrc.ec.europa.eu/repository/bitstream/JRC120399/jrc120399_misuraca-ai-watch_public-services_30062020_def.pdf" TargetMode="External"/><Relationship Id="rId71" Type="http://schemas.openxmlformats.org/officeDocument/2006/relationships/hyperlink" Target="https://op.europa.eu/o/opportal-service/download-handler?identifier=651a6438-7357-11ec-9136-01aa75ed71a1&amp;format=pdf&amp;language=en&amp;productionSystem=cellar&amp;part=" TargetMode="External"/><Relationship Id="rId70" Type="http://schemas.openxmlformats.org/officeDocument/2006/relationships/hyperlink" Target="https://ec.europa.eu/jrc/communities/en/community/digitranscope/document/eu-declaration-cooperation-artificial-intelligence" TargetMode="External"/><Relationship Id="rId62" Type="http://schemas.openxmlformats.org/officeDocument/2006/relationships/hyperlink" Target="https://www.gov.uk/government/publications/growing-the-artificial-intelligence-industry-in-the-uk" TargetMode="External"/><Relationship Id="rId61" Type="http://schemas.openxmlformats.org/officeDocument/2006/relationships/hyperlink" Target="https://www.gov.uk/government/news/new-national-innovation-centre-to-put-uk-at-forefront-of-big-data" TargetMode="External"/><Relationship Id="rId64" Type="http://schemas.openxmlformats.org/officeDocument/2006/relationships/hyperlink" Target="https://enterprise.gov.ie/en/Consultations/Public-Consultation-Development-of-a-National-Strategy-on-Artificial-Intelligence.html" TargetMode="External"/><Relationship Id="rId63" Type="http://schemas.openxmlformats.org/officeDocument/2006/relationships/hyperlink" Target="https://www.gov.uk/government/publications/artificial-intelligence-sector-deal" TargetMode="External"/><Relationship Id="rId66" Type="http://schemas.openxmlformats.org/officeDocument/2006/relationships/hyperlink" Target="http://www.informatizacia.sk/strategicke-priority-erf/24190c" TargetMode="External"/><Relationship Id="rId65" Type="http://schemas.openxmlformats.org/officeDocument/2006/relationships/hyperlink" Target="http://www.informatizacia.sk/narodna-koncepcia-informatizacie-verejnej-spravy--2016-/22662c" TargetMode="External"/><Relationship Id="rId68" Type="http://schemas.openxmlformats.org/officeDocument/2006/relationships/hyperlink" Target="https://digital-strategy.ec.europa.eu/en/news/code-practice-disinformation" TargetMode="External"/><Relationship Id="rId67" Type="http://schemas.openxmlformats.org/officeDocument/2006/relationships/hyperlink" Target="https://www.esma.europa.eu/sites/default/files/library/jc-2018-04_joint_committee_final_report_on_big_data.pdf" TargetMode="External"/><Relationship Id="rId60" Type="http://schemas.openxmlformats.org/officeDocument/2006/relationships/hyperlink" Target="https://www.defenseurdesdroits.fr/sites/default/files/2023-07/ddd_rapport_algorithmes_2020_EN_20200531.pdf" TargetMode="External"/><Relationship Id="rId69" Type="http://schemas.openxmlformats.org/officeDocument/2006/relationships/hyperlink" Target="https://ec.europa.eu/newsroom/dae/document.cfm?doc_id=58496" TargetMode="External"/><Relationship Id="rId51" Type="http://schemas.openxmlformats.org/officeDocument/2006/relationships/hyperlink" Target="https://rm.coe.int/e-relevance-of-culture-in-the-age-of-ai-expert-seminar-on-culture-crea/168091e688" TargetMode="External"/><Relationship Id="rId50" Type="http://schemas.openxmlformats.org/officeDocument/2006/relationships/hyperlink" Target="https://rm.coe.int/ai-report-bil-final/16809f9a88" TargetMode="External"/><Relationship Id="rId53" Type="http://schemas.openxmlformats.org/officeDocument/2006/relationships/hyperlink" Target="https://www.consilium.europa.eu/media/37363/gender-equality_text-adopted.pdf" TargetMode="External"/><Relationship Id="rId52" Type="http://schemas.openxmlformats.org/officeDocument/2006/relationships/hyperlink" Target="http://www.consilium.europa.eu/media/21620/19-euco-final-conclusions-en.pdf" TargetMode="External"/><Relationship Id="rId55" Type="http://schemas.openxmlformats.org/officeDocument/2006/relationships/hyperlink" Target="http://data.consilium.europa.eu/doc/document/ST-14411-2018-INIT/en/pdf" TargetMode="External"/><Relationship Id="rId54" Type="http://schemas.openxmlformats.org/officeDocument/2006/relationships/hyperlink" Target="https://www.consilium.europa.eu/media/46496/st11481-en20.pdf" TargetMode="External"/><Relationship Id="rId57" Type="http://schemas.openxmlformats.org/officeDocument/2006/relationships/hyperlink" Target="https://www.ajcact.org" TargetMode="External"/><Relationship Id="rId56" Type="http://schemas.openxmlformats.org/officeDocument/2006/relationships/hyperlink" Target="https://www.courdecassation.fr/files/files/Publications/Divers/Rapport%20open%20data/Rapport_La_Diffusion_des_donn%C3%A9es_d%C3%A9cisionnelles_et_la_jurisprudence.pdf" TargetMode="External"/><Relationship Id="rId59" Type="http://schemas.openxmlformats.org/officeDocument/2006/relationships/hyperlink" Target="https://dataforgood.fr/projects/sermenthippocrate/" TargetMode="External"/><Relationship Id="rId58" Type="http://schemas.openxmlformats.org/officeDocument/2006/relationships/hyperlink" Target="https://www.bmi.bund.de/SharedDocs/downloads/EN/themen/it-digital-policy/recommendations-data-ethics-commission.pdf;jsessionid=F3332ECDBF9E5FFDB93910C64986F0D9.2_cid295?__blob=publicationFile&amp;v=4" TargetMode="External"/><Relationship Id="rId107" Type="http://schemas.openxmlformats.org/officeDocument/2006/relationships/hyperlink" Target="https://oeil.secure.europarl.europa.eu/oeil/popups/ficheprocedure.do?lang=&amp;reference=2018/2088(INI" TargetMode="External"/><Relationship Id="rId106" Type="http://schemas.openxmlformats.org/officeDocument/2006/relationships/hyperlink" Target="https://www.europarl.europa.eu/thinktank/en/document.html?reference=EPRS_STU(2020)654178" TargetMode="External"/><Relationship Id="rId105" Type="http://schemas.openxmlformats.org/officeDocument/2006/relationships/hyperlink" Target="https://www.europarl.europa.eu/RegData/etudes/STUD/2021/662908/IPOL_STU(2021)662908_EN.pdf" TargetMode="External"/><Relationship Id="rId104" Type="http://schemas.openxmlformats.org/officeDocument/2006/relationships/hyperlink" Target="https://www.europarl.europa.eu/RegData/etudes/STUD/2021/696968/IPOL_STU(2021)696968_EN.pdf" TargetMode="External"/><Relationship Id="rId109" Type="http://schemas.openxmlformats.org/officeDocument/2006/relationships/hyperlink" Target="https://www.europarl.europa.eu/doceo/document/AIDA-PR-680928_EN.pdf" TargetMode="External"/><Relationship Id="rId108" Type="http://schemas.openxmlformats.org/officeDocument/2006/relationships/hyperlink" Target="https://www.europarl.europa.eu/RegData/etudes/STUD/2021/656311/EPRS_STU(2021)656311_EN.pdf" TargetMode="External"/><Relationship Id="rId103" Type="http://schemas.openxmlformats.org/officeDocument/2006/relationships/hyperlink" Target="https://www.europarl.europa.eu/RegData/etudes/STUD/2022/729541/EPRS_STU(2022)729541_EN.pdf" TargetMode="External"/><Relationship Id="rId102" Type="http://schemas.openxmlformats.org/officeDocument/2006/relationships/hyperlink" Target="https://www.europarl.europa.eu/doceo/document/TA-9-2021-0009_EN.pdf" TargetMode="External"/><Relationship Id="rId101" Type="http://schemas.openxmlformats.org/officeDocument/2006/relationships/hyperlink" Target="https://www.europarl.europa.eu/RegData/etudes/STUD/2021/662912/IPOL_STU(2021)662912_EN.pdf" TargetMode="External"/><Relationship Id="rId100" Type="http://schemas.openxmlformats.org/officeDocument/2006/relationships/hyperlink" Target="http://www.europarl.europa.eu/RegData/etudes/BRIE/2021/662937/IPOL_BRI(2021)662937_EN.pdf" TargetMode="External"/><Relationship Id="rId129" Type="http://schemas.openxmlformats.org/officeDocument/2006/relationships/hyperlink" Target="https://fra.europa.eu/sites/default/files/fra_uploads/fra-2019-facial-recognition-technology-focus-paper-1_en.pdf" TargetMode="External"/><Relationship Id="rId128" Type="http://schemas.openxmlformats.org/officeDocument/2006/relationships/hyperlink" Target="https://fra.europa.eu/sites/default/files/fra_uploads/fra-2019-data-quality-and-ai_en.pdf" TargetMode="External"/><Relationship Id="rId127" Type="http://schemas.openxmlformats.org/officeDocument/2006/relationships/hyperlink" Target="https://www.aiforhumanity.fr/en/" TargetMode="External"/><Relationship Id="rId126" Type="http://schemas.openxmlformats.org/officeDocument/2006/relationships/hyperlink" Target="https://www.ki-strategie-deutschland.de/home.html?file=files/downloads/Nationale_KI-Strategie_engl.pdf" TargetMode="External"/><Relationship Id="rId121" Type="http://schemas.openxmlformats.org/officeDocument/2006/relationships/hyperlink" Target="https://www.fatml.org/resources/principles-for-accountable-algorithms" TargetMode="External"/><Relationship Id="rId120" Type="http://schemas.openxmlformats.org/officeDocument/2006/relationships/hyperlink" Target="https://www.fairtrials.org/automating-injustice" TargetMode="External"/><Relationship Id="rId125" Type="http://schemas.openxmlformats.org/officeDocument/2006/relationships/hyperlink" Target="https://www.abida.de/en" TargetMode="External"/><Relationship Id="rId124" Type="http://schemas.openxmlformats.org/officeDocument/2006/relationships/hyperlink" Target="https://www.bmk.gv.at/dam/jcr:8acef058-7167-4335-880e-9fa341b723c8/aimat_ua.pdf" TargetMode="External"/><Relationship Id="rId123" Type="http://schemas.openxmlformats.org/officeDocument/2006/relationships/hyperlink" Target="https://www.ki-strategie-deutschland.de/home.html?file=files/downloads/Nationale_KI-Strategie_engl.pdf" TargetMode="External"/><Relationship Id="rId122" Type="http://schemas.openxmlformats.org/officeDocument/2006/relationships/hyperlink" Target="https://www.digitalroadmap.gv.at/en/" TargetMode="External"/><Relationship Id="rId95" Type="http://schemas.openxmlformats.org/officeDocument/2006/relationships/hyperlink" Target="http://www.europarl.europa.eu/RegData/etudes/STUD/2019/624262/EPRS_STU(2019)624262_EN.pdf" TargetMode="External"/><Relationship Id="rId94" Type="http://schemas.openxmlformats.org/officeDocument/2006/relationships/hyperlink" Target="https://ai.equineteurope.org/system/files/2022-06/Equinet-Position-Paper-on-AI-and-Equality.pdf" TargetMode="External"/><Relationship Id="rId97" Type="http://schemas.openxmlformats.org/officeDocument/2006/relationships/hyperlink" Target="https://www.europarl.europa.eu/RegData/etudes/STUD/2022/699643/IPOL_STU(2022)699643_EN.pdf" TargetMode="External"/><Relationship Id="rId96" Type="http://schemas.openxmlformats.org/officeDocument/2006/relationships/hyperlink" Target="https://www.europarl.europa.eu/RegData/etudes/STUD/2022/729516/EPRS_STU(2022)729516_EN.pdf" TargetMode="External"/><Relationship Id="rId99" Type="http://schemas.openxmlformats.org/officeDocument/2006/relationships/hyperlink" Target="https://www.europarl.europa.eu/RegData/etudes/STUD/2021/654212/EPRS_STU(2021)654212_EN.pdf" TargetMode="External"/><Relationship Id="rId98" Type="http://schemas.openxmlformats.org/officeDocument/2006/relationships/hyperlink" Target="https://www.europarl.europa.eu/RegData/etudes/STUD/2021/662926/IPOL_STU(2021)662926_EN.pdf" TargetMode="External"/><Relationship Id="rId91" Type="http://schemas.openxmlformats.org/officeDocument/2006/relationships/hyperlink" Target="https://www.europeanlawinstitute.eu/fileadmin/user_upload/p_eli/Publications/ELI_Innovation_Paper_on_Guiding_Principles_for_ADM_in_the_EU.pdf" TargetMode="External"/><Relationship Id="rId90" Type="http://schemas.openxmlformats.org/officeDocument/2006/relationships/hyperlink" Target="https://webapi2016.eesc.europa.eu/v1/documents/EESC-2017-00654-00-00-AC-TRA-en.docx/content" TargetMode="External"/><Relationship Id="rId93" Type="http://schemas.openxmlformats.org/officeDocument/2006/relationships/hyperlink" Target="https://ai.equineteurope.org/system/files/2021-04/EQUINET_REGULATING%20FOR%20AN%20EQUAL%20AI_2020_report.pdf" TargetMode="External"/><Relationship Id="rId92" Type="http://schemas.openxmlformats.org/officeDocument/2006/relationships/hyperlink" Target="https://www.europeanlawinstitute.eu/fileadmin/user_upload/p_eli/Publications/ELI_Model_Rules_on_Impact_Assessment_of_ADMSs_Used_by_Public_Administration.pdf" TargetMode="External"/><Relationship Id="rId118" Type="http://schemas.openxmlformats.org/officeDocument/2006/relationships/hyperlink" Target="https://testing-ai.gi.de/english" TargetMode="External"/><Relationship Id="rId117" Type="http://schemas.openxmlformats.org/officeDocument/2006/relationships/hyperlink" Target="https://www.enisa.europa.eu/publications/artificial-intelligence-cybersecurity-challenges/@@download/fullReport" TargetMode="External"/><Relationship Id="rId116" Type="http://schemas.openxmlformats.org/officeDocument/2006/relationships/hyperlink" Target="https://ec.europa.eu/newsroom/dae/redirection/document/92399" TargetMode="External"/><Relationship Id="rId115" Type="http://schemas.openxmlformats.org/officeDocument/2006/relationships/hyperlink" Target="https://www.europarl.europa.eu/doceo/document/TA-9-2021-0405_EN.html" TargetMode="External"/><Relationship Id="rId119" Type="http://schemas.openxmlformats.org/officeDocument/2006/relationships/hyperlink" Target="https://english.ey.gov.tw/News3/9E5540D592A5FECD/1dec0902-e02a-49c6-870d-e77208481667" TargetMode="External"/><Relationship Id="rId110" Type="http://schemas.openxmlformats.org/officeDocument/2006/relationships/hyperlink" Target="https://www.europarl.europa.eu/RegData/etudes/BRIE/2019/640163/EPRS_BRI(2019)640163_EN.pdf" TargetMode="External"/><Relationship Id="rId114" Type="http://schemas.openxmlformats.org/officeDocument/2006/relationships/hyperlink" Target="https://op.europa.eu/fr/publication-detail/-/publication/c721f802-9ce7-11e7-b92d-01aa75ed71a1/language-en" TargetMode="External"/><Relationship Id="rId113" Type="http://schemas.openxmlformats.org/officeDocument/2006/relationships/hyperlink" Target="http://www.europarl.europa.eu/doceo/document/TA-8-2019-0081_EN.pdf" TargetMode="External"/><Relationship Id="rId112" Type="http://schemas.openxmlformats.org/officeDocument/2006/relationships/hyperlink" Target="https://www.europarl.europa.eu/RegData/etudes/STUD/2018/626074/IPOL_STU(2018)626074_EN.pdf" TargetMode="External"/><Relationship Id="rId111" Type="http://schemas.openxmlformats.org/officeDocument/2006/relationships/hyperlink" Target="https://www.europarl.europa.eu/RegData/etudes/BRIE/2021/698792/EPRS_BRI(2021)698792_EN.pdf" TargetMode="External"/><Relationship Id="rId206" Type="http://schemas.openxmlformats.org/officeDocument/2006/relationships/hyperlink" Target="https://digitalcollection.zhaw.ch/bitstream/11475/24226/4/2020_Christen-etal_Ethical-Codex_Recommendations.pdf" TargetMode="External"/><Relationship Id="rId205" Type="http://schemas.openxmlformats.org/officeDocument/2006/relationships/hyperlink" Target="https://www.oecd.org/going-digital/ai/principles/" TargetMode="External"/><Relationship Id="rId204" Type="http://schemas.openxmlformats.org/officeDocument/2006/relationships/hyperlink" Target="https://www.oecd-ilibrary.org/docserver/cb6d9eca-en.pdf?expires=1704208445&amp;id=id&amp;accname=guest&amp;checksum=D4906A98889E61868DDDE97B27971025" TargetMode="External"/><Relationship Id="rId203" Type="http://schemas.openxmlformats.org/officeDocument/2006/relationships/hyperlink" Target="https://oecd.ai" TargetMode="External"/><Relationship Id="rId209" Type="http://schemas.openxmlformats.org/officeDocument/2006/relationships/drawing" Target="../drawings/drawing9.xml"/><Relationship Id="rId208" Type="http://schemas.openxmlformats.org/officeDocument/2006/relationships/hyperlink" Target="http://cdn.aiindex.org/2018/AI%20Index%202018%20Annual%20Report.pdf" TargetMode="External"/><Relationship Id="rId207" Type="http://schemas.openxmlformats.org/officeDocument/2006/relationships/hyperlink" Target="https://www.humanrights.dk/files/media/document/A%20HRIA%20of%20Digital%20Activities%20-%20Introduction_ENG_accessible.pdf" TargetMode="External"/><Relationship Id="rId202" Type="http://schemas.openxmlformats.org/officeDocument/2006/relationships/hyperlink" Target="https://www.orange.com/en/Human-Inside/Mag/Hello-I-am-AI." TargetMode="External"/><Relationship Id="rId201" Type="http://schemas.openxmlformats.org/officeDocument/2006/relationships/hyperlink" Target="https://d32j3j47emgb6f.cloudfront.net/wp-content/uploads/2021/01/AI_Impact_Assessment_A_Policy_Prototyping_Experiment.pdf" TargetMode="External"/><Relationship Id="rId200" Type="http://schemas.openxmlformats.org/officeDocument/2006/relationships/hyperlink" Target="http://www.informatizacia.sk/ext_dok-uppvii_sp_manazment_udajov_vfinal/24196c"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montrealethics.ai/wp-content/uploads/2021/09/State-of-AI-Ethics-Report-Volume-5-July-2021.pdf" TargetMode="External"/><Relationship Id="rId194" Type="http://schemas.openxmlformats.org/officeDocument/2006/relationships/hyperlink" Target="https://www.nitrd.gov/pubs/national_ai_rd_strategic_plan.pdf" TargetMode="External"/><Relationship Id="rId193" Type="http://schemas.openxmlformats.org/officeDocument/2006/relationships/hyperlink" Target="https://nvlpubs.nist.gov/nistpubs/SpecialPublications/NIST.SP.1270-draft.pdf" TargetMode="External"/><Relationship Id="rId192" Type="http://schemas.openxmlformats.org/officeDocument/2006/relationships/hyperlink" Target="https://nap.nationalacademies.org/read/24886/chapter/7" TargetMode="External"/><Relationship Id="rId191" Type="http://schemas.openxmlformats.org/officeDocument/2006/relationships/hyperlink" Target="https://montrealethics.ai/wp-content/uploads/2022/01/State-of-AI-Ethics-Report-Volume-6-February-2022.pdf" TargetMode="External"/><Relationship Id="rId187" Type="http://schemas.openxmlformats.org/officeDocument/2006/relationships/hyperlink" Target="https://www.newamerica.org/cybersecurity-initiative/digichina/blog/translation-chinese-government-outlines-ai-ambitions-through-2020/" TargetMode="External"/><Relationship Id="rId186" Type="http://schemas.openxmlformats.org/officeDocument/2006/relationships/hyperlink" Target="https://vm.fi/en/auroraai-en" TargetMode="External"/><Relationship Id="rId185" Type="http://schemas.openxmlformats.org/officeDocument/2006/relationships/hyperlink" Target="http://www.regeringen.se/49adea/contentassets/5429e024be6847fc907b786ab954228f/digitaliseringsstrategin_slutlig_170518-2.pdf" TargetMode="External"/><Relationship Id="rId184" Type="http://schemas.openxmlformats.org/officeDocument/2006/relationships/hyperlink" Target="https://www.srbija.gov.rs/tekst/en/149169" TargetMode="External"/><Relationship Id="rId189" Type="http://schemas.openxmlformats.org/officeDocument/2006/relationships/hyperlink" Target="https://www.regjeringen.no/contentassets/1febbbb2c4fd4b7d92c67ddd353b6ae8/en-gb/pdfs/ki-strategi_en.pdf" TargetMode="External"/><Relationship Id="rId188" Type="http://schemas.openxmlformats.org/officeDocument/2006/relationships/hyperlink" Target="https://www.mpo.cz/assets/en/guidepost/for-the-media/press-releases/2019/5/NAIS_eng_web.pdf" TargetMode="External"/><Relationship Id="rId183" Type="http://schemas.openxmlformats.org/officeDocument/2006/relationships/hyperlink" Target="https://www.mise.gov.it/images/stories/documenti/Strategia-Nazionale-Intelligenza-Artificiale-Bozza-Consultazione.pdf" TargetMode="External"/><Relationship Id="rId182" Type="http://schemas.openxmlformats.org/officeDocument/2006/relationships/hyperlink" Target="http://julkaisut.valtioneuvosto.fi/bitstream/handle/10024/161688/41_19_Leading%20the%20way%20into%20the%20age%20of%20artificial%20intelligence.pdf" TargetMode="External"/><Relationship Id="rId181" Type="http://schemas.openxmlformats.org/officeDocument/2006/relationships/hyperlink" Target="http://julkaisut.valtioneuvosto.fi/bitstream/handle/10024/160391/TEMrap_47_2017_verkkojulkaisu.pdf" TargetMode="External"/><Relationship Id="rId180" Type="http://schemas.openxmlformats.org/officeDocument/2006/relationships/hyperlink" Target="https://knowledge4policy.ec.europa.eu/sites/default/files/netherlands-ai-strategy-report.pdf" TargetMode="External"/><Relationship Id="rId176" Type="http://schemas.openxmlformats.org/officeDocument/2006/relationships/hyperlink" Target="https://www.microsoft.com/design/inclusive/" TargetMode="External"/><Relationship Id="rId175" Type="http://schemas.openxmlformats.org/officeDocument/2006/relationships/hyperlink" Target="https://www.microsoft.com/en-us/research/uploads/prod/2018/11/Bot_Guidelines_Nov_2018.pdf" TargetMode="External"/><Relationship Id="rId174" Type="http://schemas.openxmlformats.org/officeDocument/2006/relationships/hyperlink" Target="https://mdia.gov.mt/wp-content/uploads/2020/07/itas-sandbox-consultation-document-v1.0.pdf" TargetMode="External"/><Relationship Id="rId173" Type="http://schemas.openxmlformats.org/officeDocument/2006/relationships/hyperlink" Target="https://intelligence.org/files/EthicsofAI.pdf" TargetMode="External"/><Relationship Id="rId179" Type="http://schemas.openxmlformats.org/officeDocument/2006/relationships/hyperlink" Target="https://www.nederlanddigitaal.nl/binaries/nederlanddigitaal-nl/documenten/publicaties/2019/09/30/english-version-of-the-dutch-digitalisation-strategy/Nederlandse_Digitaliseringsstrategie_ENG.pdf" TargetMode="External"/><Relationship Id="rId178" Type="http://schemas.openxmlformats.org/officeDocument/2006/relationships/hyperlink" Target="https://www.gov.pl/web/cyfryzacja/sztuczna-inteligencja-polska-2118" TargetMode="External"/><Relationship Id="rId177" Type="http://schemas.openxmlformats.org/officeDocument/2006/relationships/hyperlink" Target="https://ai-innovation.id/server/static/ebook/stranas-ka.pdf" TargetMode="External"/><Relationship Id="rId198" Type="http://schemas.openxmlformats.org/officeDocument/2006/relationships/hyperlink" Target="https://www.oreilly.com/ideas/of-oaths-and-checklists" TargetMode="External"/><Relationship Id="rId197" Type="http://schemas.openxmlformats.org/officeDocument/2006/relationships/hyperlink" Target="https://www.norden.org/en/declaration/ai-nordic-baltic-region" TargetMode="External"/><Relationship Id="rId196" Type="http://schemas.openxmlformats.org/officeDocument/2006/relationships/hyperlink" Target="https://www.hrc.co.nz/files/5715/2575/3415/Privacy_Data_Technology_-_Human_Rights_Challenges_in_the_Digital_Age_FINAL.pdf" TargetMode="External"/><Relationship Id="rId195" Type="http://schemas.openxmlformats.org/officeDocument/2006/relationships/hyperlink" Target="https://www.transportation.gov/sites/dot.gov/files/docs/policy-initiatives/automated-vehicles/360956/ensuringamericanleadershipav4.pdf" TargetMode="External"/><Relationship Id="rId199" Type="http://schemas.openxmlformats.org/officeDocument/2006/relationships/hyperlink" Target="https://www.intelligence.gov/principles-of-artificial-intelligence-ethics-for-the-intelligence-community" TargetMode="External"/><Relationship Id="rId150" Type="http://schemas.openxmlformats.org/officeDocument/2006/relationships/hyperlink" Target="https://www.ia2030.mx/principios-ia" TargetMode="External"/><Relationship Id="rId1" Type="http://schemas.openxmlformats.org/officeDocument/2006/relationships/hyperlink" Target="https://fr.scribd.com/document/450122018/Accenture-Universal-Principles-Data-Ethics" TargetMode="External"/><Relationship Id="rId2" Type="http://schemas.openxmlformats.org/officeDocument/2006/relationships/hyperlink" Target="https://www.accessnow.org/cms/assets/uploads/2018/11/AI-and-Human-Rights.pdf" TargetMode="External"/><Relationship Id="rId3" Type="http://schemas.openxmlformats.org/officeDocument/2006/relationships/hyperlink" Target="https://www.torontodeclaration.org/declaration-text/english/" TargetMode="External"/><Relationship Id="rId149" Type="http://schemas.openxmlformats.org/officeDocument/2006/relationships/hyperlink" Target="https://ia-latam.com/etica-ia-latam/" TargetMode="External"/><Relationship Id="rId4" Type="http://schemas.openxmlformats.org/officeDocument/2006/relationships/hyperlink" Target="https://www.accessnow.org/wp-content/uploads/2020/12/Europes-approach-to-AI-strategy-is-evolving.pdf" TargetMode="External"/><Relationship Id="rId148" Type="http://schemas.openxmlformats.org/officeDocument/2006/relationships/hyperlink" Target="https://www.hdm-stuttgart.de/digitale-ethik/digitalkompetenz/ethische_unternehmensleitlinien;%20https://www.hdm-stuttgart.de/grimm/material/ethische_unternehmensleitlinien/material/UN_Regeln_booklet" TargetMode="External"/><Relationship Id="rId9" Type="http://schemas.openxmlformats.org/officeDocument/2006/relationships/hyperlink" Target="http://www.adel-label.com/adel/" TargetMode="External"/><Relationship Id="rId143" Type="http://schemas.openxmlformats.org/officeDocument/2006/relationships/hyperlink" Target="https://www.gov.uk/government/uploads/system/uploads/attachment_data/file/709515/2018-05-16_Statistics_Statement-of-Principles_and_CoP_Data_Systems.pdf" TargetMode="External"/><Relationship Id="rId142" Type="http://schemas.openxmlformats.org/officeDocument/2006/relationships/hyperlink" Target="https://www.gov.uk/government/uploads/system/uploads/attachment_data/file/709514/2018-05-16_Research_Code_of_Practice_and_Accreditation_Criteria.pdf" TargetMode="External"/><Relationship Id="rId141" Type="http://schemas.openxmlformats.org/officeDocument/2006/relationships/hyperlink" Target="https://www.government.se/491fa7/contentassets/fe2ba005fb49433587574c513a837fac/national-approach-to-artificial-intelligence.pdf" TargetMode="External"/><Relationship Id="rId140" Type="http://schemas.openxmlformats.org/officeDocument/2006/relationships/hyperlink" Target="https://www.northsweden.eu/media/2789/2018ai_webb.pdf" TargetMode="External"/><Relationship Id="rId5" Type="http://schemas.openxmlformats.org/officeDocument/2006/relationships/hyperlink" Target="https://www.accessnow.org/cms/assets/uploads/2022/11/Access-Now-Version-Human-Rights-Implications-of-Algorithmic-Impact-Assessments_-Priority-Recommendations-to-Guide-Effective-Development-and-Use.pdf" TargetMode="External"/><Relationship Id="rId147" Type="http://schemas.openxmlformats.org/officeDocument/2006/relationships/hyperlink" Target="https://assets.publishing.service.gov.uk/government/uploads/system/uploads/attachment_data/file/664563/industrial-strategy-white-paper-web-ready-version.pdf" TargetMode="External"/><Relationship Id="rId6" Type="http://schemas.openxmlformats.org/officeDocument/2006/relationships/hyperlink" Target="http://accessnow.org/wp-content/uploads/2018/11/mapping_regulatory_proposals_for_AI_in_EU.pdf" TargetMode="External"/><Relationship Id="rId146" Type="http://schemas.openxmlformats.org/officeDocument/2006/relationships/hyperlink" Target="https://www.umweltdialog.de/de-wAssets/docs/2014-Dokumente-zu-Artikeln/leitfaden_unternehmen.pdf" TargetMode="External"/><Relationship Id="rId7" Type="http://schemas.openxmlformats.org/officeDocument/2006/relationships/hyperlink" Target="https://www.adalovelaceinstitute.org/wp-content/uploads/2022/03/Expert-opinion-Lilian-Edwards-Regulating-AI-in-Europe.pdf" TargetMode="External"/><Relationship Id="rId145" Type="http://schemas.openxmlformats.org/officeDocument/2006/relationships/hyperlink" Target="https://hai.stanford.edu/sites/default/files/2021-10/HAI_NRCR_2021_0.pdf" TargetMode="External"/><Relationship Id="rId8" Type="http://schemas.openxmlformats.org/officeDocument/2006/relationships/hyperlink" Target="https://www.ethicscanvas.org/index.html" TargetMode="External"/><Relationship Id="rId144" Type="http://schemas.openxmlformats.org/officeDocument/2006/relationships/hyperlink" Target="https://www.abajournal.com/legalrebels/article/a_principled_artificial_intelligence_could_improve_justice" TargetMode="External"/><Relationship Id="rId139" Type="http://schemas.openxmlformats.org/officeDocument/2006/relationships/hyperlink" Target="https://commission.europa.eu/document/download/ff57e883-cbd7-41dc-81f4-40dc025257e7_en?filename=2018-european-semester-national-reform-programme-lithuania-en.pdf" TargetMode="External"/><Relationship Id="rId138" Type="http://schemas.openxmlformats.org/officeDocument/2006/relationships/hyperlink" Target="http://kurklt.lt/wp-content/uploads/2018/09/StrategyIndesignpdf.pdf" TargetMode="External"/><Relationship Id="rId137" Type="http://schemas.openxmlformats.org/officeDocument/2006/relationships/hyperlink" Target="https://enterprise.gov.ie/en/Publications/Publication-files/National-AI-Strategy.pdf" TargetMode="External"/><Relationship Id="rId132" Type="http://schemas.openxmlformats.org/officeDocument/2006/relationships/hyperlink" Target="https://germanycoe.de/storage/documents/Conference_Conclusions.pdf" TargetMode="External"/><Relationship Id="rId131" Type="http://schemas.openxmlformats.org/officeDocument/2006/relationships/hyperlink" Target="https://www.fhi.ox.ac.uk/wp-content/uploads/Standards_-FHI-Technical-Report.pdf" TargetMode="External"/><Relationship Id="rId130" Type="http://schemas.openxmlformats.org/officeDocument/2006/relationships/hyperlink" Target="https://fra.europa.eu/sites/default/files/fra_uploads/fra-2020-artificial-intelligence_en.pdf" TargetMode="External"/><Relationship Id="rId136" Type="http://schemas.openxmlformats.org/officeDocument/2006/relationships/hyperlink" Target="https://participa.gencat.cat/uploads/decidim/attachment/file/932/Document-Bases-Estrategia-IA-Catalunya-_ENversion.pdf" TargetMode="External"/><Relationship Id="rId135" Type="http://schemas.openxmlformats.org/officeDocument/2006/relationships/hyperlink" Target="https://www.gov.il/BlobFolder/generalpage/strategic_plan_19/en/STRATIGY-%20ICT%20AUTHORITY%20-%20ENGLISH.pdf" TargetMode="External"/><Relationship Id="rId134" Type="http://schemas.openxmlformats.org/officeDocument/2006/relationships/hyperlink" Target="https://www.gov.uk/government/collections/a-guide-to-using-artificial-intelligence-in-the-public-sector" TargetMode="External"/><Relationship Id="rId133" Type="http://schemas.openxmlformats.org/officeDocument/2006/relationships/hyperlink" Target="https://f98cc689-5814-47ec-86b3-db505a7c3978.filesusr.com/ugd/7df26f_27a618cb80a648c38be427194affa2f3.pdf" TargetMode="External"/><Relationship Id="rId172" Type="http://schemas.openxmlformats.org/officeDocument/2006/relationships/hyperlink" Target="https://www.lne.fr/en/service/certification/certification-processes-ai" TargetMode="External"/><Relationship Id="rId171" Type="http://schemas.openxmlformats.org/officeDocument/2006/relationships/hyperlink" Target="https://www.laboratoiredelegalite.org/le-pacte-pour-une-intelligence-artificielle-egalitaire-entre-les-femmes-et-les-hommes/" TargetMode="External"/><Relationship Id="rId170" Type="http://schemas.openxmlformats.org/officeDocument/2006/relationships/hyperlink" Target="https://papers.ssrn.com/sol3/papers.cfm?abstract_id=3899991" TargetMode="External"/><Relationship Id="rId165" Type="http://schemas.openxmlformats.org/officeDocument/2006/relationships/hyperlink" Target="https://www.zukunft-der-verwaltungsgerichtsbarkeit.de/media/pages/ki-und-verwaltung/709898829-1580462498/9-theses-en.pdf" TargetMode="External"/><Relationship Id="rId164" Type="http://schemas.openxmlformats.org/officeDocument/2006/relationships/hyperlink" Target="https://www8.cao.go.jp/cstp/english/outline_strategy_2022.pdf" TargetMode="External"/><Relationship Id="rId163" Type="http://schemas.openxmlformats.org/officeDocument/2006/relationships/hyperlink" Target="https://www.iso.org/committee/6794475.html" TargetMode="External"/><Relationship Id="rId162" Type="http://schemas.openxmlformats.org/officeDocument/2006/relationships/hyperlink" Target="https://www.ipsos.com/sites/default/files/ct/news/documents/2022-01/Global-opinions-and-expectations-about-AI-2022.pdf" TargetMode="External"/><Relationship Id="rId169" Type="http://schemas.openxmlformats.org/officeDocument/2006/relationships/hyperlink" Target="https://www.kas.de/documents/252038/4521287/Comparison+of+National+Strategies+to+Promote+Artificial+Intelligence+Part+2.pdf/4c6f3a0d-beaa-09f3-1db4-c66467739653?version=1.1&amp;t=1560500520623" TargetMode="External"/><Relationship Id="rId168" Type="http://schemas.openxmlformats.org/officeDocument/2006/relationships/hyperlink" Target="https://www.kas.de/documents/252038/4521287/Comparison+of+National+Strategies+to+Promote+Artificial+Intelligence+Part+1.pdf/397fb700-0c6f-88b6-46be-2d50d7942b83?version=1.1&amp;t=1560500570070" TargetMode="External"/><Relationship Id="rId167" Type="http://schemas.openxmlformats.org/officeDocument/2006/relationships/hyperlink" Target="https://www.kas.de/documents/252038/7995358/Analysis+of+current+global+AI+developments+with+a+focus+on+Europe.pdf/da00b869-cc82-03e4-a45d-b74357fdd9c1?version=1.0&amp;t=1606820629157" TargetMode="External"/><Relationship Id="rId166" Type="http://schemas.openxmlformats.org/officeDocument/2006/relationships/hyperlink" Target="https://www.datenschutz.rlp.de/fileadmin/lfdi/Konferenzdokumente/Datenschutz/DSK/Entschliessungen/097_Hambacher_Erklaerung.pdf" TargetMode="External"/><Relationship Id="rId161" Type="http://schemas.openxmlformats.org/officeDocument/2006/relationships/hyperlink" Target="https://publications.iadb.org/publications/english/document/Responsible-use-of-AI-for-public-policy-Project-formulation-manual.pdf" TargetMode="External"/><Relationship Id="rId160" Type="http://schemas.openxmlformats.org/officeDocument/2006/relationships/hyperlink" Target="https://publications.iadb.org/publications/english/document/Responsible-use-of-AI-for-public-policy-Data-science-toolkit.pdf" TargetMode="External"/><Relationship Id="rId159" Type="http://schemas.openxmlformats.org/officeDocument/2006/relationships/hyperlink" Target="https://bruce2b.files.wordpress.com/2019/08/d3dd6-responsible2bai2bin2bconsumer2benterprise.pdf" TargetMode="External"/><Relationship Id="rId154" Type="http://schemas.openxmlformats.org/officeDocument/2006/relationships/hyperlink" Target="https://issuu.com/indiansocietyai/docs/2020_handbook_on_artificial_intelligence_and_inter" TargetMode="External"/><Relationship Id="rId153" Type="http://schemas.openxmlformats.org/officeDocument/2006/relationships/hyperlink" Target="http://www.iiim.is/ethics-policy/" TargetMode="External"/><Relationship Id="rId152" Type="http://schemas.openxmlformats.org/officeDocument/2006/relationships/hyperlink" Target="https://www.research.ibm.com/artificial-intelligence/trusted-ai/" TargetMode="External"/><Relationship Id="rId151" Type="http://schemas.openxmlformats.org/officeDocument/2006/relationships/hyperlink" Target="https://www.ibm.com/blogs/think/2017/01/ibm-cognitive-principles/" TargetMode="External"/><Relationship Id="rId158" Type="http://schemas.openxmlformats.org/officeDocument/2006/relationships/hyperlink" Target="https://ethicsinaction.ieee.org/" TargetMode="External"/><Relationship Id="rId157" Type="http://schemas.openxmlformats.org/officeDocument/2006/relationships/hyperlink" Target="https://big-data-ljubljana-2017.weebly.com/uploads/1/1/9/1/1191873/big-data-2017-print.pdf" TargetMode="External"/><Relationship Id="rId156" Type="http://schemas.openxmlformats.org/officeDocument/2006/relationships/hyperlink" Target="https://ico.org.uk/media/for-organisations/guide-to-data-protection/key-dp-themes/explaining-decisions-made-with-artificial-intelligence-1-0.pdf" TargetMode="External"/><Relationship Id="rId155" Type="http://schemas.openxmlformats.org/officeDocument/2006/relationships/hyperlink" Target="https://ico.org.uk/media/for-organisations/documents/1589/promotion_of_a_political_party.pdf" TargetMode="External"/><Relationship Id="rId40" Type="http://schemas.openxmlformats.org/officeDocument/2006/relationships/hyperlink" Target="https://rm.coe.int/publication-content-prioritisation-report/1680a07a57" TargetMode="External"/><Relationship Id="rId42" Type="http://schemas.openxmlformats.org/officeDocument/2006/relationships/hyperlink" Target="http://assembly.coe.int/nw/xml/XRef/Xref-XML2HTML-EN.asp?fileid=28598&amp;lang=en" TargetMode="External"/><Relationship Id="rId41" Type="http://schemas.openxmlformats.org/officeDocument/2006/relationships/hyperlink" Target="https://pace.coe.int/en/files/21694/html" TargetMode="External"/><Relationship Id="rId44" Type="http://schemas.openxmlformats.org/officeDocument/2006/relationships/hyperlink" Target="https://pace.coe.int/files/28738/pdf" TargetMode="External"/><Relationship Id="rId43" Type="http://schemas.openxmlformats.org/officeDocument/2006/relationships/hyperlink" Target="https://pace.coe.int/files/28722/pdf" TargetMode="External"/><Relationship Id="rId46" Type="http://schemas.openxmlformats.org/officeDocument/2006/relationships/hyperlink" Target="https://pace.coe.int/files/28723/pdf" TargetMode="External"/><Relationship Id="rId45" Type="http://schemas.openxmlformats.org/officeDocument/2006/relationships/hyperlink" Target="https://pace.coe.int/files/28737/pdf" TargetMode="External"/><Relationship Id="rId48" Type="http://schemas.openxmlformats.org/officeDocument/2006/relationships/hyperlink" Target="https://pace.coe.int/files/28715/pdf" TargetMode="External"/><Relationship Id="rId47" Type="http://schemas.openxmlformats.org/officeDocument/2006/relationships/hyperlink" Target="https://pace.coe.int/files/28721/pdf" TargetMode="External"/><Relationship Id="rId49" Type="http://schemas.openxmlformats.org/officeDocument/2006/relationships/hyperlink" Target="https://pace.coe.int/files/28742/pdf" TargetMode="External"/><Relationship Id="rId31" Type="http://schemas.openxmlformats.org/officeDocument/2006/relationships/hyperlink" Target="https://www.adp.com/-/media/adp/redesign2018/pdf/data-privacy/ai-ethics-statement.pdf?rev=f155df771fea4850b310f17ca407f3f1&amp;hash=73364D9FB41931A7C1887B976538BE5C" TargetMode="External"/><Relationship Id="rId30" Type="http://schemas.openxmlformats.org/officeDocument/2006/relationships/hyperlink" Target="https://www.nytimes.com/2017/09/01/opinion/artificial-intelligence-regulations-rules.html" TargetMode="External"/><Relationship Id="rId33" Type="http://schemas.openxmlformats.org/officeDocument/2006/relationships/hyperlink" Target="https://policysearch.ama-assn.org/policyfinder/detail/augmented%20intelligence?uri=%2FAMADoc%2FHOD.xml-H-480.940.xml" TargetMode="External"/><Relationship Id="rId32" Type="http://schemas.openxmlformats.org/officeDocument/2006/relationships/hyperlink" Target="https://www.acr.org/-/media/ACR/Files/Informatics/Ethics-of-AI-in-Radiology-European-and-North-American-Multisociety-Statement--6-13-2019.pdf" TargetMode="External"/><Relationship Id="rId35" Type="http://schemas.openxmlformats.org/officeDocument/2006/relationships/hyperlink" Target="https://rm.coe.int/prems-092922-gbr-2517-ai-and-education-txt-16x24-web/1680a956e3" TargetMode="External"/><Relationship Id="rId34" Type="http://schemas.openxmlformats.org/officeDocument/2006/relationships/hyperlink" Target="https://rm.coe.int/feasability-study-en-cepej-2020-15/1680a0adf4" TargetMode="External"/><Relationship Id="rId37" Type="http://schemas.openxmlformats.org/officeDocument/2006/relationships/hyperlink" Target="https://rm.coe.int/iris-special-2-2020en-artificial-intelligence-in-the-audiovisual-secto/1680a11e0b" TargetMode="External"/><Relationship Id="rId36" Type="http://schemas.openxmlformats.org/officeDocument/2006/relationships/hyperlink" Target="https://rm.coe.int/eurimages-entering-the-new-paradigm-051219/1680995331" TargetMode="External"/><Relationship Id="rId39" Type="http://schemas.openxmlformats.org/officeDocument/2006/relationships/hyperlink" Target="https://rm.coe.int/algorithms-and-human-rights-en-rev/16807956b5" TargetMode="External"/><Relationship Id="rId38" Type="http://schemas.openxmlformats.org/officeDocument/2006/relationships/hyperlink" Target="https://rm.coe.int/responsability-and-ai-en/168097d9c5" TargetMode="External"/><Relationship Id="rId20" Type="http://schemas.openxmlformats.org/officeDocument/2006/relationships/hyperlink" Target="https://airecht.nl/s/Artificial-Intelligence-Impact-Assessment-English.pdf" TargetMode="External"/><Relationship Id="rId22" Type="http://schemas.openxmlformats.org/officeDocument/2006/relationships/hyperlink" Target="https://link.springer.com/content/pdf/10.1007/s11023-018-9482-5.pdf" TargetMode="External"/><Relationship Id="rId21" Type="http://schemas.openxmlformats.org/officeDocument/2006/relationships/hyperlink" Target="https://www.ai4belgium.be/wp-content/uploads/2019/04/report_en.pdf" TargetMode="External"/><Relationship Id="rId24" Type="http://schemas.openxmlformats.org/officeDocument/2006/relationships/hyperlink" Target="https://www.aisoma.de/wp-content/uploads/2021/01/Overview-of-National-AI-Strategies.pdf" TargetMode="External"/><Relationship Id="rId23" Type="http://schemas.openxmlformats.org/officeDocument/2006/relationships/hyperlink" Target="https://www.ai-ethics-impact.org/resource/blob/1961130/c6db9894ee73aefa489d6249f5ee2b9f/aieig---report---download-hb-data.pdf" TargetMode="External"/><Relationship Id="rId26" Type="http://schemas.openxmlformats.org/officeDocument/2006/relationships/hyperlink" Target="https://algorithmwatch.org/wp-content/uploads/2017/06/AlgorithmWatch_Working-Paper_No_2_Ethics_ADM.pdf" TargetMode="External"/><Relationship Id="rId25" Type="http://schemas.openxmlformats.org/officeDocument/2006/relationships/hyperlink" Target="https://aisp.upenn.edu/wp-content/uploads/2022/07/AISP-Toolkit_5.27.20.pdf" TargetMode="External"/><Relationship Id="rId28" Type="http://schemas.openxmlformats.org/officeDocument/2006/relationships/hyperlink" Target="https://alltechishuman.org/ai-human-rights-report" TargetMode="External"/><Relationship Id="rId27" Type="http://schemas.openxmlformats.org/officeDocument/2006/relationships/hyperlink" Target="https://algorithmwatch.org/wp-content/uploads/2019/01/Automating_Society_Report_2019.pdf" TargetMode="External"/><Relationship Id="rId29" Type="http://schemas.openxmlformats.org/officeDocument/2006/relationships/hyperlink" Target="https://allai.nl/wp-content/uploads/2021/08/EU-Proposal-for-Artificial-Intelligence-Act-Analysis-and-Recommendations.pdf" TargetMode="External"/><Relationship Id="rId11" Type="http://schemas.openxmlformats.org/officeDocument/2006/relationships/hyperlink" Target="https://www8.cao.go.jp/cstp/tyousakai/ai/summary/aisociety_en.pdf" TargetMode="External"/><Relationship Id="rId10" Type="http://schemas.openxmlformats.org/officeDocument/2006/relationships/hyperlink" Target="https://www.adobe.com/about-adobe/aiethics.html" TargetMode="External"/><Relationship Id="rId13" Type="http://schemas.openxmlformats.org/officeDocument/2006/relationships/hyperlink" Target="https://assets.publishing.service.gov.uk/media/5ff3bc6e8fa8f53b76ccee23/AI_Council_AI_Roadmap.pdf" TargetMode="External"/><Relationship Id="rId12" Type="http://schemas.openxmlformats.org/officeDocument/2006/relationships/hyperlink" Target="https://ai-white-paper.readthedocs.io/en/latest/" TargetMode="External"/><Relationship Id="rId15" Type="http://schemas.openxmlformats.org/officeDocument/2006/relationships/hyperlink" Target="https://ainowinstitute.org/wp-content/uploads/2023/04/AI_Now_2017_Report.pdf" TargetMode="External"/><Relationship Id="rId14" Type="http://schemas.openxmlformats.org/officeDocument/2006/relationships/hyperlink" Target="https://data.govt.nz/assets/data-ethics/algorithm/Trustworthy-AI-in-Aotearoa-March-2020.pdf" TargetMode="External"/><Relationship Id="rId17" Type="http://schemas.openxmlformats.org/officeDocument/2006/relationships/hyperlink" Target="https://ainowinstitute.org/wp-content/uploads/2023/04/AI-Now-2023-Landscape-Report-FINAL.pdf" TargetMode="External"/><Relationship Id="rId16" Type="http://schemas.openxmlformats.org/officeDocument/2006/relationships/hyperlink" Target="https://ainowinstitute.org/wp-content/uploads/2023/04/AI_Now_2018_Report.pdf" TargetMode="External"/><Relationship Id="rId19" Type="http://schemas.openxmlformats.org/officeDocument/2006/relationships/hyperlink" Target="https://artificialintelligencenow.com/media/documents/AINowSummaryReport_3_RpmwKHu.pdf" TargetMode="External"/><Relationship Id="rId18" Type="http://schemas.openxmlformats.org/officeDocument/2006/relationships/hyperlink" Target="https://ainowinstitute.org/wp-content/uploads/2023/04/AI_Now_2019_Report.pdf" TargetMode="External"/><Relationship Id="rId84" Type="http://schemas.openxmlformats.org/officeDocument/2006/relationships/hyperlink" Target="https://publications.jrc.ec.europa.eu/repository/bitstream/JRC129614/JRC129614_01.pdf" TargetMode="External"/><Relationship Id="rId83" Type="http://schemas.openxmlformats.org/officeDocument/2006/relationships/hyperlink" Target="https://publications.jrc.ec.europa.eu/repository/bitstream/JRC122684/ai_watch_report_national_ai_strategies.pdf" TargetMode="External"/><Relationship Id="rId86" Type="http://schemas.openxmlformats.org/officeDocument/2006/relationships/hyperlink" Target="https://publications.jrc.ec.europa.eu/repository/bitstream/JRC125343/what-future-for-european-robotics.pdf" TargetMode="External"/><Relationship Id="rId85" Type="http://schemas.openxmlformats.org/officeDocument/2006/relationships/hyperlink" Target="https://op.europa.eu/o/opportal-service/download-handler?identifier=5cb8eee3-e888-11e8-b690-01aa75ed71a1&amp;format=pdf&amp;language=en&amp;productionSystem=cellar&amp;part=" TargetMode="External"/><Relationship Id="rId88" Type="http://schemas.openxmlformats.org/officeDocument/2006/relationships/hyperlink" Target="https://edps.europa.eu/sites/edp/files/publication/18-03-19_online_manipulation_en.pdf" TargetMode="External"/><Relationship Id="rId87" Type="http://schemas.openxmlformats.org/officeDocument/2006/relationships/hyperlink" Target="https://www.eib.org/attachments/thematic/artificial_intelligence_blockchain_and_the_future_of_europe_report_en.pdf" TargetMode="External"/><Relationship Id="rId89" Type="http://schemas.openxmlformats.org/officeDocument/2006/relationships/hyperlink" Target="https://www.eesc.europa.eu/en/our-work/opinions-information-reports/opinions/investing-smart-innovative-and-sustainable-industry-referral" TargetMode="External"/><Relationship Id="rId80" Type="http://schemas.openxmlformats.org/officeDocument/2006/relationships/hyperlink" Target="https://publications.jrc.ec.europa.eu/repository/bitstream/JRC126665/jrc126665_sustainable_implementation_of_ai_in_public_services_technical-report_v2.pdf" TargetMode="External"/><Relationship Id="rId82" Type="http://schemas.openxmlformats.org/officeDocument/2006/relationships/hyperlink" Target="https://publications.jrc.ec.europa.eu/repository/bitstream/JRC122684/ai_watch_report_national_ai_strategies.pdf" TargetMode="External"/><Relationship Id="rId81" Type="http://schemas.openxmlformats.org/officeDocument/2006/relationships/hyperlink" Target="https://op.europa.eu/o/opportal-service/download-handler?identifier=6cc0f1b6-59dd-11ea-8b81-01aa75ed71a1&amp;format=pdf&amp;language=en&amp;productionSystem=cellar&amp;part=" TargetMode="External"/><Relationship Id="rId73" Type="http://schemas.openxmlformats.org/officeDocument/2006/relationships/hyperlink" Target="https://ec.europa.eu/docsroom/documents/43845" TargetMode="External"/><Relationship Id="rId72" Type="http://schemas.openxmlformats.org/officeDocument/2006/relationships/hyperlink" Target="https://eur-lex.europa.eu/legal-content/EN/TXT/HTML/?uri=CELEX:52020DC0591&amp;from=EN" TargetMode="External"/><Relationship Id="rId75" Type="http://schemas.openxmlformats.org/officeDocument/2006/relationships/hyperlink" Target="https://ec.europa.eu/newsroom/dae/document.cfm?doc_id=60343" TargetMode="External"/><Relationship Id="rId74" Type="http://schemas.openxmlformats.org/officeDocument/2006/relationships/hyperlink" Target="https://digital-strategy.ec.europa.eu/en/library/proposal-regulation-european-approach-artificial-intelligence" TargetMode="External"/><Relationship Id="rId77" Type="http://schemas.openxmlformats.org/officeDocument/2006/relationships/hyperlink" Target="https://publications.jrc.ec.europa.eu/repository/bitstream/JRC125952/ai_watch_task_9_standardization_activity_mapping_v5.1.3.pdf" TargetMode="External"/><Relationship Id="rId76" Type="http://schemas.openxmlformats.org/officeDocument/2006/relationships/hyperlink" Target="https://publications.jrc.ec.europa.eu/repository/bitstream/JRC127944/JRC127944_01.pdf" TargetMode="External"/><Relationship Id="rId79" Type="http://schemas.openxmlformats.org/officeDocument/2006/relationships/hyperlink" Target="https://publications.jrc.ec.europa.eu/repository/bitstream/JRC122014/jrc122014_ai_watch_assessing_technology_readiness_levels_for_artificial_intelligence-1.pdf" TargetMode="External"/><Relationship Id="rId78" Type="http://schemas.openxmlformats.org/officeDocument/2006/relationships/hyperlink" Target="https://publications.jrc.ec.europa.eu/repository/bitstream/JRC120399/jrc120399_misuraca-ai-watch_public-services_30062020_def.pdf" TargetMode="External"/><Relationship Id="rId71" Type="http://schemas.openxmlformats.org/officeDocument/2006/relationships/hyperlink" Target="https://op.europa.eu/o/opportal-service/download-handler?identifier=651a6438-7357-11ec-9136-01aa75ed71a1&amp;format=pdf&amp;language=en&amp;productionSystem=cellar&amp;part=" TargetMode="External"/><Relationship Id="rId70" Type="http://schemas.openxmlformats.org/officeDocument/2006/relationships/hyperlink" Target="https://ec.europa.eu/jrc/communities/en/community/digitranscope/document/eu-declaration-cooperation-artificial-intelligence" TargetMode="External"/><Relationship Id="rId62" Type="http://schemas.openxmlformats.org/officeDocument/2006/relationships/hyperlink" Target="https://www.gov.uk/government/publications/growing-the-artificial-intelligence-industry-in-the-uk" TargetMode="External"/><Relationship Id="rId61" Type="http://schemas.openxmlformats.org/officeDocument/2006/relationships/hyperlink" Target="https://www.gov.uk/government/news/new-national-innovation-centre-to-put-uk-at-forefront-of-big-data" TargetMode="External"/><Relationship Id="rId64" Type="http://schemas.openxmlformats.org/officeDocument/2006/relationships/hyperlink" Target="https://enterprise.gov.ie/en/Consultations/Public-Consultation-Development-of-a-National-Strategy-on-Artificial-Intelligence.html" TargetMode="External"/><Relationship Id="rId63" Type="http://schemas.openxmlformats.org/officeDocument/2006/relationships/hyperlink" Target="https://www.gov.uk/government/publications/artificial-intelligence-sector-deal" TargetMode="External"/><Relationship Id="rId66" Type="http://schemas.openxmlformats.org/officeDocument/2006/relationships/hyperlink" Target="http://www.informatizacia.sk/strategicke-priority-erf/24190c" TargetMode="External"/><Relationship Id="rId65" Type="http://schemas.openxmlformats.org/officeDocument/2006/relationships/hyperlink" Target="http://www.informatizacia.sk/narodna-koncepcia-informatizacie-verejnej-spravy--2016-/22662c" TargetMode="External"/><Relationship Id="rId68" Type="http://schemas.openxmlformats.org/officeDocument/2006/relationships/hyperlink" Target="https://digital-strategy.ec.europa.eu/en/news/code-practice-disinformation" TargetMode="External"/><Relationship Id="rId67" Type="http://schemas.openxmlformats.org/officeDocument/2006/relationships/hyperlink" Target="https://www.esma.europa.eu/sites/default/files/library/jc-2018-04_joint_committee_final_report_on_big_data.pdf" TargetMode="External"/><Relationship Id="rId60" Type="http://schemas.openxmlformats.org/officeDocument/2006/relationships/hyperlink" Target="https://www.defenseurdesdroits.fr/sites/default/files/2023-07/ddd_rapport_algorithmes_2020_EN_20200531.pdf" TargetMode="External"/><Relationship Id="rId69" Type="http://schemas.openxmlformats.org/officeDocument/2006/relationships/hyperlink" Target="https://ec.europa.eu/newsroom/dae/document.cfm?doc_id=58496" TargetMode="External"/><Relationship Id="rId51" Type="http://schemas.openxmlformats.org/officeDocument/2006/relationships/hyperlink" Target="https://rm.coe.int/e-relevance-of-culture-in-the-age-of-ai-expert-seminar-on-culture-crea/168091e688" TargetMode="External"/><Relationship Id="rId50" Type="http://schemas.openxmlformats.org/officeDocument/2006/relationships/hyperlink" Target="https://rm.coe.int/ai-report-bil-final/16809f9a88" TargetMode="External"/><Relationship Id="rId53" Type="http://schemas.openxmlformats.org/officeDocument/2006/relationships/hyperlink" Target="https://www.consilium.europa.eu/media/37363/gender-equality_text-adopted.pdf" TargetMode="External"/><Relationship Id="rId52" Type="http://schemas.openxmlformats.org/officeDocument/2006/relationships/hyperlink" Target="http://www.consilium.europa.eu/media/21620/19-euco-final-conclusions-en.pdf" TargetMode="External"/><Relationship Id="rId55" Type="http://schemas.openxmlformats.org/officeDocument/2006/relationships/hyperlink" Target="http://data.consilium.europa.eu/doc/document/ST-14411-2018-INIT/en/pdf" TargetMode="External"/><Relationship Id="rId54" Type="http://schemas.openxmlformats.org/officeDocument/2006/relationships/hyperlink" Target="https://www.consilium.europa.eu/media/46496/st11481-en20.pdf" TargetMode="External"/><Relationship Id="rId57" Type="http://schemas.openxmlformats.org/officeDocument/2006/relationships/hyperlink" Target="https://www.ajcact.org" TargetMode="External"/><Relationship Id="rId56" Type="http://schemas.openxmlformats.org/officeDocument/2006/relationships/hyperlink" Target="https://www.courdecassation.fr/files/files/Publications/Divers/Rapport%20open%20data/Rapport_La_Diffusion_des_donn%C3%A9es_d%C3%A9cisionnelles_et_la_jurisprudence.pdf" TargetMode="External"/><Relationship Id="rId59" Type="http://schemas.openxmlformats.org/officeDocument/2006/relationships/hyperlink" Target="https://dataforgood.fr/projects/sermenthippocrate/" TargetMode="External"/><Relationship Id="rId58" Type="http://schemas.openxmlformats.org/officeDocument/2006/relationships/hyperlink" Target="https://www.bmi.bund.de/SharedDocs/downloads/EN/themen/it-digital-policy/recommendations-data-ethics-commission.pdf;jsessionid=F3332ECDBF9E5FFDB93910C64986F0D9.2_cid295?__blob=publicationFile&amp;v=4" TargetMode="External"/><Relationship Id="rId107" Type="http://schemas.openxmlformats.org/officeDocument/2006/relationships/hyperlink" Target="https://oeil.secure.europarl.europa.eu/oeil/popups/ficheprocedure.do?lang=&amp;reference=2018/2088(INI" TargetMode="External"/><Relationship Id="rId106" Type="http://schemas.openxmlformats.org/officeDocument/2006/relationships/hyperlink" Target="https://www.europarl.europa.eu/thinktank/en/document.html?reference=EPRS_STU(2020)654178" TargetMode="External"/><Relationship Id="rId105" Type="http://schemas.openxmlformats.org/officeDocument/2006/relationships/hyperlink" Target="https://www.europarl.europa.eu/RegData/etudes/STUD/2021/662908/IPOL_STU(2021)662908_EN.pdf" TargetMode="External"/><Relationship Id="rId104" Type="http://schemas.openxmlformats.org/officeDocument/2006/relationships/hyperlink" Target="https://www.europarl.europa.eu/RegData/etudes/STUD/2021/696968/IPOL_STU(2021)696968_EN.pdf" TargetMode="External"/><Relationship Id="rId109" Type="http://schemas.openxmlformats.org/officeDocument/2006/relationships/hyperlink" Target="https://www.europarl.europa.eu/doceo/document/AIDA-PR-680928_EN.pdf" TargetMode="External"/><Relationship Id="rId108" Type="http://schemas.openxmlformats.org/officeDocument/2006/relationships/hyperlink" Target="https://www.europarl.europa.eu/RegData/etudes/STUD/2021/656311/EPRS_STU(2021)656311_EN.pdf" TargetMode="External"/><Relationship Id="rId103" Type="http://schemas.openxmlformats.org/officeDocument/2006/relationships/hyperlink" Target="https://www.europarl.europa.eu/RegData/etudes/STUD/2022/729541/EPRS_STU(2022)729541_EN.pdf" TargetMode="External"/><Relationship Id="rId102" Type="http://schemas.openxmlformats.org/officeDocument/2006/relationships/hyperlink" Target="https://www.europarl.europa.eu/doceo/document/TA-9-2021-0009_EN.pdf" TargetMode="External"/><Relationship Id="rId101" Type="http://schemas.openxmlformats.org/officeDocument/2006/relationships/hyperlink" Target="https://www.europarl.europa.eu/RegData/etudes/STUD/2021/662912/IPOL_STU(2021)662912_EN.pdf" TargetMode="External"/><Relationship Id="rId100" Type="http://schemas.openxmlformats.org/officeDocument/2006/relationships/hyperlink" Target="http://www.europarl.europa.eu/RegData/etudes/BRIE/2021/662937/IPOL_BRI(2021)662937_EN.pdf" TargetMode="External"/><Relationship Id="rId129" Type="http://schemas.openxmlformats.org/officeDocument/2006/relationships/hyperlink" Target="https://fra.europa.eu/sites/default/files/fra_uploads/fra-2019-facial-recognition-technology-focus-paper-1_en.pdf" TargetMode="External"/><Relationship Id="rId128" Type="http://schemas.openxmlformats.org/officeDocument/2006/relationships/hyperlink" Target="https://fra.europa.eu/sites/default/files/fra_uploads/fra-2019-data-quality-and-ai_en.pdf" TargetMode="External"/><Relationship Id="rId127" Type="http://schemas.openxmlformats.org/officeDocument/2006/relationships/hyperlink" Target="https://www.aiforhumanity.fr/en/" TargetMode="External"/><Relationship Id="rId126" Type="http://schemas.openxmlformats.org/officeDocument/2006/relationships/hyperlink" Target="https://www.ki-strategie-deutschland.de/home.html?file=files/downloads/Nationale_KI-Strategie_engl.pdf" TargetMode="External"/><Relationship Id="rId121" Type="http://schemas.openxmlformats.org/officeDocument/2006/relationships/hyperlink" Target="https://www.fatml.org/resources/principles-for-accountable-algorithms" TargetMode="External"/><Relationship Id="rId120" Type="http://schemas.openxmlformats.org/officeDocument/2006/relationships/hyperlink" Target="https://www.fairtrials.org/automating-injustice" TargetMode="External"/><Relationship Id="rId125" Type="http://schemas.openxmlformats.org/officeDocument/2006/relationships/hyperlink" Target="https://www.abida.de/en" TargetMode="External"/><Relationship Id="rId124" Type="http://schemas.openxmlformats.org/officeDocument/2006/relationships/hyperlink" Target="https://www.bmk.gv.at/dam/jcr:8acef058-7167-4335-880e-9fa341b723c8/aimat_ua.pdf" TargetMode="External"/><Relationship Id="rId123" Type="http://schemas.openxmlformats.org/officeDocument/2006/relationships/hyperlink" Target="https://www.ki-strategie-deutschland.de/home.html?file=files/downloads/Nationale_KI-Strategie_engl.pdf" TargetMode="External"/><Relationship Id="rId122" Type="http://schemas.openxmlformats.org/officeDocument/2006/relationships/hyperlink" Target="https://www.digitalroadmap.gv.at/en/" TargetMode="External"/><Relationship Id="rId95" Type="http://schemas.openxmlformats.org/officeDocument/2006/relationships/hyperlink" Target="http://www.europarl.europa.eu/RegData/etudes/STUD/2019/624262/EPRS_STU(2019)624262_EN.pdf" TargetMode="External"/><Relationship Id="rId94" Type="http://schemas.openxmlformats.org/officeDocument/2006/relationships/hyperlink" Target="https://ai.equineteurope.org/system/files/2022-06/Equinet-Position-Paper-on-AI-and-Equality.pdf" TargetMode="External"/><Relationship Id="rId97" Type="http://schemas.openxmlformats.org/officeDocument/2006/relationships/hyperlink" Target="https://www.europarl.europa.eu/RegData/etudes/STUD/2022/699643/IPOL_STU(2022)699643_EN.pdf" TargetMode="External"/><Relationship Id="rId96" Type="http://schemas.openxmlformats.org/officeDocument/2006/relationships/hyperlink" Target="https://www.europarl.europa.eu/RegData/etudes/STUD/2022/729516/EPRS_STU(2022)729516_EN.pdf" TargetMode="External"/><Relationship Id="rId99" Type="http://schemas.openxmlformats.org/officeDocument/2006/relationships/hyperlink" Target="https://www.europarl.europa.eu/RegData/etudes/STUD/2021/654212/EPRS_STU(2021)654212_EN.pdf" TargetMode="External"/><Relationship Id="rId98" Type="http://schemas.openxmlformats.org/officeDocument/2006/relationships/hyperlink" Target="https://www.europarl.europa.eu/RegData/etudes/STUD/2021/662926/IPOL_STU(2021)662926_EN.pdf" TargetMode="External"/><Relationship Id="rId91" Type="http://schemas.openxmlformats.org/officeDocument/2006/relationships/hyperlink" Target="https://www.europeanlawinstitute.eu/fileadmin/user_upload/p_eli/Publications/ELI_Innovation_Paper_on_Guiding_Principles_for_ADM_in_the_EU.pdf" TargetMode="External"/><Relationship Id="rId90" Type="http://schemas.openxmlformats.org/officeDocument/2006/relationships/hyperlink" Target="https://webapi2016.eesc.europa.eu/v1/documents/EESC-2017-00654-00-00-AC-TRA-en.docx/content" TargetMode="External"/><Relationship Id="rId93" Type="http://schemas.openxmlformats.org/officeDocument/2006/relationships/hyperlink" Target="https://ai.equineteurope.org/system/files/2021-04/EQUINET_REGULATING%20FOR%20AN%20EQUAL%20AI_2020_report.pdf" TargetMode="External"/><Relationship Id="rId92" Type="http://schemas.openxmlformats.org/officeDocument/2006/relationships/hyperlink" Target="https://www.europeanlawinstitute.eu/fileadmin/user_upload/p_eli/Publications/ELI_Model_Rules_on_Impact_Assessment_of_ADMSs_Used_by_Public_Administration.pdf" TargetMode="External"/><Relationship Id="rId118" Type="http://schemas.openxmlformats.org/officeDocument/2006/relationships/hyperlink" Target="https://testing-ai.gi.de/english" TargetMode="External"/><Relationship Id="rId117" Type="http://schemas.openxmlformats.org/officeDocument/2006/relationships/hyperlink" Target="https://www.enisa.europa.eu/publications/artificial-intelligence-cybersecurity-challenges/@@download/fullReport" TargetMode="External"/><Relationship Id="rId116" Type="http://schemas.openxmlformats.org/officeDocument/2006/relationships/hyperlink" Target="https://ec.europa.eu/newsroom/dae/redirection/document/92399" TargetMode="External"/><Relationship Id="rId115" Type="http://schemas.openxmlformats.org/officeDocument/2006/relationships/hyperlink" Target="https://www.europarl.europa.eu/doceo/document/TA-9-2021-0405_EN.html" TargetMode="External"/><Relationship Id="rId119" Type="http://schemas.openxmlformats.org/officeDocument/2006/relationships/hyperlink" Target="https://english.ey.gov.tw/News3/9E5540D592A5FECD/1dec0902-e02a-49c6-870d-e77208481667" TargetMode="External"/><Relationship Id="rId110" Type="http://schemas.openxmlformats.org/officeDocument/2006/relationships/hyperlink" Target="https://www.europarl.europa.eu/RegData/etudes/BRIE/2019/640163/EPRS_BRI(2019)640163_EN.pdf" TargetMode="External"/><Relationship Id="rId114" Type="http://schemas.openxmlformats.org/officeDocument/2006/relationships/hyperlink" Target="https://op.europa.eu/fr/publication-detail/-/publication/c721f802-9ce7-11e7-b92d-01aa75ed71a1/language-en" TargetMode="External"/><Relationship Id="rId113" Type="http://schemas.openxmlformats.org/officeDocument/2006/relationships/hyperlink" Target="http://www.europarl.europa.eu/doceo/document/TA-8-2019-0081_EN.pdf" TargetMode="External"/><Relationship Id="rId112" Type="http://schemas.openxmlformats.org/officeDocument/2006/relationships/hyperlink" Target="https://www.europarl.europa.eu/RegData/etudes/STUD/2018/626074/IPOL_STU(2018)626074_EN.pdf" TargetMode="External"/><Relationship Id="rId111" Type="http://schemas.openxmlformats.org/officeDocument/2006/relationships/hyperlink" Target="https://www.europarl.europa.eu/RegData/etudes/BRIE/2021/698792/EPRS_BRI(2021)698792_EN.pdf" TargetMode="External"/><Relationship Id="rId206" Type="http://schemas.openxmlformats.org/officeDocument/2006/relationships/hyperlink" Target="https://digitalcollection.zhaw.ch/bitstream/11475/24226/4/2020_Christen-etal_Ethical-Codex_Recommendations.pdf" TargetMode="External"/><Relationship Id="rId205" Type="http://schemas.openxmlformats.org/officeDocument/2006/relationships/hyperlink" Target="https://www.oecd.org/going-digital/ai/principles/" TargetMode="External"/><Relationship Id="rId204" Type="http://schemas.openxmlformats.org/officeDocument/2006/relationships/hyperlink" Target="https://www.oecd-ilibrary.org/docserver/cb6d9eca-en.pdf?expires=1704208445&amp;id=id&amp;accname=guest&amp;checksum=D4906A98889E61868DDDE97B27971025" TargetMode="External"/><Relationship Id="rId203" Type="http://schemas.openxmlformats.org/officeDocument/2006/relationships/hyperlink" Target="https://oecd.ai" TargetMode="External"/><Relationship Id="rId209" Type="http://schemas.openxmlformats.org/officeDocument/2006/relationships/drawing" Target="../drawings/drawing10.xml"/><Relationship Id="rId208" Type="http://schemas.openxmlformats.org/officeDocument/2006/relationships/hyperlink" Target="http://cdn.aiindex.org/2018/AI%20Index%202018%20Annual%20Report.pdf" TargetMode="External"/><Relationship Id="rId207" Type="http://schemas.openxmlformats.org/officeDocument/2006/relationships/hyperlink" Target="https://www.humanrights.dk/files/media/document/A%20HRIA%20of%20Digital%20Activities%20-%20Introduction_ENG_accessible.pdf" TargetMode="External"/><Relationship Id="rId202" Type="http://schemas.openxmlformats.org/officeDocument/2006/relationships/hyperlink" Target="https://www.orange.com/en/Human-Inside/Mag/Hello-I-am-AI." TargetMode="External"/><Relationship Id="rId201" Type="http://schemas.openxmlformats.org/officeDocument/2006/relationships/hyperlink" Target="https://d32j3j47emgb6f.cloudfront.net/wp-content/uploads/2021/01/AI_Impact_Assessment_A_Policy_Prototyping_Experiment.pdf" TargetMode="External"/><Relationship Id="rId200" Type="http://schemas.openxmlformats.org/officeDocument/2006/relationships/hyperlink" Target="http://www.informatizacia.sk/ext_dok-uppvii_sp_manazment_udajov_vfinal/24196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9.43"/>
    <col customWidth="1" min="2" max="2" width="19.0"/>
    <col customWidth="1" min="3" max="3" width="22.86"/>
    <col customWidth="1" min="4" max="4" width="7.14"/>
    <col customWidth="1" min="5" max="5" width="10.14"/>
    <col customWidth="1" min="6" max="6" width="22.14"/>
    <col customWidth="1" min="7" max="7" width="7.71"/>
    <col customWidth="1" min="8" max="9" width="11.0"/>
    <col customWidth="1" min="10" max="10" width="8.71"/>
    <col customWidth="1" min="11" max="11" width="9.29"/>
    <col customWidth="1" min="12" max="12" width="14.71"/>
    <col customWidth="1" min="13" max="14" width="7.0"/>
    <col customWidth="1" min="15" max="15" width="6.71"/>
    <col customWidth="1" min="16" max="16" width="8.43"/>
    <col customWidth="1" min="17" max="18" width="11.14"/>
    <col customWidth="1" min="19" max="19" width="11.71"/>
    <col customWidth="1" min="20" max="24" width="11.14"/>
    <col customWidth="1" min="25" max="25" width="11.43"/>
    <col customWidth="1" min="26" max="26" width="13.43"/>
    <col customWidth="1" min="27" max="27" width="18.43"/>
    <col customWidth="1" min="28" max="38" width="8.86"/>
  </cols>
  <sheetData>
    <row r="1" ht="14.25" customHeight="1">
      <c r="A1" s="1" t="s">
        <v>0</v>
      </c>
      <c r="B1" s="1" t="s">
        <v>1</v>
      </c>
      <c r="C1" s="2" t="s">
        <v>2</v>
      </c>
      <c r="D1" s="1" t="s">
        <v>3</v>
      </c>
      <c r="E1" s="1" t="s">
        <v>4</v>
      </c>
      <c r="F1" s="3" t="s">
        <v>5</v>
      </c>
      <c r="G1" s="4" t="s">
        <v>6</v>
      </c>
      <c r="H1" s="5" t="s">
        <v>7</v>
      </c>
      <c r="I1" s="4" t="s">
        <v>8</v>
      </c>
      <c r="J1" s="1" t="s">
        <v>9</v>
      </c>
      <c r="K1" s="6" t="s">
        <v>10</v>
      </c>
      <c r="L1" s="1" t="s">
        <v>11</v>
      </c>
      <c r="M1" s="1" t="s">
        <v>12</v>
      </c>
      <c r="N1" s="4" t="s">
        <v>13</v>
      </c>
      <c r="O1" s="4" t="s">
        <v>14</v>
      </c>
      <c r="P1" s="4" t="s">
        <v>15</v>
      </c>
      <c r="Q1" s="1" t="s">
        <v>16</v>
      </c>
      <c r="R1" s="1" t="s">
        <v>17</v>
      </c>
      <c r="S1" s="1" t="s">
        <v>18</v>
      </c>
      <c r="T1" s="1" t="s">
        <v>19</v>
      </c>
      <c r="U1" s="1" t="s">
        <v>20</v>
      </c>
      <c r="V1" s="1" t="s">
        <v>21</v>
      </c>
      <c r="W1" s="4" t="s">
        <v>22</v>
      </c>
      <c r="X1" s="1" t="s">
        <v>23</v>
      </c>
      <c r="Y1" s="1" t="s">
        <v>24</v>
      </c>
      <c r="Z1" s="7" t="s">
        <v>25</v>
      </c>
      <c r="AA1" s="8" t="s">
        <v>26</v>
      </c>
      <c r="AB1" s="9" t="s">
        <v>27</v>
      </c>
      <c r="AC1" s="7"/>
      <c r="AD1" s="10"/>
      <c r="AE1" s="10"/>
      <c r="AF1" s="10"/>
      <c r="AG1" s="10"/>
      <c r="AH1" s="10"/>
      <c r="AI1" s="10"/>
      <c r="AJ1" s="10"/>
      <c r="AK1" s="10"/>
      <c r="AL1" s="10"/>
    </row>
    <row r="2" ht="14.25" hidden="1" customHeight="1">
      <c r="A2" s="11" t="s">
        <v>28</v>
      </c>
      <c r="B2" s="12" t="s">
        <v>29</v>
      </c>
      <c r="C2" s="13" t="s">
        <v>30</v>
      </c>
      <c r="D2" s="11"/>
      <c r="E2" s="11"/>
      <c r="F2" s="11"/>
      <c r="G2" s="11"/>
      <c r="H2" s="11"/>
      <c r="I2" s="11"/>
      <c r="J2" s="12"/>
      <c r="K2" s="12" t="s">
        <v>31</v>
      </c>
      <c r="L2" s="12" t="s">
        <v>32</v>
      </c>
      <c r="M2" s="11">
        <f t="shared" ref="M2:M731" si="1">IF(LOWER(K2)="included", 1,0)</f>
        <v>0</v>
      </c>
      <c r="N2" s="11"/>
      <c r="O2" s="11"/>
      <c r="P2" s="11"/>
      <c r="Q2" s="11"/>
      <c r="R2" s="11"/>
      <c r="S2" s="11"/>
      <c r="T2" s="11"/>
      <c r="U2" s="11"/>
      <c r="V2" s="11"/>
      <c r="W2" s="11"/>
      <c r="X2" s="12">
        <v>1.0</v>
      </c>
      <c r="Y2" s="11"/>
      <c r="Z2" s="14">
        <f t="shared" ref="Z2:Z280" si="2">SUM(N2:Y2)</f>
        <v>1</v>
      </c>
      <c r="AA2" s="15" t="s">
        <v>33</v>
      </c>
    </row>
    <row r="3" ht="14.25" hidden="1" customHeight="1">
      <c r="A3" s="11" t="s">
        <v>34</v>
      </c>
      <c r="B3" s="12" t="s">
        <v>29</v>
      </c>
      <c r="C3" s="16" t="s">
        <v>35</v>
      </c>
      <c r="D3" s="12" t="s">
        <v>36</v>
      </c>
      <c r="E3" s="12" t="s">
        <v>29</v>
      </c>
      <c r="F3" s="12" t="s">
        <v>37</v>
      </c>
      <c r="G3" s="12" t="s">
        <v>38</v>
      </c>
      <c r="H3" s="12">
        <v>2021.0</v>
      </c>
      <c r="I3" s="12" t="s">
        <v>39</v>
      </c>
      <c r="J3" s="11"/>
      <c r="K3" s="12" t="s">
        <v>31</v>
      </c>
      <c r="L3" s="12" t="s">
        <v>40</v>
      </c>
      <c r="M3" s="11">
        <f t="shared" si="1"/>
        <v>0</v>
      </c>
      <c r="N3" s="11"/>
      <c r="O3" s="11"/>
      <c r="P3" s="11"/>
      <c r="Q3" s="11"/>
      <c r="R3" s="11"/>
      <c r="S3" s="11"/>
      <c r="T3" s="11"/>
      <c r="U3" s="11"/>
      <c r="V3" s="11"/>
      <c r="W3" s="11"/>
      <c r="X3" s="11"/>
      <c r="Y3" s="11"/>
      <c r="Z3" s="14">
        <f t="shared" si="2"/>
        <v>0</v>
      </c>
      <c r="AA3" s="15" t="s">
        <v>33</v>
      </c>
      <c r="AB3" s="15" t="s">
        <v>41</v>
      </c>
    </row>
    <row r="4" ht="14.25" hidden="1" customHeight="1">
      <c r="A4" s="12" t="s">
        <v>42</v>
      </c>
      <c r="B4" s="12" t="s">
        <v>29</v>
      </c>
      <c r="C4" s="17"/>
      <c r="D4" s="11"/>
      <c r="E4" s="11"/>
      <c r="F4" s="11"/>
      <c r="G4" s="11"/>
      <c r="H4" s="11"/>
      <c r="I4" s="11"/>
      <c r="J4" s="11"/>
      <c r="K4" s="11" t="s">
        <v>31</v>
      </c>
      <c r="L4" s="12" t="s">
        <v>43</v>
      </c>
      <c r="M4" s="11">
        <f t="shared" si="1"/>
        <v>0</v>
      </c>
      <c r="N4" s="11"/>
      <c r="O4" s="11"/>
      <c r="P4" s="11"/>
      <c r="Q4" s="11"/>
      <c r="R4" s="11"/>
      <c r="S4" s="11"/>
      <c r="T4" s="11"/>
      <c r="U4" s="11"/>
      <c r="V4" s="18"/>
      <c r="W4" s="18"/>
      <c r="X4" s="12">
        <v>1.0</v>
      </c>
      <c r="Y4" s="11"/>
      <c r="Z4" s="14">
        <f t="shared" si="2"/>
        <v>1</v>
      </c>
      <c r="AA4" s="15" t="s">
        <v>33</v>
      </c>
    </row>
    <row r="5" ht="14.25" customHeight="1">
      <c r="A5" s="19" t="s">
        <v>44</v>
      </c>
      <c r="B5" s="19" t="s">
        <v>45</v>
      </c>
      <c r="C5" s="20" t="s">
        <v>46</v>
      </c>
      <c r="D5" s="21"/>
      <c r="E5" s="21"/>
      <c r="F5" s="22" t="s">
        <v>47</v>
      </c>
      <c r="G5" s="19" t="s">
        <v>48</v>
      </c>
      <c r="H5" s="23" t="s">
        <v>49</v>
      </c>
      <c r="I5" s="21"/>
      <c r="J5" s="24"/>
      <c r="K5" s="25" t="s">
        <v>50</v>
      </c>
      <c r="L5" s="24" t="s">
        <v>51</v>
      </c>
      <c r="M5" s="11">
        <f t="shared" si="1"/>
        <v>1</v>
      </c>
      <c r="N5" s="21"/>
      <c r="O5" s="21"/>
      <c r="P5" s="21"/>
      <c r="Q5" s="21"/>
      <c r="R5" s="21"/>
      <c r="S5" s="21"/>
      <c r="T5" s="21"/>
      <c r="U5" s="21"/>
      <c r="V5" s="21"/>
      <c r="W5" s="24">
        <v>1.0</v>
      </c>
      <c r="X5" s="21"/>
      <c r="Y5" s="21"/>
      <c r="Z5" s="14">
        <f t="shared" si="2"/>
        <v>1</v>
      </c>
      <c r="AA5" s="15" t="s">
        <v>52</v>
      </c>
      <c r="AB5" s="14">
        <v>0.0019205139721357734</v>
      </c>
    </row>
    <row r="6" ht="13.5" customHeight="1">
      <c r="A6" s="11" t="s">
        <v>53</v>
      </c>
      <c r="B6" s="11" t="s">
        <v>54</v>
      </c>
      <c r="C6" s="26" t="s">
        <v>55</v>
      </c>
      <c r="D6" s="11"/>
      <c r="E6" s="11"/>
      <c r="F6" s="27" t="s">
        <v>56</v>
      </c>
      <c r="G6" s="11" t="s">
        <v>38</v>
      </c>
      <c r="H6" s="28" t="s">
        <v>57</v>
      </c>
      <c r="I6" s="11"/>
      <c r="J6" s="11"/>
      <c r="K6" s="29" t="s">
        <v>58</v>
      </c>
      <c r="L6" s="12" t="s">
        <v>51</v>
      </c>
      <c r="M6" s="11">
        <f t="shared" si="1"/>
        <v>1</v>
      </c>
      <c r="N6" s="11"/>
      <c r="O6" s="11"/>
      <c r="P6" s="11"/>
      <c r="Q6" s="11"/>
      <c r="R6" s="11"/>
      <c r="S6" s="11"/>
      <c r="T6" s="11"/>
      <c r="U6" s="11"/>
      <c r="V6" s="18"/>
      <c r="W6" s="18">
        <v>1.0</v>
      </c>
      <c r="X6" s="11"/>
      <c r="Y6" s="11"/>
      <c r="Z6" s="14">
        <f t="shared" si="2"/>
        <v>1</v>
      </c>
      <c r="AA6" s="15" t="s">
        <v>33</v>
      </c>
      <c r="AB6" s="14">
        <v>0.0021773129663896773</v>
      </c>
    </row>
    <row r="7" ht="14.25" customHeight="1">
      <c r="A7" s="19" t="s">
        <v>59</v>
      </c>
      <c r="B7" s="19" t="s">
        <v>60</v>
      </c>
      <c r="C7" s="20" t="s">
        <v>61</v>
      </c>
      <c r="D7" s="21"/>
      <c r="E7" s="21"/>
      <c r="F7" s="22" t="s">
        <v>62</v>
      </c>
      <c r="G7" s="19" t="s">
        <v>63</v>
      </c>
      <c r="H7" s="23" t="s">
        <v>64</v>
      </c>
      <c r="I7" s="21"/>
      <c r="J7" s="24"/>
      <c r="K7" s="25" t="s">
        <v>50</v>
      </c>
      <c r="L7" s="24" t="s">
        <v>65</v>
      </c>
      <c r="M7" s="11">
        <f t="shared" si="1"/>
        <v>1</v>
      </c>
      <c r="N7" s="21"/>
      <c r="O7" s="21"/>
      <c r="P7" s="21"/>
      <c r="Q7" s="21"/>
      <c r="R7" s="21"/>
      <c r="S7" s="21"/>
      <c r="T7" s="21"/>
      <c r="U7" s="21"/>
      <c r="V7" s="21"/>
      <c r="W7" s="24">
        <v>1.0</v>
      </c>
      <c r="X7" s="21"/>
      <c r="Y7" s="21"/>
      <c r="Z7" s="14">
        <f t="shared" si="2"/>
        <v>1</v>
      </c>
      <c r="AA7" s="15" t="s">
        <v>52</v>
      </c>
      <c r="AB7" s="14">
        <v>0.005935096991292688</v>
      </c>
    </row>
    <row r="8" ht="14.25" hidden="1" customHeight="1">
      <c r="A8" s="12" t="s">
        <v>66</v>
      </c>
      <c r="B8" s="12" t="s">
        <v>29</v>
      </c>
      <c r="C8" s="30" t="s">
        <v>67</v>
      </c>
      <c r="D8" s="11"/>
      <c r="E8" s="11"/>
      <c r="F8" s="11"/>
      <c r="G8" s="12" t="s">
        <v>68</v>
      </c>
      <c r="H8" s="11"/>
      <c r="I8" s="11"/>
      <c r="J8" s="11"/>
      <c r="K8" s="11" t="s">
        <v>31</v>
      </c>
      <c r="L8" s="12" t="s">
        <v>69</v>
      </c>
      <c r="M8" s="11">
        <f t="shared" si="1"/>
        <v>0</v>
      </c>
      <c r="N8" s="11"/>
      <c r="O8" s="11"/>
      <c r="P8" s="11"/>
      <c r="Q8" s="11"/>
      <c r="R8" s="11"/>
      <c r="S8" s="12">
        <v>1.0</v>
      </c>
      <c r="T8" s="12"/>
      <c r="U8" s="12"/>
      <c r="V8" s="31"/>
      <c r="W8" s="18"/>
      <c r="X8" s="11"/>
      <c r="Y8" s="11"/>
      <c r="Z8" s="14">
        <f t="shared" si="2"/>
        <v>1</v>
      </c>
      <c r="AA8" s="15" t="s">
        <v>33</v>
      </c>
    </row>
    <row r="9" ht="14.25" hidden="1" customHeight="1">
      <c r="A9" s="11" t="s">
        <v>70</v>
      </c>
      <c r="B9" s="12" t="s">
        <v>29</v>
      </c>
      <c r="C9" s="16" t="s">
        <v>71</v>
      </c>
      <c r="D9" s="12" t="s">
        <v>72</v>
      </c>
      <c r="E9" s="12" t="s">
        <v>29</v>
      </c>
      <c r="F9" s="12" t="s">
        <v>37</v>
      </c>
      <c r="G9" s="11" t="s">
        <v>38</v>
      </c>
      <c r="H9" s="12">
        <v>2018.0</v>
      </c>
      <c r="I9" s="12" t="s">
        <v>73</v>
      </c>
      <c r="J9" s="11"/>
      <c r="K9" s="12" t="s">
        <v>31</v>
      </c>
      <c r="L9" s="12" t="s">
        <v>40</v>
      </c>
      <c r="M9" s="11">
        <f t="shared" si="1"/>
        <v>0</v>
      </c>
      <c r="N9" s="11"/>
      <c r="O9" s="11"/>
      <c r="P9" s="11"/>
      <c r="Q9" s="11"/>
      <c r="R9" s="11"/>
      <c r="S9" s="11"/>
      <c r="T9" s="11"/>
      <c r="U9" s="11"/>
      <c r="V9" s="11"/>
      <c r="W9" s="11"/>
      <c r="X9" s="11"/>
      <c r="Y9" s="11"/>
      <c r="Z9" s="14">
        <f t="shared" si="2"/>
        <v>0</v>
      </c>
      <c r="AA9" s="15" t="s">
        <v>33</v>
      </c>
      <c r="AB9" s="15" t="s">
        <v>41</v>
      </c>
    </row>
    <row r="10" ht="14.25" customHeight="1">
      <c r="A10" s="19" t="s">
        <v>74</v>
      </c>
      <c r="B10" s="19" t="s">
        <v>75</v>
      </c>
      <c r="C10" s="20" t="s">
        <v>76</v>
      </c>
      <c r="D10" s="21"/>
      <c r="E10" s="21"/>
      <c r="F10" s="27" t="s">
        <v>77</v>
      </c>
      <c r="G10" s="19" t="s">
        <v>78</v>
      </c>
      <c r="H10" s="23" t="s">
        <v>79</v>
      </c>
      <c r="I10" s="21"/>
      <c r="J10" s="21"/>
      <c r="K10" s="25" t="s">
        <v>58</v>
      </c>
      <c r="L10" s="24" t="s">
        <v>51</v>
      </c>
      <c r="M10" s="11">
        <f t="shared" si="1"/>
        <v>1</v>
      </c>
      <c r="N10" s="21"/>
      <c r="O10" s="21"/>
      <c r="P10" s="21"/>
      <c r="Q10" s="21"/>
      <c r="R10" s="21"/>
      <c r="S10" s="21"/>
      <c r="T10" s="21"/>
      <c r="U10" s="21"/>
      <c r="V10" s="21"/>
      <c r="W10" s="24">
        <v>1.0</v>
      </c>
      <c r="X10" s="21"/>
      <c r="Y10" s="21"/>
      <c r="Z10" s="14">
        <f t="shared" si="2"/>
        <v>1</v>
      </c>
      <c r="AA10" s="15" t="s">
        <v>33</v>
      </c>
      <c r="AB10" s="14">
        <v>0.007575119483891335</v>
      </c>
    </row>
    <row r="11" ht="14.25" customHeight="1">
      <c r="A11" s="19" t="s">
        <v>80</v>
      </c>
      <c r="B11" s="32" t="s">
        <v>81</v>
      </c>
      <c r="C11" s="33" t="s">
        <v>82</v>
      </c>
      <c r="D11" s="21"/>
      <c r="E11" s="21"/>
      <c r="F11" s="27" t="s">
        <v>56</v>
      </c>
      <c r="G11" s="19" t="s">
        <v>83</v>
      </c>
      <c r="H11" s="23" t="s">
        <v>84</v>
      </c>
      <c r="I11" s="21"/>
      <c r="J11" s="24"/>
      <c r="K11" s="25" t="s">
        <v>58</v>
      </c>
      <c r="L11" s="24" t="s">
        <v>85</v>
      </c>
      <c r="M11" s="11">
        <f t="shared" si="1"/>
        <v>1</v>
      </c>
      <c r="N11" s="21"/>
      <c r="O11" s="21"/>
      <c r="P11" s="21"/>
      <c r="Q11" s="21"/>
      <c r="R11" s="21"/>
      <c r="S11" s="21"/>
      <c r="T11" s="21"/>
      <c r="U11" s="21"/>
      <c r="V11" s="21"/>
      <c r="W11" s="24">
        <v>1.0</v>
      </c>
      <c r="X11" s="21"/>
      <c r="Y11" s="21"/>
      <c r="Z11" s="14">
        <f t="shared" si="2"/>
        <v>1</v>
      </c>
      <c r="AA11" s="15" t="s">
        <v>33</v>
      </c>
      <c r="AB11" s="14">
        <v>0.007631778318516913</v>
      </c>
    </row>
    <row r="12" ht="14.25" hidden="1" customHeight="1">
      <c r="A12" s="11" t="s">
        <v>86</v>
      </c>
      <c r="B12" s="11" t="s">
        <v>87</v>
      </c>
      <c r="C12" s="34" t="s">
        <v>88</v>
      </c>
      <c r="D12" s="11"/>
      <c r="E12" s="11"/>
      <c r="F12" s="11"/>
      <c r="G12" s="11" t="s">
        <v>48</v>
      </c>
      <c r="H12" s="11"/>
      <c r="I12" s="11"/>
      <c r="J12" s="12"/>
      <c r="K12" s="12" t="s">
        <v>89</v>
      </c>
      <c r="L12" s="12" t="s">
        <v>90</v>
      </c>
      <c r="M12" s="11">
        <f t="shared" si="1"/>
        <v>0</v>
      </c>
      <c r="N12" s="11"/>
      <c r="O12" s="11"/>
      <c r="P12" s="11"/>
      <c r="Q12" s="11"/>
      <c r="R12" s="11"/>
      <c r="S12" s="11"/>
      <c r="T12" s="11"/>
      <c r="U12" s="11"/>
      <c r="V12" s="31">
        <v>1.0</v>
      </c>
      <c r="W12" s="18">
        <v>1.0</v>
      </c>
      <c r="X12" s="11"/>
      <c r="Y12" s="11"/>
      <c r="Z12" s="14">
        <f t="shared" si="2"/>
        <v>2</v>
      </c>
      <c r="AA12" s="15" t="s">
        <v>91</v>
      </c>
    </row>
    <row r="13" ht="14.25" hidden="1" customHeight="1">
      <c r="A13" s="11" t="s">
        <v>92</v>
      </c>
      <c r="B13" s="11" t="s">
        <v>93</v>
      </c>
      <c r="C13" s="13" t="s">
        <v>94</v>
      </c>
      <c r="D13" s="12" t="s">
        <v>29</v>
      </c>
      <c r="E13" s="12" t="s">
        <v>29</v>
      </c>
      <c r="F13" s="12" t="s">
        <v>95</v>
      </c>
      <c r="G13" s="11" t="s">
        <v>78</v>
      </c>
      <c r="H13" s="12">
        <v>2018.0</v>
      </c>
      <c r="I13" s="11"/>
      <c r="J13" s="11"/>
      <c r="K13" s="12" t="s">
        <v>31</v>
      </c>
      <c r="L13" s="12" t="s">
        <v>96</v>
      </c>
      <c r="M13" s="11">
        <f t="shared" si="1"/>
        <v>0</v>
      </c>
      <c r="N13" s="18">
        <v>1.0</v>
      </c>
      <c r="O13" s="11"/>
      <c r="P13" s="11"/>
      <c r="Q13" s="11"/>
      <c r="R13" s="11"/>
      <c r="S13" s="11"/>
      <c r="T13" s="11"/>
      <c r="U13" s="11"/>
      <c r="V13" s="12">
        <v>1.0</v>
      </c>
      <c r="W13" s="12">
        <v>1.0</v>
      </c>
      <c r="X13" s="11"/>
      <c r="Y13" s="11"/>
      <c r="Z13" s="14">
        <f t="shared" si="2"/>
        <v>3</v>
      </c>
      <c r="AA13" s="15" t="s">
        <v>33</v>
      </c>
    </row>
    <row r="14" ht="14.25" customHeight="1">
      <c r="A14" s="19" t="s">
        <v>97</v>
      </c>
      <c r="B14" s="19" t="s">
        <v>45</v>
      </c>
      <c r="C14" s="35" t="s">
        <v>98</v>
      </c>
      <c r="D14" s="21"/>
      <c r="E14" s="21"/>
      <c r="F14" s="22" t="s">
        <v>47</v>
      </c>
      <c r="G14" s="19" t="s">
        <v>48</v>
      </c>
      <c r="H14" s="23" t="s">
        <v>99</v>
      </c>
      <c r="I14" s="21"/>
      <c r="J14" s="24"/>
      <c r="K14" s="25" t="s">
        <v>50</v>
      </c>
      <c r="L14" s="24" t="s">
        <v>51</v>
      </c>
      <c r="M14" s="11">
        <f t="shared" si="1"/>
        <v>1</v>
      </c>
      <c r="N14" s="21"/>
      <c r="O14" s="21"/>
      <c r="P14" s="21"/>
      <c r="Q14" s="21"/>
      <c r="R14" s="21"/>
      <c r="S14" s="21"/>
      <c r="T14" s="21"/>
      <c r="U14" s="21"/>
      <c r="V14" s="21"/>
      <c r="W14" s="24">
        <v>1.0</v>
      </c>
      <c r="X14" s="21"/>
      <c r="Y14" s="21"/>
      <c r="Z14" s="14">
        <f t="shared" si="2"/>
        <v>1</v>
      </c>
      <c r="AA14" s="15" t="s">
        <v>52</v>
      </c>
      <c r="AB14" s="14">
        <v>0.01095885600786628</v>
      </c>
    </row>
    <row r="15" ht="14.25" customHeight="1">
      <c r="A15" s="32" t="s">
        <v>100</v>
      </c>
      <c r="B15" s="32" t="s">
        <v>101</v>
      </c>
      <c r="C15" s="36" t="s">
        <v>102</v>
      </c>
      <c r="D15" s="21"/>
      <c r="E15" s="21"/>
      <c r="F15" s="27" t="s">
        <v>103</v>
      </c>
      <c r="G15" s="19" t="s">
        <v>83</v>
      </c>
      <c r="H15" s="23" t="s">
        <v>104</v>
      </c>
      <c r="I15" s="21"/>
      <c r="J15" s="24"/>
      <c r="K15" s="25" t="s">
        <v>50</v>
      </c>
      <c r="L15" s="24" t="s">
        <v>105</v>
      </c>
      <c r="M15" s="11">
        <f t="shared" si="1"/>
        <v>1</v>
      </c>
      <c r="N15" s="21"/>
      <c r="O15" s="21"/>
      <c r="P15" s="21"/>
      <c r="Q15" s="21"/>
      <c r="R15" s="21"/>
      <c r="S15" s="21"/>
      <c r="T15" s="21"/>
      <c r="U15" s="21"/>
      <c r="V15" s="21"/>
      <c r="W15" s="24">
        <v>1.0</v>
      </c>
      <c r="X15" s="21"/>
      <c r="Y15" s="21"/>
      <c r="Z15" s="14">
        <f t="shared" si="2"/>
        <v>1</v>
      </c>
      <c r="AA15" s="15" t="s">
        <v>106</v>
      </c>
      <c r="AB15" s="14">
        <v>0.01236510848775152</v>
      </c>
    </row>
    <row r="16" ht="14.25" customHeight="1">
      <c r="A16" s="11" t="s">
        <v>107</v>
      </c>
      <c r="B16" s="11" t="s">
        <v>108</v>
      </c>
      <c r="C16" s="37" t="s">
        <v>109</v>
      </c>
      <c r="D16" s="11"/>
      <c r="E16" s="11"/>
      <c r="F16" s="22" t="s">
        <v>103</v>
      </c>
      <c r="G16" s="11" t="s">
        <v>78</v>
      </c>
      <c r="H16" s="28" t="s">
        <v>110</v>
      </c>
      <c r="I16" s="11"/>
      <c r="J16" s="11"/>
      <c r="K16" s="29" t="s">
        <v>50</v>
      </c>
      <c r="L16" s="12" t="s">
        <v>111</v>
      </c>
      <c r="M16" s="11">
        <f t="shared" si="1"/>
        <v>1</v>
      </c>
      <c r="N16" s="18">
        <v>1.0</v>
      </c>
      <c r="O16" s="11"/>
      <c r="P16" s="11"/>
      <c r="Q16" s="11"/>
      <c r="R16" s="11"/>
      <c r="S16" s="11"/>
      <c r="T16" s="11"/>
      <c r="U16" s="11"/>
      <c r="V16" s="31">
        <v>1.0</v>
      </c>
      <c r="W16" s="18">
        <v>1.0</v>
      </c>
      <c r="X16" s="11"/>
      <c r="Y16" s="11"/>
      <c r="Z16" s="14">
        <f t="shared" si="2"/>
        <v>3</v>
      </c>
      <c r="AA16" s="15" t="s">
        <v>52</v>
      </c>
      <c r="AB16" s="14">
        <v>0.014377841350344922</v>
      </c>
    </row>
    <row r="17" ht="14.25" customHeight="1">
      <c r="A17" s="12" t="s">
        <v>112</v>
      </c>
      <c r="B17" s="12" t="s">
        <v>113</v>
      </c>
      <c r="C17" s="38" t="s">
        <v>114</v>
      </c>
      <c r="D17" s="11"/>
      <c r="E17" s="11"/>
      <c r="F17" s="27" t="s">
        <v>95</v>
      </c>
      <c r="G17" s="12" t="s">
        <v>115</v>
      </c>
      <c r="H17" s="39"/>
      <c r="I17" s="11"/>
      <c r="J17" s="11"/>
      <c r="K17" s="29" t="s">
        <v>50</v>
      </c>
      <c r="L17" s="12" t="s">
        <v>111</v>
      </c>
      <c r="M17" s="11">
        <f t="shared" si="1"/>
        <v>1</v>
      </c>
      <c r="N17" s="18"/>
      <c r="O17" s="11"/>
      <c r="P17" s="11"/>
      <c r="Q17" s="11"/>
      <c r="R17" s="11"/>
      <c r="S17" s="12">
        <v>1.0</v>
      </c>
      <c r="T17" s="12"/>
      <c r="U17" s="12"/>
      <c r="V17" s="31"/>
      <c r="W17" s="18"/>
      <c r="X17" s="11"/>
      <c r="Y17" s="11"/>
      <c r="Z17" s="14">
        <f t="shared" si="2"/>
        <v>1</v>
      </c>
      <c r="AA17" s="15" t="s">
        <v>52</v>
      </c>
      <c r="AB17" s="14">
        <v>0.015867833579763624</v>
      </c>
    </row>
    <row r="18" ht="14.25" hidden="1" customHeight="1">
      <c r="A18" s="19" t="s">
        <v>116</v>
      </c>
      <c r="B18" s="19" t="s">
        <v>117</v>
      </c>
      <c r="C18" s="40" t="s">
        <v>118</v>
      </c>
      <c r="D18" s="21"/>
      <c r="E18" s="21"/>
      <c r="F18" s="21"/>
      <c r="G18" s="19" t="s">
        <v>48</v>
      </c>
      <c r="H18" s="41">
        <v>43405.0</v>
      </c>
      <c r="I18" s="21"/>
      <c r="J18" s="21"/>
      <c r="K18" s="24" t="s">
        <v>89</v>
      </c>
      <c r="L18" s="24" t="s">
        <v>119</v>
      </c>
      <c r="M18" s="11">
        <f t="shared" si="1"/>
        <v>0</v>
      </c>
      <c r="N18" s="21"/>
      <c r="O18" s="21"/>
      <c r="P18" s="21"/>
      <c r="Q18" s="21"/>
      <c r="R18" s="21"/>
      <c r="S18" s="21"/>
      <c r="T18" s="21"/>
      <c r="U18" s="21"/>
      <c r="V18" s="21"/>
      <c r="W18" s="24">
        <v>1.0</v>
      </c>
      <c r="X18" s="21"/>
      <c r="Y18" s="21"/>
      <c r="Z18" s="14">
        <f t="shared" si="2"/>
        <v>1</v>
      </c>
      <c r="AA18" s="15" t="s">
        <v>91</v>
      </c>
    </row>
    <row r="19" ht="14.25" customHeight="1">
      <c r="A19" s="12" t="s">
        <v>120</v>
      </c>
      <c r="B19" s="12" t="s">
        <v>121</v>
      </c>
      <c r="C19" s="38" t="s">
        <v>122</v>
      </c>
      <c r="D19" s="11"/>
      <c r="E19" s="11"/>
      <c r="F19" s="27" t="s">
        <v>62</v>
      </c>
      <c r="G19" s="12" t="s">
        <v>83</v>
      </c>
      <c r="H19" s="28" t="s">
        <v>123</v>
      </c>
      <c r="I19" s="11"/>
      <c r="J19" s="11"/>
      <c r="K19" s="29" t="s">
        <v>50</v>
      </c>
      <c r="L19" s="12" t="s">
        <v>124</v>
      </c>
      <c r="M19" s="11">
        <f t="shared" si="1"/>
        <v>1</v>
      </c>
      <c r="N19" s="11"/>
      <c r="O19" s="11"/>
      <c r="P19" s="11"/>
      <c r="Q19" s="11"/>
      <c r="R19" s="11"/>
      <c r="S19" s="11"/>
      <c r="T19" s="11"/>
      <c r="U19" s="12">
        <v>1.0</v>
      </c>
      <c r="V19" s="18"/>
      <c r="W19" s="18"/>
      <c r="X19" s="11"/>
      <c r="Y19" s="11"/>
      <c r="Z19" s="14">
        <f t="shared" si="2"/>
        <v>1</v>
      </c>
      <c r="AA19" s="15" t="s">
        <v>52</v>
      </c>
      <c r="AB19" s="14">
        <v>0.01816172503665958</v>
      </c>
    </row>
    <row r="20" ht="14.25" hidden="1" customHeight="1">
      <c r="A20" s="11" t="s">
        <v>125</v>
      </c>
      <c r="B20" s="11" t="s">
        <v>126</v>
      </c>
      <c r="C20" s="42" t="s">
        <v>127</v>
      </c>
      <c r="D20" s="11"/>
      <c r="E20" s="11"/>
      <c r="F20" s="11"/>
      <c r="G20" s="11" t="s">
        <v>128</v>
      </c>
      <c r="H20" s="11"/>
      <c r="I20" s="11"/>
      <c r="J20" s="11"/>
      <c r="K20" s="12" t="s">
        <v>89</v>
      </c>
      <c r="L20" s="12" t="s">
        <v>90</v>
      </c>
      <c r="M20" s="11">
        <f t="shared" si="1"/>
        <v>0</v>
      </c>
      <c r="N20" s="11"/>
      <c r="O20" s="11"/>
      <c r="P20" s="11">
        <v>1.0</v>
      </c>
      <c r="Q20" s="11"/>
      <c r="R20" s="11"/>
      <c r="S20" s="11"/>
      <c r="T20" s="11"/>
      <c r="U20" s="11"/>
      <c r="V20" s="18"/>
      <c r="W20" s="18">
        <v>1.0</v>
      </c>
      <c r="X20" s="11"/>
      <c r="Y20" s="11"/>
      <c r="Z20" s="14">
        <f t="shared" si="2"/>
        <v>2</v>
      </c>
      <c r="AA20" s="15" t="s">
        <v>91</v>
      </c>
    </row>
    <row r="21" ht="14.25" hidden="1" customHeight="1">
      <c r="A21" s="11" t="s">
        <v>129</v>
      </c>
      <c r="B21" s="11" t="s">
        <v>130</v>
      </c>
      <c r="C21" s="34" t="s">
        <v>131</v>
      </c>
      <c r="D21" s="11"/>
      <c r="E21" s="11"/>
      <c r="F21" s="11"/>
      <c r="G21" s="11" t="s">
        <v>132</v>
      </c>
      <c r="H21" s="11"/>
      <c r="I21" s="11"/>
      <c r="J21" s="11"/>
      <c r="K21" s="12" t="s">
        <v>89</v>
      </c>
      <c r="L21" s="12" t="s">
        <v>69</v>
      </c>
      <c r="M21" s="11">
        <f t="shared" si="1"/>
        <v>0</v>
      </c>
      <c r="N21" s="11"/>
      <c r="O21" s="11"/>
      <c r="P21" s="11"/>
      <c r="Q21" s="11"/>
      <c r="R21" s="11"/>
      <c r="S21" s="11"/>
      <c r="T21" s="11"/>
      <c r="U21" s="11"/>
      <c r="V21" s="31">
        <v>1.0</v>
      </c>
      <c r="W21" s="18">
        <v>1.0</v>
      </c>
      <c r="X21" s="11"/>
      <c r="Y21" s="11"/>
      <c r="Z21" s="14">
        <f t="shared" si="2"/>
        <v>2</v>
      </c>
      <c r="AA21" s="15" t="s">
        <v>91</v>
      </c>
    </row>
    <row r="22" ht="14.25" customHeight="1">
      <c r="A22" s="11" t="s">
        <v>133</v>
      </c>
      <c r="B22" s="11" t="s">
        <v>134</v>
      </c>
      <c r="C22" s="37" t="s">
        <v>135</v>
      </c>
      <c r="D22" s="11"/>
      <c r="E22" s="11"/>
      <c r="F22" s="27" t="s">
        <v>136</v>
      </c>
      <c r="G22" s="11" t="s">
        <v>78</v>
      </c>
      <c r="H22" s="28" t="s">
        <v>99</v>
      </c>
      <c r="I22" s="11"/>
      <c r="J22" s="12"/>
      <c r="K22" s="29" t="s">
        <v>50</v>
      </c>
      <c r="L22" s="11"/>
      <c r="M22" s="11">
        <f t="shared" si="1"/>
        <v>1</v>
      </c>
      <c r="N22" s="11"/>
      <c r="O22" s="11"/>
      <c r="P22" s="18"/>
      <c r="Q22" s="18"/>
      <c r="R22" s="18"/>
      <c r="S22" s="31">
        <v>1.0</v>
      </c>
      <c r="T22" s="31">
        <v>1.0</v>
      </c>
      <c r="U22" s="31"/>
      <c r="V22" s="31">
        <v>1.0</v>
      </c>
      <c r="W22" s="18">
        <v>1.0</v>
      </c>
      <c r="X22" s="18"/>
      <c r="Y22" s="18">
        <v>1.0</v>
      </c>
      <c r="Z22" s="14">
        <f t="shared" si="2"/>
        <v>5</v>
      </c>
      <c r="AA22" s="15" t="s">
        <v>106</v>
      </c>
      <c r="AB22" s="14">
        <v>0.02408737264672267</v>
      </c>
    </row>
    <row r="23" ht="14.25" customHeight="1">
      <c r="A23" s="11" t="s">
        <v>137</v>
      </c>
      <c r="B23" s="11" t="s">
        <v>138</v>
      </c>
      <c r="C23" s="43" t="s">
        <v>139</v>
      </c>
      <c r="D23" s="11"/>
      <c r="E23" s="11"/>
      <c r="F23" s="27" t="s">
        <v>140</v>
      </c>
      <c r="G23" s="11" t="s">
        <v>132</v>
      </c>
      <c r="H23" s="28" t="s">
        <v>141</v>
      </c>
      <c r="I23" s="11"/>
      <c r="J23" s="11"/>
      <c r="K23" s="29" t="s">
        <v>50</v>
      </c>
      <c r="L23" s="12" t="s">
        <v>124</v>
      </c>
      <c r="M23" s="11">
        <f t="shared" si="1"/>
        <v>1</v>
      </c>
      <c r="N23" s="11"/>
      <c r="O23" s="11"/>
      <c r="P23" s="11"/>
      <c r="Q23" s="11"/>
      <c r="R23" s="11"/>
      <c r="S23" s="11"/>
      <c r="T23" s="11"/>
      <c r="U23" s="11"/>
      <c r="V23" s="31">
        <v>1.0</v>
      </c>
      <c r="W23" s="18">
        <v>1.0</v>
      </c>
      <c r="X23" s="11"/>
      <c r="Y23" s="11"/>
      <c r="Z23" s="14">
        <f t="shared" si="2"/>
        <v>2</v>
      </c>
      <c r="AA23" s="15" t="s">
        <v>106</v>
      </c>
      <c r="AB23" s="14">
        <v>0.024125462969399658</v>
      </c>
    </row>
    <row r="24" ht="14.25" customHeight="1">
      <c r="A24" s="19" t="s">
        <v>142</v>
      </c>
      <c r="B24" s="19" t="s">
        <v>134</v>
      </c>
      <c r="C24" s="20" t="s">
        <v>143</v>
      </c>
      <c r="D24" s="21"/>
      <c r="E24" s="21"/>
      <c r="F24" s="27" t="s">
        <v>136</v>
      </c>
      <c r="G24" s="19" t="s">
        <v>78</v>
      </c>
      <c r="H24" s="23" t="s">
        <v>64</v>
      </c>
      <c r="I24" s="21"/>
      <c r="J24" s="21"/>
      <c r="K24" s="25" t="s">
        <v>50</v>
      </c>
      <c r="L24" s="24" t="s">
        <v>105</v>
      </c>
      <c r="M24" s="11">
        <f t="shared" si="1"/>
        <v>1</v>
      </c>
      <c r="N24" s="21"/>
      <c r="O24" s="21"/>
      <c r="P24" s="21"/>
      <c r="Q24" s="21"/>
      <c r="R24" s="21"/>
      <c r="S24" s="21"/>
      <c r="T24" s="21"/>
      <c r="U24" s="21"/>
      <c r="V24" s="21"/>
      <c r="W24" s="24">
        <v>1.0</v>
      </c>
      <c r="X24" s="21"/>
      <c r="Y24" s="21"/>
      <c r="Z24" s="14">
        <f t="shared" si="2"/>
        <v>1</v>
      </c>
      <c r="AA24" s="15" t="s">
        <v>52</v>
      </c>
      <c r="AB24" s="14">
        <v>0.03524001852367409</v>
      </c>
    </row>
    <row r="25" ht="14.25" customHeight="1">
      <c r="A25" s="11" t="s">
        <v>144</v>
      </c>
      <c r="B25" s="11" t="s">
        <v>145</v>
      </c>
      <c r="C25" s="43" t="s">
        <v>146</v>
      </c>
      <c r="D25" s="11"/>
      <c r="E25" s="11"/>
      <c r="F25" s="27" t="s">
        <v>62</v>
      </c>
      <c r="G25" s="11" t="s">
        <v>78</v>
      </c>
      <c r="H25" s="28" t="s">
        <v>147</v>
      </c>
      <c r="I25" s="11"/>
      <c r="J25" s="11"/>
      <c r="K25" s="29" t="s">
        <v>50</v>
      </c>
      <c r="L25" s="12" t="s">
        <v>124</v>
      </c>
      <c r="M25" s="11">
        <f t="shared" si="1"/>
        <v>1</v>
      </c>
      <c r="N25" s="11"/>
      <c r="O25" s="11"/>
      <c r="P25" s="11"/>
      <c r="Q25" s="11"/>
      <c r="R25" s="11"/>
      <c r="S25" s="11"/>
      <c r="T25" s="11"/>
      <c r="U25" s="11"/>
      <c r="V25" s="18"/>
      <c r="W25" s="18">
        <v>1.0</v>
      </c>
      <c r="X25" s="11"/>
      <c r="Y25" s="11"/>
      <c r="Z25" s="14">
        <f t="shared" si="2"/>
        <v>1</v>
      </c>
      <c r="AA25" s="15" t="s">
        <v>52</v>
      </c>
      <c r="AB25" s="14">
        <v>0.03597361522183684</v>
      </c>
    </row>
    <row r="26" ht="14.25" customHeight="1">
      <c r="A26" s="11" t="s">
        <v>148</v>
      </c>
      <c r="B26" s="12" t="s">
        <v>149</v>
      </c>
      <c r="C26" s="37" t="s">
        <v>150</v>
      </c>
      <c r="D26" s="11"/>
      <c r="E26" s="11"/>
      <c r="F26" s="27" t="s">
        <v>103</v>
      </c>
      <c r="G26" s="11" t="s">
        <v>83</v>
      </c>
      <c r="H26" s="28" t="s">
        <v>151</v>
      </c>
      <c r="I26" s="11"/>
      <c r="J26" s="12"/>
      <c r="K26" s="29" t="s">
        <v>50</v>
      </c>
      <c r="L26" s="12" t="s">
        <v>152</v>
      </c>
      <c r="M26" s="11">
        <f t="shared" si="1"/>
        <v>1</v>
      </c>
      <c r="N26" s="18">
        <v>1.0</v>
      </c>
      <c r="O26" s="18">
        <v>1.0</v>
      </c>
      <c r="P26" s="11"/>
      <c r="Q26" s="11"/>
      <c r="R26" s="11"/>
      <c r="S26" s="11"/>
      <c r="T26" s="12">
        <v>1.0</v>
      </c>
      <c r="U26" s="12"/>
      <c r="V26" s="31">
        <v>1.0</v>
      </c>
      <c r="W26" s="18">
        <v>1.0</v>
      </c>
      <c r="X26" s="12">
        <v>1.0</v>
      </c>
      <c r="Y26" s="11"/>
      <c r="Z26" s="14">
        <f t="shared" si="2"/>
        <v>6</v>
      </c>
      <c r="AA26" s="15" t="s">
        <v>106</v>
      </c>
      <c r="AB26" s="14">
        <v>0.03765361489694952</v>
      </c>
    </row>
    <row r="27" ht="14.25" customHeight="1">
      <c r="A27" s="12" t="s">
        <v>153</v>
      </c>
      <c r="B27" s="12" t="s">
        <v>154</v>
      </c>
      <c r="C27" s="38" t="s">
        <v>155</v>
      </c>
      <c r="D27" s="12" t="s">
        <v>156</v>
      </c>
      <c r="E27" s="11" t="s">
        <v>157</v>
      </c>
      <c r="F27" s="27" t="s">
        <v>62</v>
      </c>
      <c r="G27" s="11" t="s">
        <v>158</v>
      </c>
      <c r="H27" s="28" t="s">
        <v>159</v>
      </c>
      <c r="I27" s="11"/>
      <c r="J27" s="11"/>
      <c r="K27" s="29" t="s">
        <v>50</v>
      </c>
      <c r="L27" s="12"/>
      <c r="M27" s="11">
        <f t="shared" si="1"/>
        <v>1</v>
      </c>
      <c r="N27" s="11"/>
      <c r="O27" s="11"/>
      <c r="P27" s="11"/>
      <c r="Q27" s="11"/>
      <c r="R27" s="11"/>
      <c r="S27" s="11"/>
      <c r="T27" s="11"/>
      <c r="U27" s="11"/>
      <c r="V27" s="11"/>
      <c r="W27" s="11"/>
      <c r="X27" s="11"/>
      <c r="Y27" s="11"/>
      <c r="Z27" s="14">
        <f t="shared" si="2"/>
        <v>0</v>
      </c>
      <c r="AA27" s="15" t="s">
        <v>106</v>
      </c>
      <c r="AB27" s="14">
        <v>0.045590908526427776</v>
      </c>
    </row>
    <row r="28" ht="14.25" customHeight="1">
      <c r="A28" s="11" t="s">
        <v>160</v>
      </c>
      <c r="B28" s="11" t="s">
        <v>161</v>
      </c>
      <c r="C28" s="35" t="s">
        <v>162</v>
      </c>
      <c r="D28" s="11"/>
      <c r="E28" s="11"/>
      <c r="F28" s="27" t="s">
        <v>77</v>
      </c>
      <c r="G28" s="11" t="s">
        <v>78</v>
      </c>
      <c r="H28" s="28" t="s">
        <v>163</v>
      </c>
      <c r="I28" s="11"/>
      <c r="J28" s="11"/>
      <c r="K28" s="29" t="s">
        <v>50</v>
      </c>
      <c r="L28" s="12" t="s">
        <v>51</v>
      </c>
      <c r="M28" s="11">
        <f t="shared" si="1"/>
        <v>1</v>
      </c>
      <c r="N28" s="11"/>
      <c r="O28" s="11"/>
      <c r="P28" s="11"/>
      <c r="Q28" s="11"/>
      <c r="R28" s="11"/>
      <c r="S28" s="11"/>
      <c r="T28" s="11"/>
      <c r="U28" s="11"/>
      <c r="V28" s="18"/>
      <c r="W28" s="18">
        <v>1.0</v>
      </c>
      <c r="X28" s="11"/>
      <c r="Y28" s="11"/>
      <c r="Z28" s="14">
        <f t="shared" si="2"/>
        <v>1</v>
      </c>
      <c r="AA28" s="15" t="s">
        <v>91</v>
      </c>
      <c r="AB28" s="14">
        <v>0.046481622667564726</v>
      </c>
    </row>
    <row r="29" ht="14.25" customHeight="1">
      <c r="A29" s="11" t="s">
        <v>164</v>
      </c>
      <c r="B29" s="11" t="s">
        <v>165</v>
      </c>
      <c r="C29" s="26" t="s">
        <v>166</v>
      </c>
      <c r="D29" s="11"/>
      <c r="E29" s="11"/>
      <c r="F29" s="22" t="s">
        <v>77</v>
      </c>
      <c r="G29" s="11" t="s">
        <v>78</v>
      </c>
      <c r="H29" s="28" t="s">
        <v>167</v>
      </c>
      <c r="I29" s="11"/>
      <c r="J29" s="11"/>
      <c r="K29" s="29" t="s">
        <v>50</v>
      </c>
      <c r="L29" s="11"/>
      <c r="M29" s="11">
        <f t="shared" si="1"/>
        <v>1</v>
      </c>
      <c r="N29" s="11"/>
      <c r="O29" s="11"/>
      <c r="P29" s="11"/>
      <c r="Q29" s="11"/>
      <c r="R29" s="11"/>
      <c r="S29" s="11"/>
      <c r="T29" s="11"/>
      <c r="U29" s="11"/>
      <c r="V29" s="18"/>
      <c r="W29" s="18">
        <v>1.0</v>
      </c>
      <c r="X29" s="11"/>
      <c r="Y29" s="11"/>
      <c r="Z29" s="14">
        <f t="shared" si="2"/>
        <v>1</v>
      </c>
      <c r="AA29" s="15" t="s">
        <v>91</v>
      </c>
      <c r="AB29" s="14">
        <v>0.05186501479946515</v>
      </c>
    </row>
    <row r="30" ht="14.25" customHeight="1">
      <c r="A30" s="11" t="s">
        <v>168</v>
      </c>
      <c r="B30" s="11" t="s">
        <v>169</v>
      </c>
      <c r="C30" s="38" t="s">
        <v>170</v>
      </c>
      <c r="D30" s="11"/>
      <c r="E30" s="11"/>
      <c r="F30" s="27" t="s">
        <v>171</v>
      </c>
      <c r="G30" s="11" t="s">
        <v>48</v>
      </c>
      <c r="H30" s="28" t="s">
        <v>172</v>
      </c>
      <c r="I30" s="11"/>
      <c r="J30" s="12"/>
      <c r="K30" s="29" t="s">
        <v>50</v>
      </c>
      <c r="L30" s="12" t="s">
        <v>51</v>
      </c>
      <c r="M30" s="11">
        <f t="shared" si="1"/>
        <v>1</v>
      </c>
      <c r="N30" s="18">
        <v>1.0</v>
      </c>
      <c r="O30" s="11"/>
      <c r="P30" s="11"/>
      <c r="Q30" s="12">
        <v>1.0</v>
      </c>
      <c r="R30" s="11"/>
      <c r="S30" s="11"/>
      <c r="T30" s="11"/>
      <c r="U30" s="11"/>
      <c r="V30" s="11"/>
      <c r="W30" s="11"/>
      <c r="X30" s="11"/>
      <c r="Y30" s="11"/>
      <c r="Z30" s="14">
        <f t="shared" si="2"/>
        <v>2</v>
      </c>
      <c r="AA30" s="15" t="s">
        <v>91</v>
      </c>
      <c r="AB30" s="14">
        <v>0.05513591631689252</v>
      </c>
    </row>
    <row r="31" ht="14.25" customHeight="1">
      <c r="A31" s="19" t="s">
        <v>173</v>
      </c>
      <c r="B31" s="19" t="s">
        <v>174</v>
      </c>
      <c r="C31" s="35" t="s">
        <v>175</v>
      </c>
      <c r="D31" s="21"/>
      <c r="E31" s="21"/>
      <c r="F31" s="27" t="s">
        <v>77</v>
      </c>
      <c r="G31" s="19" t="s">
        <v>78</v>
      </c>
      <c r="H31" s="23" t="s">
        <v>176</v>
      </c>
      <c r="I31" s="21"/>
      <c r="J31" s="24"/>
      <c r="K31" s="25" t="s">
        <v>50</v>
      </c>
      <c r="L31" s="24" t="s">
        <v>51</v>
      </c>
      <c r="M31" s="11">
        <f t="shared" si="1"/>
        <v>1</v>
      </c>
      <c r="N31" s="21"/>
      <c r="O31" s="21"/>
      <c r="P31" s="21"/>
      <c r="Q31" s="21"/>
      <c r="R31" s="21"/>
      <c r="S31" s="21"/>
      <c r="T31" s="21"/>
      <c r="U31" s="21"/>
      <c r="V31" s="21"/>
      <c r="W31" s="24">
        <v>1.0</v>
      </c>
      <c r="X31" s="21"/>
      <c r="Y31" s="21"/>
      <c r="Z31" s="14">
        <f t="shared" si="2"/>
        <v>1</v>
      </c>
      <c r="AA31" s="15" t="s">
        <v>52</v>
      </c>
      <c r="AB31" s="14">
        <v>0.05550649632689619</v>
      </c>
    </row>
    <row r="32" ht="14.25" customHeight="1">
      <c r="A32" s="19" t="s">
        <v>177</v>
      </c>
      <c r="B32" s="19" t="s">
        <v>178</v>
      </c>
      <c r="C32" s="35" t="s">
        <v>179</v>
      </c>
      <c r="D32" s="21"/>
      <c r="E32" s="21"/>
      <c r="F32" s="27" t="s">
        <v>56</v>
      </c>
      <c r="G32" s="19" t="s">
        <v>83</v>
      </c>
      <c r="H32" s="23" t="s">
        <v>180</v>
      </c>
      <c r="I32" s="21"/>
      <c r="J32" s="21"/>
      <c r="K32" s="25" t="s">
        <v>50</v>
      </c>
      <c r="L32" s="24" t="s">
        <v>181</v>
      </c>
      <c r="M32" s="11">
        <f t="shared" si="1"/>
        <v>1</v>
      </c>
      <c r="N32" s="21"/>
      <c r="O32" s="21"/>
      <c r="P32" s="21"/>
      <c r="Q32" s="21"/>
      <c r="R32" s="21"/>
      <c r="S32" s="21"/>
      <c r="T32" s="21"/>
      <c r="U32" s="21"/>
      <c r="V32" s="21"/>
      <c r="W32" s="24">
        <v>1.0</v>
      </c>
      <c r="X32" s="21"/>
      <c r="Y32" s="21"/>
      <c r="Z32" s="14">
        <f t="shared" si="2"/>
        <v>1</v>
      </c>
      <c r="AA32" s="15" t="s">
        <v>91</v>
      </c>
      <c r="AB32" s="14">
        <v>0.05797269655734305</v>
      </c>
    </row>
    <row r="33" ht="14.25" customHeight="1">
      <c r="A33" s="19" t="s">
        <v>182</v>
      </c>
      <c r="B33" s="19" t="s">
        <v>183</v>
      </c>
      <c r="C33" s="33" t="s">
        <v>184</v>
      </c>
      <c r="D33" s="21"/>
      <c r="E33" s="21"/>
      <c r="F33" s="22" t="s">
        <v>62</v>
      </c>
      <c r="G33" s="19" t="s">
        <v>38</v>
      </c>
      <c r="H33" s="28" t="s">
        <v>185</v>
      </c>
      <c r="I33" s="21"/>
      <c r="J33" s="21"/>
      <c r="K33" s="25" t="s">
        <v>50</v>
      </c>
      <c r="L33" s="24" t="s">
        <v>152</v>
      </c>
      <c r="M33" s="11">
        <f t="shared" si="1"/>
        <v>1</v>
      </c>
      <c r="N33" s="21"/>
      <c r="O33" s="21"/>
      <c r="P33" s="21"/>
      <c r="Q33" s="21"/>
      <c r="R33" s="21"/>
      <c r="S33" s="21"/>
      <c r="T33" s="21"/>
      <c r="U33" s="21"/>
      <c r="V33" s="21"/>
      <c r="W33" s="24">
        <v>1.0</v>
      </c>
      <c r="X33" s="21"/>
      <c r="Y33" s="21"/>
      <c r="Z33" s="14">
        <f t="shared" si="2"/>
        <v>1</v>
      </c>
      <c r="AA33" s="15" t="s">
        <v>91</v>
      </c>
      <c r="AB33" s="14">
        <v>0.059495169633766776</v>
      </c>
    </row>
    <row r="34" ht="14.25" customHeight="1">
      <c r="A34" s="11" t="s">
        <v>186</v>
      </c>
      <c r="B34" s="11" t="s">
        <v>187</v>
      </c>
      <c r="C34" s="26" t="s">
        <v>188</v>
      </c>
      <c r="D34" s="11"/>
      <c r="E34" s="11"/>
      <c r="F34" s="27" t="s">
        <v>77</v>
      </c>
      <c r="G34" s="11" t="s">
        <v>48</v>
      </c>
      <c r="H34" s="28" t="s">
        <v>189</v>
      </c>
      <c r="I34" s="11"/>
      <c r="J34" s="11"/>
      <c r="K34" s="29" t="s">
        <v>58</v>
      </c>
      <c r="L34" s="12" t="s">
        <v>51</v>
      </c>
      <c r="M34" s="11">
        <f t="shared" si="1"/>
        <v>1</v>
      </c>
      <c r="N34" s="11"/>
      <c r="O34" s="11"/>
      <c r="P34" s="11"/>
      <c r="Q34" s="11"/>
      <c r="R34" s="11"/>
      <c r="S34" s="11"/>
      <c r="T34" s="11"/>
      <c r="U34" s="11"/>
      <c r="V34" s="18"/>
      <c r="W34" s="18">
        <v>1.0</v>
      </c>
      <c r="X34" s="11"/>
      <c r="Y34" s="11"/>
      <c r="Z34" s="14">
        <f t="shared" si="2"/>
        <v>1</v>
      </c>
      <c r="AA34" s="15" t="s">
        <v>33</v>
      </c>
      <c r="AB34" s="14">
        <v>0.06219044667977147</v>
      </c>
    </row>
    <row r="35" ht="14.25" customHeight="1">
      <c r="A35" s="11" t="s">
        <v>190</v>
      </c>
      <c r="B35" s="11" t="s">
        <v>169</v>
      </c>
      <c r="C35" s="43" t="s">
        <v>191</v>
      </c>
      <c r="D35" s="11"/>
      <c r="E35" s="11"/>
      <c r="F35" s="27" t="s">
        <v>171</v>
      </c>
      <c r="G35" s="11" t="s">
        <v>48</v>
      </c>
      <c r="H35" s="28" t="s">
        <v>192</v>
      </c>
      <c r="I35" s="11"/>
      <c r="J35" s="12"/>
      <c r="K35" s="29" t="s">
        <v>50</v>
      </c>
      <c r="L35" s="12" t="s">
        <v>51</v>
      </c>
      <c r="M35" s="11">
        <f t="shared" si="1"/>
        <v>1</v>
      </c>
      <c r="N35" s="18">
        <v>1.0</v>
      </c>
      <c r="O35" s="11"/>
      <c r="P35" s="11"/>
      <c r="Q35" s="12">
        <v>1.0</v>
      </c>
      <c r="R35" s="11"/>
      <c r="S35" s="11"/>
      <c r="T35" s="11"/>
      <c r="U35" s="11"/>
      <c r="V35" s="11"/>
      <c r="W35" s="11"/>
      <c r="X35" s="11"/>
      <c r="Y35" s="11"/>
      <c r="Z35" s="14">
        <f t="shared" si="2"/>
        <v>2</v>
      </c>
      <c r="AA35" s="15" t="s">
        <v>91</v>
      </c>
      <c r="AB35" s="14">
        <v>0.06495598523573431</v>
      </c>
    </row>
    <row r="36" ht="14.25" hidden="1" customHeight="1">
      <c r="A36" s="19" t="s">
        <v>193</v>
      </c>
      <c r="B36" s="19" t="s">
        <v>194</v>
      </c>
      <c r="C36" s="44" t="s">
        <v>195</v>
      </c>
      <c r="D36" s="21"/>
      <c r="E36" s="21"/>
      <c r="F36" s="21"/>
      <c r="G36" s="19" t="s">
        <v>196</v>
      </c>
      <c r="H36" s="21"/>
      <c r="I36" s="21"/>
      <c r="J36" s="21"/>
      <c r="K36" s="24" t="s">
        <v>89</v>
      </c>
      <c r="L36" s="24" t="s">
        <v>119</v>
      </c>
      <c r="M36" s="11">
        <f t="shared" si="1"/>
        <v>0</v>
      </c>
      <c r="N36" s="21"/>
      <c r="O36" s="21"/>
      <c r="P36" s="21"/>
      <c r="Q36" s="21"/>
      <c r="R36" s="21"/>
      <c r="S36" s="21"/>
      <c r="T36" s="21"/>
      <c r="U36" s="21"/>
      <c r="V36" s="21"/>
      <c r="W36" s="24">
        <v>1.0</v>
      </c>
      <c r="X36" s="21"/>
      <c r="Y36" s="21"/>
      <c r="Z36" s="14">
        <f t="shared" si="2"/>
        <v>1</v>
      </c>
      <c r="AA36" s="15" t="s">
        <v>91</v>
      </c>
    </row>
    <row r="37" ht="14.25" hidden="1" customHeight="1">
      <c r="A37" s="45" t="s">
        <v>197</v>
      </c>
      <c r="B37" s="45" t="s">
        <v>198</v>
      </c>
      <c r="C37" s="46" t="s">
        <v>199</v>
      </c>
      <c r="D37" s="45"/>
      <c r="E37" s="45"/>
      <c r="F37" s="45"/>
      <c r="G37" s="45" t="s">
        <v>48</v>
      </c>
      <c r="H37" s="45"/>
      <c r="I37" s="45"/>
      <c r="J37" s="45"/>
      <c r="K37" s="24" t="s">
        <v>89</v>
      </c>
      <c r="L37" s="24" t="s">
        <v>200</v>
      </c>
      <c r="M37" s="11">
        <f t="shared" si="1"/>
        <v>0</v>
      </c>
      <c r="N37" s="45"/>
      <c r="O37" s="45"/>
      <c r="P37" s="45">
        <v>1.0</v>
      </c>
      <c r="Q37" s="45"/>
      <c r="R37" s="45"/>
      <c r="S37" s="45"/>
      <c r="T37" s="45"/>
      <c r="U37" s="45"/>
      <c r="V37" s="45"/>
      <c r="W37" s="45"/>
      <c r="X37" s="45"/>
      <c r="Y37" s="45"/>
      <c r="Z37" s="14">
        <f t="shared" si="2"/>
        <v>1</v>
      </c>
      <c r="AA37" s="15" t="s">
        <v>91</v>
      </c>
    </row>
    <row r="38" ht="14.25" customHeight="1">
      <c r="A38" s="11" t="s">
        <v>201</v>
      </c>
      <c r="B38" s="11" t="s">
        <v>202</v>
      </c>
      <c r="C38" s="38" t="s">
        <v>203</v>
      </c>
      <c r="D38" s="11"/>
      <c r="E38" s="11"/>
      <c r="F38" s="27" t="s">
        <v>77</v>
      </c>
      <c r="G38" s="11" t="s">
        <v>204</v>
      </c>
      <c r="H38" s="28" t="s">
        <v>99</v>
      </c>
      <c r="I38" s="11"/>
      <c r="J38" s="12"/>
      <c r="K38" s="29" t="s">
        <v>50</v>
      </c>
      <c r="L38" s="11"/>
      <c r="M38" s="11">
        <f t="shared" si="1"/>
        <v>1</v>
      </c>
      <c r="N38" s="11"/>
      <c r="O38" s="18">
        <v>1.0</v>
      </c>
      <c r="P38" s="11"/>
      <c r="Q38" s="11"/>
      <c r="R38" s="11"/>
      <c r="S38" s="11"/>
      <c r="T38" s="11"/>
      <c r="U38" s="11"/>
      <c r="V38" s="11"/>
      <c r="W38" s="11"/>
      <c r="X38" s="11"/>
      <c r="Y38" s="11"/>
      <c r="Z38" s="14">
        <f t="shared" si="2"/>
        <v>1</v>
      </c>
      <c r="AA38" s="15" t="s">
        <v>106</v>
      </c>
      <c r="AB38" s="14">
        <v>0.06861025780809393</v>
      </c>
    </row>
    <row r="39" ht="14.25" customHeight="1">
      <c r="A39" s="12" t="s">
        <v>205</v>
      </c>
      <c r="B39" s="12" t="s">
        <v>206</v>
      </c>
      <c r="C39" s="38" t="s">
        <v>207</v>
      </c>
      <c r="D39" s="11"/>
      <c r="E39" s="11"/>
      <c r="F39" s="27" t="s">
        <v>37</v>
      </c>
      <c r="G39" s="11" t="s">
        <v>48</v>
      </c>
      <c r="H39" s="28" t="s">
        <v>208</v>
      </c>
      <c r="I39" s="11"/>
      <c r="J39" s="12"/>
      <c r="K39" s="29" t="s">
        <v>50</v>
      </c>
      <c r="L39" s="11"/>
      <c r="M39" s="11">
        <f t="shared" si="1"/>
        <v>1</v>
      </c>
      <c r="N39" s="18">
        <v>1.0</v>
      </c>
      <c r="O39" s="11"/>
      <c r="P39" s="11"/>
      <c r="Q39" s="11"/>
      <c r="R39" s="11"/>
      <c r="S39" s="12">
        <v>1.0</v>
      </c>
      <c r="T39" s="12"/>
      <c r="U39" s="12">
        <v>1.0</v>
      </c>
      <c r="V39" s="31">
        <v>1.0</v>
      </c>
      <c r="W39" s="18">
        <v>1.0</v>
      </c>
      <c r="X39" s="12">
        <v>1.0</v>
      </c>
      <c r="Y39" s="11"/>
      <c r="Z39" s="14">
        <f t="shared" si="2"/>
        <v>6</v>
      </c>
      <c r="AA39" s="15" t="s">
        <v>106</v>
      </c>
      <c r="AB39" s="14">
        <v>0.06924989948742555</v>
      </c>
    </row>
    <row r="40" ht="14.25" customHeight="1">
      <c r="A40" s="11" t="s">
        <v>209</v>
      </c>
      <c r="B40" s="11" t="s">
        <v>210</v>
      </c>
      <c r="C40" s="26" t="s">
        <v>211</v>
      </c>
      <c r="D40" s="11"/>
      <c r="E40" s="11"/>
      <c r="F40" s="27" t="s">
        <v>171</v>
      </c>
      <c r="G40" s="11" t="s">
        <v>38</v>
      </c>
      <c r="H40" s="28" t="s">
        <v>212</v>
      </c>
      <c r="I40" s="11"/>
      <c r="J40" s="11"/>
      <c r="K40" s="29" t="s">
        <v>50</v>
      </c>
      <c r="L40" s="12" t="s">
        <v>51</v>
      </c>
      <c r="M40" s="11">
        <f t="shared" si="1"/>
        <v>1</v>
      </c>
      <c r="N40" s="11"/>
      <c r="O40" s="11"/>
      <c r="P40" s="11"/>
      <c r="Q40" s="11"/>
      <c r="R40" s="11"/>
      <c r="S40" s="11"/>
      <c r="T40" s="11"/>
      <c r="U40" s="11"/>
      <c r="V40" s="18"/>
      <c r="W40" s="18">
        <v>1.0</v>
      </c>
      <c r="X40" s="11"/>
      <c r="Y40" s="11"/>
      <c r="Z40" s="14">
        <f t="shared" si="2"/>
        <v>1</v>
      </c>
      <c r="AA40" s="15" t="s">
        <v>52</v>
      </c>
      <c r="AB40" s="14">
        <v>0.07028362662112053</v>
      </c>
    </row>
    <row r="41" ht="14.25" hidden="1" customHeight="1">
      <c r="A41" s="47" t="s">
        <v>213</v>
      </c>
      <c r="B41" s="47" t="s">
        <v>214</v>
      </c>
      <c r="C41" s="48" t="s">
        <v>215</v>
      </c>
      <c r="D41" s="21"/>
      <c r="E41" s="21"/>
      <c r="F41" s="21"/>
      <c r="G41" s="19" t="s">
        <v>48</v>
      </c>
      <c r="H41" s="21"/>
      <c r="I41" s="21"/>
      <c r="J41" s="24"/>
      <c r="K41" s="24" t="s">
        <v>89</v>
      </c>
      <c r="L41" s="24" t="s">
        <v>43</v>
      </c>
      <c r="M41" s="11">
        <f t="shared" si="1"/>
        <v>0</v>
      </c>
      <c r="N41" s="21"/>
      <c r="O41" s="21"/>
      <c r="P41" s="21"/>
      <c r="Q41" s="21"/>
      <c r="R41" s="21"/>
      <c r="S41" s="21"/>
      <c r="T41" s="21"/>
      <c r="U41" s="21"/>
      <c r="V41" s="21"/>
      <c r="W41" s="24">
        <v>1.0</v>
      </c>
      <c r="X41" s="21"/>
      <c r="Y41" s="21"/>
      <c r="Z41" s="14">
        <f t="shared" si="2"/>
        <v>1</v>
      </c>
      <c r="AA41" s="15" t="s">
        <v>91</v>
      </c>
    </row>
    <row r="42" ht="14.25" customHeight="1">
      <c r="A42" s="11" t="s">
        <v>216</v>
      </c>
      <c r="B42" s="11" t="s">
        <v>217</v>
      </c>
      <c r="C42" s="26" t="s">
        <v>218</v>
      </c>
      <c r="D42" s="11"/>
      <c r="E42" s="11"/>
      <c r="F42" s="27" t="s">
        <v>56</v>
      </c>
      <c r="G42" s="11" t="s">
        <v>38</v>
      </c>
      <c r="H42" s="28" t="s">
        <v>219</v>
      </c>
      <c r="I42" s="11"/>
      <c r="J42" s="11"/>
      <c r="K42" s="29" t="s">
        <v>50</v>
      </c>
      <c r="L42" s="11"/>
      <c r="M42" s="11">
        <f t="shared" si="1"/>
        <v>1</v>
      </c>
      <c r="N42" s="11"/>
      <c r="O42" s="11"/>
      <c r="P42" s="11"/>
      <c r="Q42" s="11"/>
      <c r="R42" s="11"/>
      <c r="S42" s="11"/>
      <c r="T42" s="11"/>
      <c r="U42" s="11"/>
      <c r="V42" s="18"/>
      <c r="W42" s="18">
        <v>1.0</v>
      </c>
      <c r="X42" s="11"/>
      <c r="Y42" s="11"/>
      <c r="Z42" s="14">
        <f t="shared" si="2"/>
        <v>1</v>
      </c>
      <c r="AA42" s="15" t="s">
        <v>106</v>
      </c>
      <c r="AB42" s="14">
        <v>0.07133605501044049</v>
      </c>
    </row>
    <row r="43" ht="14.25" hidden="1" customHeight="1">
      <c r="A43" s="11" t="s">
        <v>220</v>
      </c>
      <c r="B43" s="11" t="s">
        <v>221</v>
      </c>
      <c r="C43" s="42" t="s">
        <v>222</v>
      </c>
      <c r="D43" s="11"/>
      <c r="E43" s="11"/>
      <c r="F43" s="11"/>
      <c r="G43" s="11" t="s">
        <v>48</v>
      </c>
      <c r="H43" s="11"/>
      <c r="I43" s="11"/>
      <c r="J43" s="11"/>
      <c r="K43" s="12" t="s">
        <v>89</v>
      </c>
      <c r="L43" s="12" t="s">
        <v>43</v>
      </c>
      <c r="M43" s="11">
        <f t="shared" si="1"/>
        <v>0</v>
      </c>
      <c r="N43" s="11"/>
      <c r="O43" s="11"/>
      <c r="P43" s="11"/>
      <c r="Q43" s="11"/>
      <c r="R43" s="11"/>
      <c r="S43" s="12">
        <v>1.0</v>
      </c>
      <c r="T43" s="12"/>
      <c r="U43" s="12"/>
      <c r="V43" s="18"/>
      <c r="W43" s="18">
        <v>1.0</v>
      </c>
      <c r="X43" s="11"/>
      <c r="Y43" s="11"/>
      <c r="Z43" s="14">
        <f t="shared" si="2"/>
        <v>2</v>
      </c>
      <c r="AA43" s="15" t="s">
        <v>91</v>
      </c>
    </row>
    <row r="44" ht="14.25" customHeight="1">
      <c r="A44" s="19" t="s">
        <v>223</v>
      </c>
      <c r="B44" s="19" t="s">
        <v>117</v>
      </c>
      <c r="C44" s="20" t="s">
        <v>224</v>
      </c>
      <c r="D44" s="21"/>
      <c r="E44" s="21"/>
      <c r="F44" s="27" t="s">
        <v>171</v>
      </c>
      <c r="G44" s="19" t="s">
        <v>48</v>
      </c>
      <c r="H44" s="28" t="s">
        <v>225</v>
      </c>
      <c r="I44" s="21"/>
      <c r="J44" s="21"/>
      <c r="K44" s="25" t="s">
        <v>50</v>
      </c>
      <c r="L44" s="24" t="s">
        <v>51</v>
      </c>
      <c r="M44" s="11">
        <f t="shared" si="1"/>
        <v>1</v>
      </c>
      <c r="N44" s="21"/>
      <c r="O44" s="21"/>
      <c r="P44" s="21"/>
      <c r="Q44" s="21"/>
      <c r="R44" s="21"/>
      <c r="S44" s="21"/>
      <c r="T44" s="21"/>
      <c r="U44" s="21"/>
      <c r="V44" s="21"/>
      <c r="W44" s="24">
        <v>1.0</v>
      </c>
      <c r="X44" s="21"/>
      <c r="Y44" s="21"/>
      <c r="Z44" s="14">
        <f t="shared" si="2"/>
        <v>1</v>
      </c>
      <c r="AA44" s="15" t="s">
        <v>91</v>
      </c>
      <c r="AB44" s="14">
        <v>0.07312177450034263</v>
      </c>
    </row>
    <row r="45" ht="14.25" customHeight="1">
      <c r="A45" s="19" t="s">
        <v>226</v>
      </c>
      <c r="B45" s="19" t="s">
        <v>227</v>
      </c>
      <c r="C45" s="33" t="s">
        <v>228</v>
      </c>
      <c r="D45" s="21"/>
      <c r="E45" s="21"/>
      <c r="F45" s="27" t="s">
        <v>103</v>
      </c>
      <c r="G45" s="19" t="s">
        <v>83</v>
      </c>
      <c r="H45" s="23" t="s">
        <v>229</v>
      </c>
      <c r="I45" s="21"/>
      <c r="J45" s="21"/>
      <c r="K45" s="25" t="s">
        <v>50</v>
      </c>
      <c r="L45" s="24" t="s">
        <v>152</v>
      </c>
      <c r="M45" s="11">
        <f t="shared" si="1"/>
        <v>1</v>
      </c>
      <c r="N45" s="21"/>
      <c r="O45" s="21"/>
      <c r="P45" s="21"/>
      <c r="Q45" s="21"/>
      <c r="R45" s="21"/>
      <c r="S45" s="21"/>
      <c r="T45" s="21"/>
      <c r="U45" s="21"/>
      <c r="V45" s="21"/>
      <c r="W45" s="24">
        <v>1.0</v>
      </c>
      <c r="X45" s="21"/>
      <c r="Y45" s="21"/>
      <c r="Z45" s="14">
        <f t="shared" si="2"/>
        <v>1</v>
      </c>
      <c r="AA45" s="15" t="s">
        <v>91</v>
      </c>
      <c r="AB45" s="14">
        <v>0.07372055570216485</v>
      </c>
    </row>
    <row r="46" ht="14.25" customHeight="1">
      <c r="A46" s="11" t="s">
        <v>230</v>
      </c>
      <c r="B46" s="11" t="s">
        <v>231</v>
      </c>
      <c r="C46" s="49" t="s">
        <v>232</v>
      </c>
      <c r="D46" s="11"/>
      <c r="E46" s="11"/>
      <c r="F46" s="27" t="s">
        <v>140</v>
      </c>
      <c r="G46" s="11" t="s">
        <v>233</v>
      </c>
      <c r="H46" s="28" t="s">
        <v>234</v>
      </c>
      <c r="I46" s="11"/>
      <c r="J46" s="11"/>
      <c r="K46" s="29" t="s">
        <v>50</v>
      </c>
      <c r="L46" s="12" t="s">
        <v>235</v>
      </c>
      <c r="M46" s="11">
        <f t="shared" si="1"/>
        <v>1</v>
      </c>
      <c r="N46" s="11"/>
      <c r="O46" s="11"/>
      <c r="P46" s="11">
        <v>1.0</v>
      </c>
      <c r="Q46" s="11"/>
      <c r="R46" s="11"/>
      <c r="S46" s="11"/>
      <c r="T46" s="11"/>
      <c r="U46" s="11"/>
      <c r="V46" s="18"/>
      <c r="W46" s="18"/>
      <c r="X46" s="11"/>
      <c r="Y46" s="11"/>
      <c r="Z46" s="14">
        <f t="shared" si="2"/>
        <v>1</v>
      </c>
      <c r="AA46" s="15" t="s">
        <v>52</v>
      </c>
      <c r="AB46" s="14">
        <v>0.07438782901216123</v>
      </c>
    </row>
    <row r="47" ht="14.25" customHeight="1">
      <c r="A47" s="11" t="s">
        <v>236</v>
      </c>
      <c r="B47" s="11" t="s">
        <v>237</v>
      </c>
      <c r="C47" s="43" t="s">
        <v>238</v>
      </c>
      <c r="D47" s="12" t="s">
        <v>29</v>
      </c>
      <c r="E47" s="12" t="s">
        <v>29</v>
      </c>
      <c r="F47" s="27" t="s">
        <v>95</v>
      </c>
      <c r="G47" s="11" t="s">
        <v>48</v>
      </c>
      <c r="H47" s="28" t="s">
        <v>239</v>
      </c>
      <c r="I47" s="12" t="s">
        <v>240</v>
      </c>
      <c r="J47" s="11"/>
      <c r="K47" s="29" t="s">
        <v>50</v>
      </c>
      <c r="L47" s="11"/>
      <c r="M47" s="11">
        <f t="shared" si="1"/>
        <v>1</v>
      </c>
      <c r="N47" s="18">
        <v>1.0</v>
      </c>
      <c r="O47" s="18">
        <v>1.0</v>
      </c>
      <c r="P47" s="11"/>
      <c r="Q47" s="12">
        <v>1.0</v>
      </c>
      <c r="R47" s="11"/>
      <c r="S47" s="12">
        <v>1.0</v>
      </c>
      <c r="T47" s="12">
        <v>1.0</v>
      </c>
      <c r="U47" s="12"/>
      <c r="V47" s="31">
        <v>1.0</v>
      </c>
      <c r="W47" s="18">
        <v>1.0</v>
      </c>
      <c r="X47" s="12">
        <v>1.0</v>
      </c>
      <c r="Y47" s="11"/>
      <c r="Z47" s="14">
        <f t="shared" si="2"/>
        <v>8</v>
      </c>
      <c r="AA47" s="15" t="s">
        <v>106</v>
      </c>
      <c r="AB47" s="14">
        <v>0.0761222766405183</v>
      </c>
    </row>
    <row r="48" ht="14.25" customHeight="1">
      <c r="A48" s="12" t="s">
        <v>241</v>
      </c>
      <c r="B48" s="12" t="s">
        <v>242</v>
      </c>
      <c r="C48" s="38" t="s">
        <v>243</v>
      </c>
      <c r="D48" s="11"/>
      <c r="E48" s="11"/>
      <c r="F48" s="27" t="s">
        <v>140</v>
      </c>
      <c r="G48" s="19" t="s">
        <v>48</v>
      </c>
      <c r="H48" s="28" t="s">
        <v>244</v>
      </c>
      <c r="I48" s="11"/>
      <c r="J48" s="12"/>
      <c r="K48" s="29" t="s">
        <v>50</v>
      </c>
      <c r="L48" s="12" t="s">
        <v>105</v>
      </c>
      <c r="M48" s="11">
        <f t="shared" si="1"/>
        <v>1</v>
      </c>
      <c r="N48" s="11"/>
      <c r="O48" s="11"/>
      <c r="P48" s="11"/>
      <c r="Q48" s="11"/>
      <c r="R48" s="11"/>
      <c r="S48" s="11"/>
      <c r="T48" s="11"/>
      <c r="U48" s="11"/>
      <c r="V48" s="31">
        <v>1.0</v>
      </c>
      <c r="W48" s="18"/>
      <c r="X48" s="11"/>
      <c r="Y48" s="11"/>
      <c r="Z48" s="14">
        <f t="shared" si="2"/>
        <v>1</v>
      </c>
      <c r="AA48" s="15" t="s">
        <v>106</v>
      </c>
      <c r="AB48" s="14">
        <v>0.08232458613834226</v>
      </c>
    </row>
    <row r="49" ht="14.25" customHeight="1">
      <c r="A49" s="19" t="s">
        <v>245</v>
      </c>
      <c r="B49" s="19" t="s">
        <v>242</v>
      </c>
      <c r="C49" s="20" t="s">
        <v>246</v>
      </c>
      <c r="D49" s="21"/>
      <c r="E49" s="21"/>
      <c r="F49" s="27" t="s">
        <v>140</v>
      </c>
      <c r="G49" s="19" t="s">
        <v>48</v>
      </c>
      <c r="H49" s="23" t="s">
        <v>247</v>
      </c>
      <c r="I49" s="21"/>
      <c r="J49" s="24"/>
      <c r="K49" s="25" t="s">
        <v>50</v>
      </c>
      <c r="L49" s="24" t="s">
        <v>248</v>
      </c>
      <c r="M49" s="11">
        <f t="shared" si="1"/>
        <v>1</v>
      </c>
      <c r="N49" s="21"/>
      <c r="O49" s="21"/>
      <c r="P49" s="21"/>
      <c r="Q49" s="21"/>
      <c r="R49" s="21"/>
      <c r="S49" s="21"/>
      <c r="T49" s="21"/>
      <c r="U49" s="21"/>
      <c r="V49" s="21"/>
      <c r="W49" s="24">
        <v>1.0</v>
      </c>
      <c r="X49" s="21"/>
      <c r="Y49" s="21"/>
      <c r="Z49" s="14">
        <f t="shared" si="2"/>
        <v>1</v>
      </c>
      <c r="AA49" s="15" t="s">
        <v>106</v>
      </c>
      <c r="AB49" s="14">
        <v>0.08275148320290493</v>
      </c>
    </row>
    <row r="50" ht="14.25" hidden="1" customHeight="1">
      <c r="A50" s="11" t="s">
        <v>249</v>
      </c>
      <c r="B50" s="11" t="s">
        <v>250</v>
      </c>
      <c r="C50" s="42" t="s">
        <v>251</v>
      </c>
      <c r="D50" s="11"/>
      <c r="E50" s="11"/>
      <c r="F50" s="11"/>
      <c r="G50" s="11" t="s">
        <v>38</v>
      </c>
      <c r="H50" s="11"/>
      <c r="I50" s="11"/>
      <c r="J50" s="11"/>
      <c r="K50" s="12" t="s">
        <v>89</v>
      </c>
      <c r="L50" s="12" t="s">
        <v>252</v>
      </c>
      <c r="M50" s="11">
        <f t="shared" si="1"/>
        <v>0</v>
      </c>
      <c r="N50" s="11"/>
      <c r="O50" s="11"/>
      <c r="P50" s="11"/>
      <c r="Q50" s="11"/>
      <c r="R50" s="11"/>
      <c r="S50" s="11"/>
      <c r="T50" s="11"/>
      <c r="U50" s="11"/>
      <c r="V50" s="18"/>
      <c r="W50" s="18">
        <v>1.0</v>
      </c>
      <c r="X50" s="11"/>
      <c r="Y50" s="11"/>
      <c r="Z50" s="14">
        <f t="shared" si="2"/>
        <v>1</v>
      </c>
      <c r="AA50" s="15" t="s">
        <v>106</v>
      </c>
    </row>
    <row r="51" ht="14.25" hidden="1" customHeight="1">
      <c r="A51" s="50" t="s">
        <v>253</v>
      </c>
      <c r="B51" s="11" t="s">
        <v>254</v>
      </c>
      <c r="C51" s="51" t="s">
        <v>255</v>
      </c>
      <c r="D51" s="11"/>
      <c r="E51" s="11"/>
      <c r="F51" s="11"/>
      <c r="G51" s="12" t="s">
        <v>48</v>
      </c>
      <c r="H51" s="11"/>
      <c r="I51" s="11"/>
      <c r="J51" s="12"/>
      <c r="K51" s="12" t="s">
        <v>89</v>
      </c>
      <c r="L51" s="12" t="s">
        <v>252</v>
      </c>
      <c r="M51" s="11">
        <f t="shared" si="1"/>
        <v>0</v>
      </c>
      <c r="N51" s="18"/>
      <c r="O51" s="11"/>
      <c r="P51" s="11"/>
      <c r="Q51" s="11"/>
      <c r="R51" s="11"/>
      <c r="S51" s="11"/>
      <c r="T51" s="11"/>
      <c r="U51" s="11"/>
      <c r="V51" s="12">
        <v>1.0</v>
      </c>
      <c r="W51" s="11"/>
      <c r="X51" s="11"/>
      <c r="Y51" s="11"/>
      <c r="Z51" s="14">
        <f t="shared" si="2"/>
        <v>1</v>
      </c>
      <c r="AA51" s="15" t="s">
        <v>106</v>
      </c>
    </row>
    <row r="52" ht="14.25" hidden="1" customHeight="1">
      <c r="A52" s="12" t="s">
        <v>256</v>
      </c>
      <c r="B52" s="11" t="s">
        <v>254</v>
      </c>
      <c r="C52" s="30" t="s">
        <v>257</v>
      </c>
      <c r="D52" s="11"/>
      <c r="E52" s="11"/>
      <c r="F52" s="11"/>
      <c r="G52" s="12" t="s">
        <v>48</v>
      </c>
      <c r="H52" s="11"/>
      <c r="I52" s="11"/>
      <c r="J52" s="12"/>
      <c r="K52" s="12" t="s">
        <v>89</v>
      </c>
      <c r="L52" s="12" t="s">
        <v>252</v>
      </c>
      <c r="M52" s="11">
        <f t="shared" si="1"/>
        <v>0</v>
      </c>
      <c r="N52" s="11"/>
      <c r="O52" s="11"/>
      <c r="P52" s="11"/>
      <c r="Q52" s="11"/>
      <c r="R52" s="11"/>
      <c r="S52" s="11"/>
      <c r="T52" s="11"/>
      <c r="U52" s="12">
        <v>1.0</v>
      </c>
      <c r="V52" s="18"/>
      <c r="W52" s="18"/>
      <c r="X52" s="11"/>
      <c r="Y52" s="11"/>
      <c r="Z52" s="14">
        <f t="shared" si="2"/>
        <v>1</v>
      </c>
      <c r="AA52" s="15" t="s">
        <v>106</v>
      </c>
    </row>
    <row r="53" ht="14.25" customHeight="1">
      <c r="A53" s="11" t="s">
        <v>258</v>
      </c>
      <c r="B53" s="11" t="s">
        <v>259</v>
      </c>
      <c r="C53" s="37" t="s">
        <v>260</v>
      </c>
      <c r="D53" s="11"/>
      <c r="E53" s="11"/>
      <c r="F53" s="27" t="s">
        <v>171</v>
      </c>
      <c r="G53" s="11" t="s">
        <v>132</v>
      </c>
      <c r="H53" s="23" t="s">
        <v>104</v>
      </c>
      <c r="I53" s="11"/>
      <c r="J53" s="11"/>
      <c r="K53" s="29" t="s">
        <v>50</v>
      </c>
      <c r="L53" s="12" t="s">
        <v>111</v>
      </c>
      <c r="M53" s="11">
        <f t="shared" si="1"/>
        <v>1</v>
      </c>
      <c r="N53" s="11"/>
      <c r="O53" s="11"/>
      <c r="P53" s="11"/>
      <c r="Q53" s="11"/>
      <c r="R53" s="11"/>
      <c r="S53" s="11"/>
      <c r="T53" s="11"/>
      <c r="U53" s="11"/>
      <c r="V53" s="18"/>
      <c r="W53" s="18">
        <v>1.0</v>
      </c>
      <c r="X53" s="11"/>
      <c r="Y53" s="11"/>
      <c r="Z53" s="14">
        <f t="shared" si="2"/>
        <v>1</v>
      </c>
      <c r="AA53" s="15" t="s">
        <v>52</v>
      </c>
      <c r="AB53" s="14">
        <v>0.08365285019425839</v>
      </c>
    </row>
    <row r="54" ht="14.25" customHeight="1">
      <c r="A54" s="11" t="s">
        <v>261</v>
      </c>
      <c r="B54" s="12" t="s">
        <v>262</v>
      </c>
      <c r="C54" s="33" t="s">
        <v>263</v>
      </c>
      <c r="D54" s="11"/>
      <c r="E54" s="11"/>
      <c r="F54" s="27" t="s">
        <v>77</v>
      </c>
      <c r="G54" s="12" t="s">
        <v>264</v>
      </c>
      <c r="H54" s="28" t="s">
        <v>265</v>
      </c>
      <c r="I54" s="11"/>
      <c r="J54" s="11"/>
      <c r="K54" s="29" t="s">
        <v>50</v>
      </c>
      <c r="L54" s="12" t="s">
        <v>65</v>
      </c>
      <c r="M54" s="11">
        <f t="shared" si="1"/>
        <v>1</v>
      </c>
      <c r="N54" s="11"/>
      <c r="O54" s="11"/>
      <c r="P54" s="11"/>
      <c r="Q54" s="11"/>
      <c r="R54" s="11"/>
      <c r="S54" s="12">
        <v>1.0</v>
      </c>
      <c r="T54" s="12"/>
      <c r="U54" s="12"/>
      <c r="V54" s="18"/>
      <c r="W54" s="18"/>
      <c r="X54" s="11"/>
      <c r="Y54" s="11"/>
      <c r="Z54" s="14">
        <f t="shared" si="2"/>
        <v>1</v>
      </c>
      <c r="AA54" s="15" t="s">
        <v>52</v>
      </c>
      <c r="AB54" s="14">
        <v>0.08886826600639275</v>
      </c>
    </row>
    <row r="55" ht="14.25" hidden="1" customHeight="1">
      <c r="A55" s="11" t="s">
        <v>266</v>
      </c>
      <c r="B55" s="11" t="s">
        <v>254</v>
      </c>
      <c r="C55" s="30" t="s">
        <v>267</v>
      </c>
      <c r="D55" s="11"/>
      <c r="E55" s="11"/>
      <c r="F55" s="11"/>
      <c r="G55" s="12" t="s">
        <v>48</v>
      </c>
      <c r="H55" s="11"/>
      <c r="I55" s="11"/>
      <c r="J55" s="12"/>
      <c r="K55" s="12" t="s">
        <v>89</v>
      </c>
      <c r="L55" s="12" t="s">
        <v>252</v>
      </c>
      <c r="M55" s="11">
        <f t="shared" si="1"/>
        <v>0</v>
      </c>
      <c r="N55" s="11"/>
      <c r="O55" s="11"/>
      <c r="P55" s="11"/>
      <c r="Q55" s="11"/>
      <c r="R55" s="11"/>
      <c r="S55" s="11"/>
      <c r="T55" s="11"/>
      <c r="U55" s="12">
        <v>1.0</v>
      </c>
      <c r="V55" s="18"/>
      <c r="W55" s="18"/>
      <c r="X55" s="11"/>
      <c r="Y55" s="11"/>
      <c r="Z55" s="14">
        <f t="shared" si="2"/>
        <v>1</v>
      </c>
      <c r="AA55" s="15" t="s">
        <v>106</v>
      </c>
    </row>
    <row r="56" ht="14.25" hidden="1" customHeight="1">
      <c r="A56" s="11" t="s">
        <v>268</v>
      </c>
      <c r="B56" s="11" t="s">
        <v>269</v>
      </c>
      <c r="C56" s="16" t="s">
        <v>270</v>
      </c>
      <c r="D56" s="11"/>
      <c r="E56" s="11"/>
      <c r="F56" s="11"/>
      <c r="G56" s="12" t="s">
        <v>48</v>
      </c>
      <c r="H56" s="11"/>
      <c r="I56" s="11"/>
      <c r="J56" s="11"/>
      <c r="K56" s="12" t="s">
        <v>89</v>
      </c>
      <c r="L56" s="12" t="s">
        <v>252</v>
      </c>
      <c r="M56" s="11">
        <f t="shared" si="1"/>
        <v>0</v>
      </c>
      <c r="N56" s="11"/>
      <c r="O56" s="11"/>
      <c r="P56" s="18"/>
      <c r="Q56" s="18"/>
      <c r="R56" s="18"/>
      <c r="S56" s="18"/>
      <c r="T56" s="18"/>
      <c r="U56" s="18"/>
      <c r="V56" s="11"/>
      <c r="W56" s="11"/>
      <c r="X56" s="18"/>
      <c r="Y56" s="18">
        <v>1.0</v>
      </c>
      <c r="Z56" s="14">
        <f t="shared" si="2"/>
        <v>1</v>
      </c>
      <c r="AA56" s="15" t="s">
        <v>106</v>
      </c>
    </row>
    <row r="57" ht="14.25" customHeight="1">
      <c r="A57" s="19" t="s">
        <v>271</v>
      </c>
      <c r="B57" s="19" t="s">
        <v>272</v>
      </c>
      <c r="C57" s="33" t="s">
        <v>273</v>
      </c>
      <c r="D57" s="21"/>
      <c r="E57" s="21"/>
      <c r="F57" s="27" t="s">
        <v>56</v>
      </c>
      <c r="G57" s="19" t="s">
        <v>83</v>
      </c>
      <c r="H57" s="23" t="s">
        <v>64</v>
      </c>
      <c r="I57" s="21"/>
      <c r="J57" s="24"/>
      <c r="K57" s="25" t="s">
        <v>50</v>
      </c>
      <c r="L57" s="24" t="s">
        <v>51</v>
      </c>
      <c r="M57" s="11">
        <f t="shared" si="1"/>
        <v>1</v>
      </c>
      <c r="N57" s="21"/>
      <c r="O57" s="21"/>
      <c r="P57" s="21"/>
      <c r="Q57" s="21"/>
      <c r="R57" s="21"/>
      <c r="S57" s="21"/>
      <c r="T57" s="21"/>
      <c r="U57" s="21"/>
      <c r="V57" s="21"/>
      <c r="W57" s="24">
        <v>1.0</v>
      </c>
      <c r="X57" s="21"/>
      <c r="Y57" s="21"/>
      <c r="Z57" s="14">
        <f t="shared" si="2"/>
        <v>1</v>
      </c>
      <c r="AA57" s="15" t="s">
        <v>91</v>
      </c>
      <c r="AB57" s="14">
        <v>0.08890635632906974</v>
      </c>
    </row>
    <row r="58" ht="14.25" hidden="1" customHeight="1">
      <c r="A58" s="19" t="s">
        <v>274</v>
      </c>
      <c r="B58" s="19" t="s">
        <v>275</v>
      </c>
      <c r="C58" s="40" t="s">
        <v>276</v>
      </c>
      <c r="D58" s="21"/>
      <c r="E58" s="21"/>
      <c r="F58" s="21"/>
      <c r="G58" s="19" t="s">
        <v>48</v>
      </c>
      <c r="H58" s="21"/>
      <c r="I58" s="21"/>
      <c r="J58" s="24"/>
      <c r="K58" s="24" t="s">
        <v>89</v>
      </c>
      <c r="L58" s="24" t="s">
        <v>43</v>
      </c>
      <c r="M58" s="11">
        <f t="shared" si="1"/>
        <v>0</v>
      </c>
      <c r="N58" s="21"/>
      <c r="O58" s="21"/>
      <c r="P58" s="21"/>
      <c r="Q58" s="21"/>
      <c r="R58" s="21"/>
      <c r="S58" s="21"/>
      <c r="T58" s="21"/>
      <c r="U58" s="21"/>
      <c r="V58" s="21"/>
      <c r="W58" s="24">
        <v>1.0</v>
      </c>
      <c r="X58" s="21"/>
      <c r="Y58" s="21"/>
      <c r="Z58" s="14">
        <f t="shared" si="2"/>
        <v>1</v>
      </c>
      <c r="AA58" s="15" t="s">
        <v>106</v>
      </c>
    </row>
    <row r="59" ht="14.25" customHeight="1">
      <c r="A59" s="11" t="s">
        <v>277</v>
      </c>
      <c r="B59" s="11" t="s">
        <v>278</v>
      </c>
      <c r="C59" s="26" t="s">
        <v>279</v>
      </c>
      <c r="D59" s="11"/>
      <c r="E59" s="11"/>
      <c r="F59" s="27" t="s">
        <v>171</v>
      </c>
      <c r="G59" s="11" t="s">
        <v>63</v>
      </c>
      <c r="H59" s="28" t="s">
        <v>280</v>
      </c>
      <c r="I59" s="11"/>
      <c r="J59" s="11"/>
      <c r="K59" s="29" t="s">
        <v>50</v>
      </c>
      <c r="L59" s="12" t="s">
        <v>51</v>
      </c>
      <c r="M59" s="11">
        <f t="shared" si="1"/>
        <v>1</v>
      </c>
      <c r="N59" s="11"/>
      <c r="O59" s="11"/>
      <c r="P59" s="11"/>
      <c r="Q59" s="11"/>
      <c r="R59" s="11"/>
      <c r="S59" s="11"/>
      <c r="T59" s="11"/>
      <c r="U59" s="11"/>
      <c r="V59" s="18"/>
      <c r="W59" s="18">
        <v>1.0</v>
      </c>
      <c r="X59" s="11"/>
      <c r="Y59" s="11"/>
      <c r="Z59" s="14">
        <f t="shared" si="2"/>
        <v>1</v>
      </c>
      <c r="AA59" s="15" t="s">
        <v>106</v>
      </c>
      <c r="AB59" s="14">
        <v>0.09141856892166411</v>
      </c>
    </row>
    <row r="60" ht="14.25" hidden="1" customHeight="1">
      <c r="A60" s="11" t="s">
        <v>281</v>
      </c>
      <c r="B60" s="11" t="s">
        <v>282</v>
      </c>
      <c r="C60" s="16" t="s">
        <v>283</v>
      </c>
      <c r="D60" s="11"/>
      <c r="E60" s="11"/>
      <c r="F60" s="11"/>
      <c r="G60" s="11" t="s">
        <v>284</v>
      </c>
      <c r="H60" s="11"/>
      <c r="I60" s="11"/>
      <c r="J60" s="11"/>
      <c r="K60" s="12" t="s">
        <v>89</v>
      </c>
      <c r="L60" s="12" t="s">
        <v>43</v>
      </c>
      <c r="M60" s="11">
        <f t="shared" si="1"/>
        <v>0</v>
      </c>
      <c r="N60" s="11"/>
      <c r="O60" s="11"/>
      <c r="P60" s="11"/>
      <c r="Q60" s="11"/>
      <c r="R60" s="11"/>
      <c r="S60" s="11"/>
      <c r="T60" s="11"/>
      <c r="U60" s="11"/>
      <c r="V60" s="18"/>
      <c r="W60" s="31">
        <v>0.0</v>
      </c>
      <c r="X60" s="11"/>
      <c r="Y60" s="11"/>
      <c r="Z60" s="14">
        <f t="shared" si="2"/>
        <v>0</v>
      </c>
      <c r="AA60" s="15" t="s">
        <v>106</v>
      </c>
    </row>
    <row r="61" ht="14.25" customHeight="1">
      <c r="A61" s="11" t="s">
        <v>285</v>
      </c>
      <c r="B61" s="11" t="s">
        <v>286</v>
      </c>
      <c r="C61" s="38" t="s">
        <v>287</v>
      </c>
      <c r="D61" s="11"/>
      <c r="E61" s="11"/>
      <c r="F61" s="27" t="s">
        <v>77</v>
      </c>
      <c r="G61" s="11" t="s">
        <v>68</v>
      </c>
      <c r="H61" s="28" t="s">
        <v>99</v>
      </c>
      <c r="I61" s="11"/>
      <c r="J61" s="11"/>
      <c r="K61" s="29" t="s">
        <v>58</v>
      </c>
      <c r="L61" s="12" t="s">
        <v>288</v>
      </c>
      <c r="M61" s="11">
        <f t="shared" si="1"/>
        <v>1</v>
      </c>
      <c r="N61" s="11"/>
      <c r="O61" s="18">
        <v>1.0</v>
      </c>
      <c r="P61" s="11"/>
      <c r="Q61" s="11"/>
      <c r="R61" s="11"/>
      <c r="S61" s="12">
        <v>1.0</v>
      </c>
      <c r="T61" s="12"/>
      <c r="U61" s="12"/>
      <c r="V61" s="31">
        <v>1.0</v>
      </c>
      <c r="W61" s="18">
        <v>1.0</v>
      </c>
      <c r="X61" s="11"/>
      <c r="Y61" s="11"/>
      <c r="Z61" s="14">
        <f t="shared" si="2"/>
        <v>4</v>
      </c>
      <c r="AA61" s="15" t="s">
        <v>33</v>
      </c>
      <c r="AB61" s="14">
        <v>0.0921052852883818</v>
      </c>
    </row>
    <row r="62" ht="14.25" hidden="1" customHeight="1">
      <c r="A62" s="11" t="s">
        <v>289</v>
      </c>
      <c r="B62" s="11" t="s">
        <v>290</v>
      </c>
      <c r="C62" s="42" t="s">
        <v>291</v>
      </c>
      <c r="D62" s="11"/>
      <c r="E62" s="11"/>
      <c r="F62" s="11"/>
      <c r="G62" s="11" t="s">
        <v>292</v>
      </c>
      <c r="H62" s="11"/>
      <c r="I62" s="11"/>
      <c r="J62" s="11"/>
      <c r="K62" s="11" t="s">
        <v>31</v>
      </c>
      <c r="L62" s="12" t="s">
        <v>43</v>
      </c>
      <c r="M62" s="11">
        <f t="shared" si="1"/>
        <v>0</v>
      </c>
      <c r="N62" s="11"/>
      <c r="O62" s="11"/>
      <c r="P62" s="11"/>
      <c r="Q62" s="11"/>
      <c r="R62" s="11"/>
      <c r="S62" s="11"/>
      <c r="T62" s="11"/>
      <c r="U62" s="11"/>
      <c r="V62" s="18"/>
      <c r="W62" s="18">
        <v>1.0</v>
      </c>
      <c r="X62" s="11"/>
      <c r="Y62" s="11"/>
      <c r="Z62" s="14">
        <f t="shared" si="2"/>
        <v>1</v>
      </c>
      <c r="AA62" s="15" t="s">
        <v>106</v>
      </c>
    </row>
    <row r="63" ht="14.25" hidden="1" customHeight="1">
      <c r="A63" s="11" t="s">
        <v>293</v>
      </c>
      <c r="B63" s="11" t="s">
        <v>290</v>
      </c>
      <c r="C63" s="30" t="s">
        <v>294</v>
      </c>
      <c r="D63" s="11"/>
      <c r="E63" s="11"/>
      <c r="F63" s="11"/>
      <c r="G63" s="11" t="s">
        <v>292</v>
      </c>
      <c r="H63" s="11"/>
      <c r="I63" s="11"/>
      <c r="J63" s="11"/>
      <c r="K63" s="12" t="s">
        <v>89</v>
      </c>
      <c r="L63" s="12" t="s">
        <v>295</v>
      </c>
      <c r="M63" s="11">
        <f t="shared" si="1"/>
        <v>0</v>
      </c>
      <c r="N63" s="11"/>
      <c r="O63" s="11"/>
      <c r="P63" s="11"/>
      <c r="Q63" s="11"/>
      <c r="R63" s="11"/>
      <c r="S63" s="11"/>
      <c r="T63" s="11"/>
      <c r="U63" s="11"/>
      <c r="V63" s="18"/>
      <c r="W63" s="18">
        <v>1.0</v>
      </c>
      <c r="X63" s="11"/>
      <c r="Y63" s="11"/>
      <c r="Z63" s="14">
        <f t="shared" si="2"/>
        <v>1</v>
      </c>
      <c r="AA63" s="15" t="s">
        <v>106</v>
      </c>
    </row>
    <row r="64" ht="14.25" customHeight="1">
      <c r="A64" s="11" t="s">
        <v>296</v>
      </c>
      <c r="B64" s="11" t="s">
        <v>297</v>
      </c>
      <c r="C64" s="37" t="s">
        <v>298</v>
      </c>
      <c r="D64" s="12" t="s">
        <v>299</v>
      </c>
      <c r="E64" s="11"/>
      <c r="F64" s="27" t="s">
        <v>140</v>
      </c>
      <c r="G64" s="11" t="s">
        <v>78</v>
      </c>
      <c r="H64" s="28" t="s">
        <v>99</v>
      </c>
      <c r="I64" s="11"/>
      <c r="J64" s="12"/>
      <c r="K64" s="29" t="s">
        <v>50</v>
      </c>
      <c r="L64" s="12" t="s">
        <v>235</v>
      </c>
      <c r="M64" s="11">
        <f t="shared" si="1"/>
        <v>1</v>
      </c>
      <c r="N64" s="12">
        <v>1.0</v>
      </c>
      <c r="O64" s="11"/>
      <c r="P64" s="11"/>
      <c r="Q64" s="11"/>
      <c r="R64" s="11"/>
      <c r="S64" s="11"/>
      <c r="T64" s="11"/>
      <c r="U64" s="11"/>
      <c r="V64" s="31">
        <v>1.0</v>
      </c>
      <c r="W64" s="18">
        <v>1.0</v>
      </c>
      <c r="X64" s="12">
        <v>1.0</v>
      </c>
      <c r="Y64" s="11"/>
      <c r="Z64" s="14">
        <f t="shared" si="2"/>
        <v>4</v>
      </c>
      <c r="AA64" s="15" t="s">
        <v>52</v>
      </c>
      <c r="AB64" s="14">
        <v>0.0936650091057396</v>
      </c>
    </row>
    <row r="65" ht="14.25" hidden="1" customHeight="1">
      <c r="A65" s="12" t="s">
        <v>300</v>
      </c>
      <c r="B65" s="12" t="s">
        <v>301</v>
      </c>
      <c r="C65" s="30" t="s">
        <v>302</v>
      </c>
      <c r="D65" s="11"/>
      <c r="E65" s="11"/>
      <c r="F65" s="11"/>
      <c r="G65" s="12" t="s">
        <v>48</v>
      </c>
      <c r="H65" s="11"/>
      <c r="I65" s="11"/>
      <c r="J65" s="12"/>
      <c r="K65" s="12" t="s">
        <v>31</v>
      </c>
      <c r="L65" s="12" t="s">
        <v>252</v>
      </c>
      <c r="M65" s="11">
        <f t="shared" si="1"/>
        <v>0</v>
      </c>
      <c r="N65" s="11"/>
      <c r="O65" s="11"/>
      <c r="P65" s="11"/>
      <c r="Q65" s="11"/>
      <c r="R65" s="11"/>
      <c r="S65" s="11"/>
      <c r="T65" s="12">
        <v>1.0</v>
      </c>
      <c r="U65" s="12"/>
      <c r="V65" s="31"/>
      <c r="W65" s="18"/>
      <c r="X65" s="11"/>
      <c r="Y65" s="11"/>
      <c r="Z65" s="14">
        <f t="shared" si="2"/>
        <v>1</v>
      </c>
      <c r="AA65" s="15" t="s">
        <v>106</v>
      </c>
    </row>
    <row r="66" ht="14.25" hidden="1" customHeight="1">
      <c r="A66" s="19" t="s">
        <v>303</v>
      </c>
      <c r="B66" s="19" t="s">
        <v>304</v>
      </c>
      <c r="C66" s="52" t="s">
        <v>305</v>
      </c>
      <c r="D66" s="21"/>
      <c r="E66" s="21"/>
      <c r="F66" s="21"/>
      <c r="G66" s="19" t="s">
        <v>196</v>
      </c>
      <c r="H66" s="21"/>
      <c r="I66" s="21"/>
      <c r="J66" s="21"/>
      <c r="K66" s="53" t="s">
        <v>31</v>
      </c>
      <c r="L66" s="53" t="s">
        <v>252</v>
      </c>
      <c r="M66" s="11">
        <f t="shared" si="1"/>
        <v>0</v>
      </c>
      <c r="N66" s="21"/>
      <c r="O66" s="21"/>
      <c r="P66" s="21"/>
      <c r="Q66" s="21"/>
      <c r="R66" s="21"/>
      <c r="S66" s="21"/>
      <c r="T66" s="21"/>
      <c r="U66" s="21"/>
      <c r="V66" s="21"/>
      <c r="W66" s="24">
        <v>1.0</v>
      </c>
      <c r="X66" s="21"/>
      <c r="Y66" s="21"/>
      <c r="Z66" s="14">
        <f t="shared" si="2"/>
        <v>1</v>
      </c>
      <c r="AA66" s="15" t="s">
        <v>106</v>
      </c>
    </row>
    <row r="67" ht="14.25" hidden="1" customHeight="1">
      <c r="A67" s="19" t="s">
        <v>306</v>
      </c>
      <c r="B67" s="19" t="s">
        <v>307</v>
      </c>
      <c r="C67" s="40" t="s">
        <v>308</v>
      </c>
      <c r="D67" s="21"/>
      <c r="E67" s="21"/>
      <c r="F67" s="21"/>
      <c r="G67" s="19" t="s">
        <v>48</v>
      </c>
      <c r="H67" s="21"/>
      <c r="I67" s="21"/>
      <c r="J67" s="21"/>
      <c r="K67" s="53" t="s">
        <v>31</v>
      </c>
      <c r="L67" s="53" t="s">
        <v>119</v>
      </c>
      <c r="M67" s="11">
        <f t="shared" si="1"/>
        <v>0</v>
      </c>
      <c r="N67" s="21"/>
      <c r="O67" s="21"/>
      <c r="P67" s="21"/>
      <c r="Q67" s="21"/>
      <c r="R67" s="21"/>
      <c r="S67" s="21"/>
      <c r="T67" s="21"/>
      <c r="U67" s="21"/>
      <c r="V67" s="21"/>
      <c r="W67" s="24">
        <v>1.0</v>
      </c>
      <c r="X67" s="21"/>
      <c r="Y67" s="21"/>
      <c r="Z67" s="14">
        <f t="shared" si="2"/>
        <v>1</v>
      </c>
      <c r="AA67" s="15" t="s">
        <v>106</v>
      </c>
    </row>
    <row r="68" ht="14.25" customHeight="1">
      <c r="A68" s="19" t="s">
        <v>309</v>
      </c>
      <c r="B68" s="19" t="s">
        <v>310</v>
      </c>
      <c r="C68" s="35" t="s">
        <v>311</v>
      </c>
      <c r="D68" s="21"/>
      <c r="E68" s="21"/>
      <c r="F68" s="27" t="s">
        <v>56</v>
      </c>
      <c r="G68" s="19" t="s">
        <v>83</v>
      </c>
      <c r="H68" s="23" t="s">
        <v>312</v>
      </c>
      <c r="I68" s="21"/>
      <c r="J68" s="21"/>
      <c r="K68" s="25" t="s">
        <v>58</v>
      </c>
      <c r="L68" s="24" t="s">
        <v>313</v>
      </c>
      <c r="M68" s="11">
        <f t="shared" si="1"/>
        <v>1</v>
      </c>
      <c r="N68" s="21"/>
      <c r="O68" s="21"/>
      <c r="P68" s="21"/>
      <c r="Q68" s="21"/>
      <c r="R68" s="21"/>
      <c r="S68" s="21"/>
      <c r="T68" s="21"/>
      <c r="U68" s="21"/>
      <c r="V68" s="21"/>
      <c r="W68" s="24">
        <v>1.0</v>
      </c>
      <c r="X68" s="21"/>
      <c r="Y68" s="21"/>
      <c r="Z68" s="14">
        <f t="shared" si="2"/>
        <v>1</v>
      </c>
      <c r="AA68" s="15" t="s">
        <v>33</v>
      </c>
      <c r="AB68" s="14">
        <v>0.0959047348598272</v>
      </c>
    </row>
    <row r="69" ht="14.25" customHeight="1">
      <c r="A69" s="11" t="s">
        <v>314</v>
      </c>
      <c r="B69" s="11" t="s">
        <v>315</v>
      </c>
      <c r="C69" s="38" t="s">
        <v>316</v>
      </c>
      <c r="D69" s="11"/>
      <c r="E69" s="11"/>
      <c r="F69" s="27" t="s">
        <v>140</v>
      </c>
      <c r="G69" s="11" t="s">
        <v>48</v>
      </c>
      <c r="H69" s="28" t="s">
        <v>64</v>
      </c>
      <c r="I69" s="11"/>
      <c r="J69" s="11"/>
      <c r="K69" s="29" t="s">
        <v>58</v>
      </c>
      <c r="L69" s="12" t="s">
        <v>51</v>
      </c>
      <c r="M69" s="11">
        <f t="shared" si="1"/>
        <v>1</v>
      </c>
      <c r="N69" s="11"/>
      <c r="O69" s="11"/>
      <c r="P69" s="11"/>
      <c r="Q69" s="11"/>
      <c r="R69" s="11"/>
      <c r="S69" s="12">
        <v>1.0</v>
      </c>
      <c r="T69" s="12"/>
      <c r="U69" s="12"/>
      <c r="V69" s="31">
        <v>1.0</v>
      </c>
      <c r="W69" s="18">
        <v>1.0</v>
      </c>
      <c r="X69" s="11"/>
      <c r="Y69" s="11"/>
      <c r="Z69" s="14">
        <f t="shared" si="2"/>
        <v>3</v>
      </c>
      <c r="AA69" s="15" t="s">
        <v>33</v>
      </c>
      <c r="AB69" s="14">
        <v>0.09712246115521506</v>
      </c>
    </row>
    <row r="70" ht="14.25" customHeight="1">
      <c r="A70" s="19" t="s">
        <v>317</v>
      </c>
      <c r="B70" s="19" t="s">
        <v>318</v>
      </c>
      <c r="C70" s="20" t="s">
        <v>319</v>
      </c>
      <c r="D70" s="21"/>
      <c r="E70" s="21"/>
      <c r="F70" s="27" t="s">
        <v>77</v>
      </c>
      <c r="G70" s="19" t="s">
        <v>48</v>
      </c>
      <c r="H70" s="23" t="s">
        <v>320</v>
      </c>
      <c r="I70" s="21"/>
      <c r="J70" s="24"/>
      <c r="K70" s="25" t="s">
        <v>50</v>
      </c>
      <c r="L70" s="24" t="s">
        <v>105</v>
      </c>
      <c r="M70" s="11">
        <f t="shared" si="1"/>
        <v>1</v>
      </c>
      <c r="N70" s="21"/>
      <c r="O70" s="21"/>
      <c r="P70" s="21"/>
      <c r="Q70" s="21"/>
      <c r="R70" s="21"/>
      <c r="S70" s="21"/>
      <c r="T70" s="21"/>
      <c r="U70" s="21"/>
      <c r="V70" s="21"/>
      <c r="W70" s="24">
        <v>1.0</v>
      </c>
      <c r="X70" s="21"/>
      <c r="Y70" s="21"/>
      <c r="Z70" s="14">
        <f t="shared" si="2"/>
        <v>1</v>
      </c>
      <c r="AA70" s="15" t="s">
        <v>106</v>
      </c>
      <c r="AB70" s="14">
        <v>0.09742823499422004</v>
      </c>
    </row>
    <row r="71" ht="14.25" hidden="1" customHeight="1">
      <c r="A71" s="11" t="s">
        <v>321</v>
      </c>
      <c r="B71" s="11" t="s">
        <v>322</v>
      </c>
      <c r="C71" s="42" t="s">
        <v>323</v>
      </c>
      <c r="D71" s="11"/>
      <c r="E71" s="11"/>
      <c r="F71" s="11"/>
      <c r="G71" s="11" t="s">
        <v>196</v>
      </c>
      <c r="H71" s="11"/>
      <c r="I71" s="11"/>
      <c r="J71" s="11"/>
      <c r="K71" s="11" t="s">
        <v>31</v>
      </c>
      <c r="L71" s="11" t="s">
        <v>69</v>
      </c>
      <c r="M71" s="11">
        <f t="shared" si="1"/>
        <v>0</v>
      </c>
      <c r="N71" s="11"/>
      <c r="O71" s="11"/>
      <c r="P71" s="11"/>
      <c r="Q71" s="11"/>
      <c r="R71" s="11"/>
      <c r="S71" s="11"/>
      <c r="T71" s="11"/>
      <c r="U71" s="11"/>
      <c r="V71" s="18"/>
      <c r="W71" s="18">
        <v>1.0</v>
      </c>
      <c r="X71" s="11"/>
      <c r="Y71" s="11"/>
      <c r="Z71" s="14">
        <f t="shared" si="2"/>
        <v>1</v>
      </c>
      <c r="AA71" s="15" t="s">
        <v>106</v>
      </c>
    </row>
    <row r="72" ht="14.25" hidden="1" customHeight="1">
      <c r="A72" s="11" t="s">
        <v>324</v>
      </c>
      <c r="B72" s="11" t="s">
        <v>322</v>
      </c>
      <c r="C72" s="42" t="s">
        <v>325</v>
      </c>
      <c r="D72" s="11"/>
      <c r="E72" s="11"/>
      <c r="F72" s="11"/>
      <c r="G72" s="11" t="s">
        <v>196</v>
      </c>
      <c r="H72" s="11"/>
      <c r="I72" s="11"/>
      <c r="J72" s="11"/>
      <c r="K72" s="11" t="s">
        <v>31</v>
      </c>
      <c r="L72" s="11" t="s">
        <v>69</v>
      </c>
      <c r="M72" s="11">
        <f t="shared" si="1"/>
        <v>0</v>
      </c>
      <c r="N72" s="11"/>
      <c r="O72" s="11"/>
      <c r="P72" s="11"/>
      <c r="Q72" s="11"/>
      <c r="R72" s="11"/>
      <c r="S72" s="11"/>
      <c r="T72" s="11"/>
      <c r="U72" s="11"/>
      <c r="V72" s="31">
        <v>1.0</v>
      </c>
      <c r="W72" s="18">
        <v>1.0</v>
      </c>
      <c r="X72" s="11"/>
      <c r="Y72" s="11"/>
      <c r="Z72" s="14">
        <f t="shared" si="2"/>
        <v>2</v>
      </c>
      <c r="AA72" s="15" t="s">
        <v>106</v>
      </c>
    </row>
    <row r="73" ht="14.25" customHeight="1">
      <c r="A73" s="19" t="s">
        <v>326</v>
      </c>
      <c r="B73" s="19" t="s">
        <v>327</v>
      </c>
      <c r="C73" s="33" t="s">
        <v>328</v>
      </c>
      <c r="D73" s="21"/>
      <c r="E73" s="21"/>
      <c r="F73" s="22" t="s">
        <v>103</v>
      </c>
      <c r="G73" s="19" t="s">
        <v>38</v>
      </c>
      <c r="H73" s="23" t="s">
        <v>329</v>
      </c>
      <c r="I73" s="21"/>
      <c r="J73" s="21"/>
      <c r="K73" s="25" t="s">
        <v>50</v>
      </c>
      <c r="L73" s="24" t="s">
        <v>330</v>
      </c>
      <c r="M73" s="11">
        <f t="shared" si="1"/>
        <v>1</v>
      </c>
      <c r="N73" s="21"/>
      <c r="O73" s="21"/>
      <c r="P73" s="21"/>
      <c r="Q73" s="21"/>
      <c r="R73" s="21"/>
      <c r="S73" s="21"/>
      <c r="T73" s="21"/>
      <c r="U73" s="21"/>
      <c r="V73" s="21"/>
      <c r="W73" s="24">
        <v>1.0</v>
      </c>
      <c r="X73" s="21"/>
      <c r="Y73" s="21"/>
      <c r="Z73" s="14">
        <f t="shared" si="2"/>
        <v>1</v>
      </c>
      <c r="AA73" s="15" t="s">
        <v>52</v>
      </c>
      <c r="AB73" s="14">
        <v>0.09966569174319229</v>
      </c>
    </row>
    <row r="74" ht="14.25" hidden="1" customHeight="1">
      <c r="A74" s="11" t="s">
        <v>331</v>
      </c>
      <c r="B74" s="11" t="s">
        <v>332</v>
      </c>
      <c r="C74" s="42" t="s">
        <v>333</v>
      </c>
      <c r="D74" s="11"/>
      <c r="E74" s="11"/>
      <c r="F74" s="11"/>
      <c r="G74" s="11" t="s">
        <v>334</v>
      </c>
      <c r="H74" s="11"/>
      <c r="I74" s="11"/>
      <c r="J74" s="11"/>
      <c r="K74" s="12" t="s">
        <v>89</v>
      </c>
      <c r="L74" s="12" t="s">
        <v>252</v>
      </c>
      <c r="M74" s="11">
        <f t="shared" si="1"/>
        <v>0</v>
      </c>
      <c r="N74" s="11"/>
      <c r="O74" s="11"/>
      <c r="P74" s="11"/>
      <c r="Q74" s="11"/>
      <c r="R74" s="11"/>
      <c r="S74" s="11"/>
      <c r="T74" s="11"/>
      <c r="U74" s="11"/>
      <c r="V74" s="18"/>
      <c r="W74" s="18">
        <v>1.0</v>
      </c>
      <c r="X74" s="11"/>
      <c r="Y74" s="11"/>
      <c r="Z74" s="14">
        <f t="shared" si="2"/>
        <v>1</v>
      </c>
      <c r="AA74" s="15" t="s">
        <v>106</v>
      </c>
    </row>
    <row r="75" ht="14.25" customHeight="1">
      <c r="A75" s="11" t="s">
        <v>335</v>
      </c>
      <c r="B75" s="11" t="s">
        <v>254</v>
      </c>
      <c r="C75" s="35" t="s">
        <v>336</v>
      </c>
      <c r="D75" s="11"/>
      <c r="E75" s="11"/>
      <c r="F75" s="27" t="s">
        <v>140</v>
      </c>
      <c r="G75" s="12" t="s">
        <v>48</v>
      </c>
      <c r="H75" s="28" t="s">
        <v>337</v>
      </c>
      <c r="I75" s="11"/>
      <c r="J75" s="12"/>
      <c r="K75" s="29" t="s">
        <v>50</v>
      </c>
      <c r="L75" s="12" t="s">
        <v>111</v>
      </c>
      <c r="M75" s="11">
        <f t="shared" si="1"/>
        <v>1</v>
      </c>
      <c r="N75" s="11"/>
      <c r="O75" s="11"/>
      <c r="P75" s="11"/>
      <c r="Q75" s="11"/>
      <c r="R75" s="11"/>
      <c r="S75" s="11"/>
      <c r="T75" s="11"/>
      <c r="U75" s="12">
        <v>1.0</v>
      </c>
      <c r="V75" s="18"/>
      <c r="W75" s="18"/>
      <c r="X75" s="11"/>
      <c r="Y75" s="11"/>
      <c r="Z75" s="14">
        <f t="shared" si="2"/>
        <v>1</v>
      </c>
      <c r="AA75" s="15" t="s">
        <v>106</v>
      </c>
      <c r="AB75" s="14">
        <v>0.1056276537446239</v>
      </c>
    </row>
    <row r="76" ht="14.25" customHeight="1">
      <c r="A76" s="11" t="s">
        <v>338</v>
      </c>
      <c r="B76" s="11" t="s">
        <v>339</v>
      </c>
      <c r="C76" s="26" t="s">
        <v>340</v>
      </c>
      <c r="D76" s="11"/>
      <c r="E76" s="11"/>
      <c r="F76" s="27" t="s">
        <v>103</v>
      </c>
      <c r="G76" s="19" t="s">
        <v>83</v>
      </c>
      <c r="H76" s="28" t="s">
        <v>341</v>
      </c>
      <c r="I76" s="11"/>
      <c r="J76" s="11"/>
      <c r="K76" s="29" t="s">
        <v>50</v>
      </c>
      <c r="L76" s="11"/>
      <c r="M76" s="11">
        <f t="shared" si="1"/>
        <v>1</v>
      </c>
      <c r="N76" s="11"/>
      <c r="O76" s="11"/>
      <c r="P76" s="11"/>
      <c r="Q76" s="11"/>
      <c r="R76" s="11"/>
      <c r="S76" s="11"/>
      <c r="T76" s="11"/>
      <c r="U76" s="11"/>
      <c r="V76" s="18"/>
      <c r="W76" s="18">
        <v>1.0</v>
      </c>
      <c r="X76" s="11"/>
      <c r="Y76" s="11"/>
      <c r="Z76" s="14">
        <f t="shared" si="2"/>
        <v>1</v>
      </c>
      <c r="AA76" s="15" t="s">
        <v>106</v>
      </c>
      <c r="AB76" s="14">
        <v>0.10970189244745165</v>
      </c>
    </row>
    <row r="77" ht="14.25" hidden="1" customHeight="1">
      <c r="A77" s="11" t="s">
        <v>342</v>
      </c>
      <c r="B77" s="11" t="s">
        <v>343</v>
      </c>
      <c r="C77" s="42" t="s">
        <v>344</v>
      </c>
      <c r="D77" s="11"/>
      <c r="E77" s="11"/>
      <c r="F77" s="11"/>
      <c r="G77" s="11" t="s">
        <v>196</v>
      </c>
      <c r="H77" s="11"/>
      <c r="I77" s="11"/>
      <c r="J77" s="11"/>
      <c r="K77" s="11" t="s">
        <v>31</v>
      </c>
      <c r="L77" s="11" t="s">
        <v>69</v>
      </c>
      <c r="M77" s="11">
        <f t="shared" si="1"/>
        <v>0</v>
      </c>
      <c r="N77" s="11"/>
      <c r="O77" s="11"/>
      <c r="P77" s="11"/>
      <c r="Q77" s="11"/>
      <c r="R77" s="11"/>
      <c r="S77" s="11"/>
      <c r="T77" s="11"/>
      <c r="U77" s="11"/>
      <c r="V77" s="31">
        <v>1.0</v>
      </c>
      <c r="W77" s="18">
        <v>1.0</v>
      </c>
      <c r="X77" s="11"/>
      <c r="Y77" s="11"/>
      <c r="Z77" s="14">
        <f t="shared" si="2"/>
        <v>2</v>
      </c>
      <c r="AA77" s="15" t="s">
        <v>106</v>
      </c>
    </row>
    <row r="78" ht="14.25" customHeight="1">
      <c r="A78" s="19" t="s">
        <v>345</v>
      </c>
      <c r="B78" s="19" t="s">
        <v>310</v>
      </c>
      <c r="C78" s="20" t="s">
        <v>346</v>
      </c>
      <c r="D78" s="21"/>
      <c r="E78" s="21"/>
      <c r="F78" s="27" t="s">
        <v>56</v>
      </c>
      <c r="G78" s="19" t="s">
        <v>83</v>
      </c>
      <c r="H78" s="23" t="s">
        <v>347</v>
      </c>
      <c r="I78" s="21"/>
      <c r="J78" s="21"/>
      <c r="K78" s="25" t="s">
        <v>58</v>
      </c>
      <c r="L78" s="21"/>
      <c r="M78" s="11">
        <f t="shared" si="1"/>
        <v>1</v>
      </c>
      <c r="N78" s="21"/>
      <c r="O78" s="21"/>
      <c r="P78" s="21"/>
      <c r="Q78" s="21"/>
      <c r="R78" s="21"/>
      <c r="S78" s="21"/>
      <c r="T78" s="21"/>
      <c r="U78" s="21"/>
      <c r="V78" s="21"/>
      <c r="W78" s="24">
        <v>1.0</v>
      </c>
      <c r="X78" s="21"/>
      <c r="Y78" s="21"/>
      <c r="Z78" s="14">
        <f t="shared" si="2"/>
        <v>1</v>
      </c>
      <c r="AA78" s="15" t="s">
        <v>33</v>
      </c>
      <c r="AB78" s="14">
        <v>0.11366944605874374</v>
      </c>
    </row>
    <row r="79" ht="14.25" customHeight="1">
      <c r="A79" s="11" t="s">
        <v>348</v>
      </c>
      <c r="B79" s="11" t="s">
        <v>349</v>
      </c>
      <c r="C79" s="37" t="s">
        <v>350</v>
      </c>
      <c r="D79" s="11"/>
      <c r="E79" s="11"/>
      <c r="F79" s="27" t="s">
        <v>351</v>
      </c>
      <c r="G79" s="11" t="s">
        <v>196</v>
      </c>
      <c r="H79" s="28" t="s">
        <v>352</v>
      </c>
      <c r="I79" s="11"/>
      <c r="J79" s="11"/>
      <c r="K79" s="29" t="s">
        <v>50</v>
      </c>
      <c r="L79" s="11"/>
      <c r="M79" s="11">
        <f t="shared" si="1"/>
        <v>1</v>
      </c>
      <c r="N79" s="11"/>
      <c r="O79" s="11"/>
      <c r="P79" s="11"/>
      <c r="Q79" s="11"/>
      <c r="R79" s="11"/>
      <c r="S79" s="11"/>
      <c r="T79" s="11"/>
      <c r="U79" s="11"/>
      <c r="V79" s="18"/>
      <c r="W79" s="18">
        <v>1.0</v>
      </c>
      <c r="X79" s="11"/>
      <c r="Y79" s="11"/>
      <c r="Z79" s="14">
        <f t="shared" si="2"/>
        <v>1</v>
      </c>
      <c r="AA79" s="15" t="s">
        <v>106</v>
      </c>
      <c r="AB79" s="14">
        <v>0.11529055322472015</v>
      </c>
    </row>
    <row r="80" ht="14.25" customHeight="1">
      <c r="A80" s="11" t="s">
        <v>353</v>
      </c>
      <c r="B80" s="11" t="s">
        <v>354</v>
      </c>
      <c r="C80" s="26" t="s">
        <v>355</v>
      </c>
      <c r="D80" s="11"/>
      <c r="E80" s="11"/>
      <c r="F80" s="27" t="s">
        <v>77</v>
      </c>
      <c r="G80" s="11" t="s">
        <v>356</v>
      </c>
      <c r="H80" s="28" t="s">
        <v>99</v>
      </c>
      <c r="I80" s="11"/>
      <c r="J80" s="11"/>
      <c r="K80" s="29" t="s">
        <v>50</v>
      </c>
      <c r="L80" s="12" t="s">
        <v>357</v>
      </c>
      <c r="M80" s="11">
        <f t="shared" si="1"/>
        <v>1</v>
      </c>
      <c r="N80" s="11"/>
      <c r="O80" s="11"/>
      <c r="P80" s="11"/>
      <c r="Q80" s="11"/>
      <c r="R80" s="11"/>
      <c r="S80" s="11"/>
      <c r="T80" s="11"/>
      <c r="U80" s="11"/>
      <c r="V80" s="18"/>
      <c r="W80" s="18">
        <v>1.0</v>
      </c>
      <c r="X80" s="11"/>
      <c r="Y80" s="11"/>
      <c r="Z80" s="14">
        <f t="shared" si="2"/>
        <v>1</v>
      </c>
      <c r="AA80" s="15" t="s">
        <v>91</v>
      </c>
      <c r="AB80" s="14">
        <v>0.11608859540226435</v>
      </c>
    </row>
    <row r="81" ht="14.25" hidden="1" customHeight="1">
      <c r="A81" s="19" t="s">
        <v>358</v>
      </c>
      <c r="B81" s="19" t="s">
        <v>359</v>
      </c>
      <c r="C81" s="40" t="s">
        <v>360</v>
      </c>
      <c r="D81" s="21"/>
      <c r="E81" s="21"/>
      <c r="F81" s="21"/>
      <c r="G81" s="19" t="s">
        <v>361</v>
      </c>
      <c r="H81" s="21"/>
      <c r="I81" s="21"/>
      <c r="J81" s="24"/>
      <c r="K81" s="24" t="s">
        <v>89</v>
      </c>
      <c r="L81" s="24" t="s">
        <v>69</v>
      </c>
      <c r="M81" s="11">
        <f t="shared" si="1"/>
        <v>0</v>
      </c>
      <c r="N81" s="21"/>
      <c r="O81" s="21"/>
      <c r="P81" s="21"/>
      <c r="Q81" s="21"/>
      <c r="R81" s="21"/>
      <c r="S81" s="21"/>
      <c r="T81" s="21"/>
      <c r="U81" s="21"/>
      <c r="V81" s="21"/>
      <c r="W81" s="24">
        <v>1.0</v>
      </c>
      <c r="X81" s="21"/>
      <c r="Y81" s="21"/>
      <c r="Z81" s="14">
        <f t="shared" si="2"/>
        <v>1</v>
      </c>
      <c r="AA81" s="15" t="s">
        <v>106</v>
      </c>
    </row>
    <row r="82" ht="14.25" customHeight="1">
      <c r="A82" s="32" t="s">
        <v>362</v>
      </c>
      <c r="B82" s="32" t="s">
        <v>363</v>
      </c>
      <c r="C82" s="54" t="s">
        <v>364</v>
      </c>
      <c r="D82" s="21"/>
      <c r="E82" s="21"/>
      <c r="F82" s="27" t="s">
        <v>56</v>
      </c>
      <c r="G82" s="19" t="s">
        <v>83</v>
      </c>
      <c r="H82" s="23" t="s">
        <v>365</v>
      </c>
      <c r="I82" s="21"/>
      <c r="J82" s="21"/>
      <c r="K82" s="25" t="s">
        <v>58</v>
      </c>
      <c r="L82" s="24" t="s">
        <v>366</v>
      </c>
      <c r="M82" s="11">
        <f t="shared" si="1"/>
        <v>1</v>
      </c>
      <c r="N82" s="21"/>
      <c r="O82" s="21"/>
      <c r="P82" s="21"/>
      <c r="Q82" s="21"/>
      <c r="R82" s="21"/>
      <c r="S82" s="21"/>
      <c r="T82" s="21"/>
      <c r="U82" s="21"/>
      <c r="V82" s="21"/>
      <c r="W82" s="24">
        <v>1.0</v>
      </c>
      <c r="X82" s="21"/>
      <c r="Y82" s="21"/>
      <c r="Z82" s="14">
        <f t="shared" si="2"/>
        <v>1</v>
      </c>
      <c r="AA82" s="15" t="s">
        <v>33</v>
      </c>
      <c r="AB82" s="14">
        <v>0.11685855997090255</v>
      </c>
    </row>
    <row r="83" ht="14.25" hidden="1" customHeight="1">
      <c r="A83" s="11" t="s">
        <v>367</v>
      </c>
      <c r="B83" s="11" t="s">
        <v>368</v>
      </c>
      <c r="C83" s="42" t="s">
        <v>369</v>
      </c>
      <c r="D83" s="12">
        <v>7.0</v>
      </c>
      <c r="E83" s="11"/>
      <c r="F83" s="11"/>
      <c r="G83" s="11" t="s">
        <v>48</v>
      </c>
      <c r="H83" s="11"/>
      <c r="I83" s="11"/>
      <c r="J83" s="11"/>
      <c r="K83" s="11" t="s">
        <v>31</v>
      </c>
      <c r="L83" s="12" t="s">
        <v>200</v>
      </c>
      <c r="M83" s="11">
        <f t="shared" si="1"/>
        <v>0</v>
      </c>
      <c r="N83" s="11"/>
      <c r="O83" s="11"/>
      <c r="P83" s="11"/>
      <c r="Q83" s="11"/>
      <c r="R83" s="11"/>
      <c r="S83" s="11"/>
      <c r="T83" s="11"/>
      <c r="U83" s="11"/>
      <c r="V83" s="18"/>
      <c r="W83" s="18">
        <v>1.0</v>
      </c>
      <c r="X83" s="11"/>
      <c r="Y83" s="11"/>
      <c r="Z83" s="14">
        <f t="shared" si="2"/>
        <v>1</v>
      </c>
      <c r="AA83" s="15" t="s">
        <v>106</v>
      </c>
    </row>
    <row r="84" ht="14.25" hidden="1" customHeight="1">
      <c r="A84" s="12" t="s">
        <v>370</v>
      </c>
      <c r="B84" s="12" t="s">
        <v>371</v>
      </c>
      <c r="C84" s="30" t="s">
        <v>372</v>
      </c>
      <c r="D84" s="11"/>
      <c r="E84" s="11"/>
      <c r="F84" s="11"/>
      <c r="G84" s="11"/>
      <c r="H84" s="11"/>
      <c r="I84" s="11"/>
      <c r="J84" s="12"/>
      <c r="K84" s="12" t="s">
        <v>31</v>
      </c>
      <c r="L84" s="12" t="s">
        <v>252</v>
      </c>
      <c r="M84" s="11">
        <f t="shared" si="1"/>
        <v>0</v>
      </c>
      <c r="N84" s="11"/>
      <c r="O84" s="11"/>
      <c r="P84" s="11"/>
      <c r="Q84" s="11"/>
      <c r="R84" s="11"/>
      <c r="S84" s="11"/>
      <c r="T84" s="12">
        <v>1.0</v>
      </c>
      <c r="U84" s="12"/>
      <c r="V84" s="18"/>
      <c r="W84" s="18"/>
      <c r="X84" s="11"/>
      <c r="Y84" s="11"/>
      <c r="Z84" s="14">
        <f t="shared" si="2"/>
        <v>1</v>
      </c>
      <c r="AA84" s="15" t="s">
        <v>106</v>
      </c>
    </row>
    <row r="85" ht="14.25" customHeight="1">
      <c r="A85" s="12" t="s">
        <v>373</v>
      </c>
      <c r="B85" s="12" t="s">
        <v>374</v>
      </c>
      <c r="C85" s="37" t="s">
        <v>375</v>
      </c>
      <c r="D85" s="11"/>
      <c r="E85" s="11"/>
      <c r="F85" s="27" t="s">
        <v>95</v>
      </c>
      <c r="G85" s="12" t="s">
        <v>48</v>
      </c>
      <c r="H85" s="28" t="s">
        <v>376</v>
      </c>
      <c r="I85" s="11"/>
      <c r="J85" s="12"/>
      <c r="K85" s="29" t="s">
        <v>50</v>
      </c>
      <c r="L85" s="11"/>
      <c r="M85" s="11">
        <f t="shared" si="1"/>
        <v>1</v>
      </c>
      <c r="N85" s="18"/>
      <c r="O85" s="11"/>
      <c r="P85" s="11"/>
      <c r="Q85" s="11"/>
      <c r="R85" s="11"/>
      <c r="S85" s="11"/>
      <c r="T85" s="11"/>
      <c r="U85" s="11"/>
      <c r="V85" s="18"/>
      <c r="W85" s="18"/>
      <c r="X85" s="11"/>
      <c r="Y85" s="11"/>
      <c r="Z85" s="14">
        <f t="shared" si="2"/>
        <v>0</v>
      </c>
      <c r="AA85" s="15" t="s">
        <v>106</v>
      </c>
      <c r="AB85" s="14">
        <v>0.11726318376352629</v>
      </c>
    </row>
    <row r="86" ht="14.25" hidden="1" customHeight="1">
      <c r="A86" s="19" t="s">
        <v>377</v>
      </c>
      <c r="B86" s="19" t="s">
        <v>378</v>
      </c>
      <c r="C86" s="44" t="s">
        <v>379</v>
      </c>
      <c r="D86" s="21"/>
      <c r="E86" s="21"/>
      <c r="F86" s="21"/>
      <c r="G86" s="19" t="s">
        <v>78</v>
      </c>
      <c r="H86" s="21"/>
      <c r="I86" s="21"/>
      <c r="J86" s="24"/>
      <c r="K86" s="24" t="s">
        <v>89</v>
      </c>
      <c r="L86" s="24" t="s">
        <v>252</v>
      </c>
      <c r="M86" s="11">
        <f t="shared" si="1"/>
        <v>0</v>
      </c>
      <c r="N86" s="21"/>
      <c r="O86" s="21"/>
      <c r="P86" s="21"/>
      <c r="Q86" s="21"/>
      <c r="R86" s="21"/>
      <c r="S86" s="21"/>
      <c r="T86" s="21"/>
      <c r="U86" s="21"/>
      <c r="V86" s="21"/>
      <c r="W86" s="24">
        <v>1.0</v>
      </c>
      <c r="X86" s="21"/>
      <c r="Y86" s="21"/>
      <c r="Z86" s="14">
        <f t="shared" si="2"/>
        <v>1</v>
      </c>
      <c r="AA86" s="15" t="s">
        <v>106</v>
      </c>
    </row>
    <row r="87" ht="14.25" customHeight="1">
      <c r="A87" s="12" t="s">
        <v>380</v>
      </c>
      <c r="B87" s="12" t="s">
        <v>381</v>
      </c>
      <c r="C87" s="38" t="s">
        <v>382</v>
      </c>
      <c r="D87" s="11"/>
      <c r="E87" s="11"/>
      <c r="F87" s="27" t="s">
        <v>351</v>
      </c>
      <c r="G87" s="12" t="s">
        <v>48</v>
      </c>
      <c r="H87" s="28" t="s">
        <v>383</v>
      </c>
      <c r="I87" s="11"/>
      <c r="J87" s="11"/>
      <c r="K87" s="29" t="s">
        <v>50</v>
      </c>
      <c r="L87" s="12" t="s">
        <v>152</v>
      </c>
      <c r="M87" s="11">
        <f t="shared" si="1"/>
        <v>1</v>
      </c>
      <c r="N87" s="11"/>
      <c r="O87" s="11"/>
      <c r="P87" s="11"/>
      <c r="Q87" s="11"/>
      <c r="R87" s="11"/>
      <c r="S87" s="12">
        <v>1.0</v>
      </c>
      <c r="T87" s="12"/>
      <c r="U87" s="12"/>
      <c r="V87" s="18"/>
      <c r="W87" s="18"/>
      <c r="X87" s="11"/>
      <c r="Y87" s="11"/>
      <c r="Z87" s="14">
        <f t="shared" si="2"/>
        <v>1</v>
      </c>
      <c r="AA87" s="15" t="s">
        <v>106</v>
      </c>
      <c r="AB87" s="14">
        <v>0.12132199208493899</v>
      </c>
    </row>
    <row r="88" ht="14.25" hidden="1" customHeight="1">
      <c r="A88" s="19" t="s">
        <v>384</v>
      </c>
      <c r="B88" s="19" t="s">
        <v>385</v>
      </c>
      <c r="C88" s="44" t="s">
        <v>386</v>
      </c>
      <c r="D88" s="21"/>
      <c r="E88" s="21"/>
      <c r="F88" s="21"/>
      <c r="G88" s="19" t="s">
        <v>48</v>
      </c>
      <c r="H88" s="21"/>
      <c r="I88" s="21"/>
      <c r="J88" s="24"/>
      <c r="K88" s="24" t="s">
        <v>89</v>
      </c>
      <c r="L88" s="24" t="s">
        <v>252</v>
      </c>
      <c r="M88" s="11">
        <f t="shared" si="1"/>
        <v>0</v>
      </c>
      <c r="N88" s="21"/>
      <c r="O88" s="21"/>
      <c r="P88" s="21"/>
      <c r="Q88" s="21"/>
      <c r="R88" s="21"/>
      <c r="S88" s="21"/>
      <c r="T88" s="21"/>
      <c r="U88" s="21"/>
      <c r="V88" s="21"/>
      <c r="W88" s="24">
        <v>1.0</v>
      </c>
      <c r="X88" s="21"/>
      <c r="Y88" s="21"/>
      <c r="Z88" s="14">
        <f t="shared" si="2"/>
        <v>1</v>
      </c>
      <c r="AA88" s="15" t="s">
        <v>106</v>
      </c>
    </row>
    <row r="89" ht="14.25" hidden="1" customHeight="1">
      <c r="A89" s="19" t="s">
        <v>387</v>
      </c>
      <c r="B89" s="19" t="s">
        <v>388</v>
      </c>
      <c r="C89" s="52" t="s">
        <v>389</v>
      </c>
      <c r="D89" s="21"/>
      <c r="E89" s="21"/>
      <c r="F89" s="21"/>
      <c r="G89" s="19" t="s">
        <v>78</v>
      </c>
      <c r="H89" s="21"/>
      <c r="I89" s="21"/>
      <c r="J89" s="21"/>
      <c r="K89" s="24" t="s">
        <v>89</v>
      </c>
      <c r="L89" s="24" t="s">
        <v>252</v>
      </c>
      <c r="M89" s="11">
        <f t="shared" si="1"/>
        <v>0</v>
      </c>
      <c r="N89" s="21"/>
      <c r="O89" s="21"/>
      <c r="P89" s="21"/>
      <c r="Q89" s="21"/>
      <c r="R89" s="21"/>
      <c r="S89" s="21"/>
      <c r="T89" s="21"/>
      <c r="U89" s="21"/>
      <c r="V89" s="21"/>
      <c r="W89" s="24">
        <v>1.0</v>
      </c>
      <c r="X89" s="21"/>
      <c r="Y89" s="21"/>
      <c r="Z89" s="14">
        <f t="shared" si="2"/>
        <v>1</v>
      </c>
      <c r="AA89" s="15" t="s">
        <v>106</v>
      </c>
    </row>
    <row r="90" ht="14.25" customHeight="1">
      <c r="A90" s="19" t="s">
        <v>390</v>
      </c>
      <c r="B90" s="19" t="s">
        <v>391</v>
      </c>
      <c r="C90" s="20" t="s">
        <v>392</v>
      </c>
      <c r="D90" s="21"/>
      <c r="E90" s="21"/>
      <c r="F90" s="27" t="s">
        <v>393</v>
      </c>
      <c r="G90" s="19" t="s">
        <v>284</v>
      </c>
      <c r="H90" s="23" t="s">
        <v>394</v>
      </c>
      <c r="I90" s="21"/>
      <c r="J90" s="21"/>
      <c r="K90" s="25" t="s">
        <v>50</v>
      </c>
      <c r="L90" s="24" t="s">
        <v>51</v>
      </c>
      <c r="M90" s="11">
        <f t="shared" si="1"/>
        <v>1</v>
      </c>
      <c r="N90" s="21"/>
      <c r="O90" s="21"/>
      <c r="P90" s="21"/>
      <c r="Q90" s="21"/>
      <c r="R90" s="21"/>
      <c r="S90" s="21"/>
      <c r="T90" s="21"/>
      <c r="U90" s="21"/>
      <c r="V90" s="21"/>
      <c r="W90" s="24">
        <v>1.0</v>
      </c>
      <c r="X90" s="21"/>
      <c r="Y90" s="21"/>
      <c r="Z90" s="14">
        <f t="shared" si="2"/>
        <v>1</v>
      </c>
      <c r="AA90" s="15" t="s">
        <v>106</v>
      </c>
      <c r="AB90" s="14">
        <v>0.13013485115096246</v>
      </c>
    </row>
    <row r="91" ht="14.25" customHeight="1">
      <c r="A91" s="19" t="s">
        <v>395</v>
      </c>
      <c r="B91" s="19" t="s">
        <v>396</v>
      </c>
      <c r="C91" s="33" t="s">
        <v>397</v>
      </c>
      <c r="D91" s="21"/>
      <c r="E91" s="21"/>
      <c r="F91" s="22" t="s">
        <v>103</v>
      </c>
      <c r="G91" s="19" t="s">
        <v>38</v>
      </c>
      <c r="H91" s="23" t="s">
        <v>104</v>
      </c>
      <c r="I91" s="21"/>
      <c r="J91" s="21"/>
      <c r="K91" s="25" t="s">
        <v>50</v>
      </c>
      <c r="L91" s="24" t="s">
        <v>51</v>
      </c>
      <c r="M91" s="11">
        <f t="shared" si="1"/>
        <v>1</v>
      </c>
      <c r="N91" s="21"/>
      <c r="O91" s="21"/>
      <c r="P91" s="21"/>
      <c r="Q91" s="21"/>
      <c r="R91" s="21"/>
      <c r="S91" s="21"/>
      <c r="T91" s="21"/>
      <c r="U91" s="21"/>
      <c r="V91" s="21"/>
      <c r="W91" s="24">
        <v>1.0</v>
      </c>
      <c r="X91" s="21"/>
      <c r="Y91" s="21"/>
      <c r="Z91" s="14">
        <f t="shared" si="2"/>
        <v>1</v>
      </c>
      <c r="AA91" s="15" t="s">
        <v>52</v>
      </c>
      <c r="AB91" s="14">
        <v>0.13063920038597254</v>
      </c>
    </row>
    <row r="92" ht="14.25" customHeight="1">
      <c r="A92" s="19" t="s">
        <v>398</v>
      </c>
      <c r="B92" s="19" t="s">
        <v>399</v>
      </c>
      <c r="C92" s="55" t="s">
        <v>400</v>
      </c>
      <c r="D92" s="21"/>
      <c r="E92" s="21"/>
      <c r="F92" s="27" t="s">
        <v>62</v>
      </c>
      <c r="G92" s="19" t="s">
        <v>78</v>
      </c>
      <c r="H92" s="23" t="s">
        <v>401</v>
      </c>
      <c r="I92" s="21"/>
      <c r="J92" s="24"/>
      <c r="K92" s="25" t="s">
        <v>50</v>
      </c>
      <c r="L92" s="24" t="s">
        <v>51</v>
      </c>
      <c r="M92" s="11">
        <f t="shared" si="1"/>
        <v>1</v>
      </c>
      <c r="N92" s="21"/>
      <c r="O92" s="21"/>
      <c r="P92" s="21"/>
      <c r="Q92" s="21"/>
      <c r="R92" s="21"/>
      <c r="S92" s="21"/>
      <c r="T92" s="21"/>
      <c r="U92" s="21"/>
      <c r="V92" s="21"/>
      <c r="W92" s="24">
        <v>1.0</v>
      </c>
      <c r="X92" s="21"/>
      <c r="Y92" s="21"/>
      <c r="Z92" s="14">
        <f t="shared" si="2"/>
        <v>1</v>
      </c>
      <c r="AA92" s="15" t="s">
        <v>52</v>
      </c>
      <c r="AB92" s="14">
        <v>0.1314773195692367</v>
      </c>
    </row>
    <row r="93" ht="14.25" customHeight="1">
      <c r="A93" s="19" t="s">
        <v>402</v>
      </c>
      <c r="B93" s="19" t="s">
        <v>403</v>
      </c>
      <c r="C93" s="35" t="s">
        <v>404</v>
      </c>
      <c r="D93" s="21"/>
      <c r="E93" s="21"/>
      <c r="F93" s="22" t="s">
        <v>405</v>
      </c>
      <c r="G93" s="19" t="s">
        <v>83</v>
      </c>
      <c r="H93" s="23" t="s">
        <v>406</v>
      </c>
      <c r="I93" s="21"/>
      <c r="J93" s="24"/>
      <c r="K93" s="25" t="s">
        <v>50</v>
      </c>
      <c r="L93" s="24" t="s">
        <v>407</v>
      </c>
      <c r="M93" s="11">
        <f t="shared" si="1"/>
        <v>1</v>
      </c>
      <c r="N93" s="21"/>
      <c r="O93" s="21"/>
      <c r="P93" s="21"/>
      <c r="Q93" s="21"/>
      <c r="R93" s="21"/>
      <c r="S93" s="21"/>
      <c r="T93" s="21"/>
      <c r="U93" s="21"/>
      <c r="V93" s="21"/>
      <c r="W93" s="24">
        <v>1.0</v>
      </c>
      <c r="X93" s="21"/>
      <c r="Y93" s="21"/>
      <c r="Z93" s="14">
        <f t="shared" si="2"/>
        <v>1</v>
      </c>
      <c r="AA93" s="15" t="s">
        <v>91</v>
      </c>
      <c r="AB93" s="14">
        <v>0.13232126399491662</v>
      </c>
    </row>
    <row r="94" ht="14.25" hidden="1" customHeight="1">
      <c r="A94" s="12" t="s">
        <v>408</v>
      </c>
      <c r="B94" s="12" t="s">
        <v>409</v>
      </c>
      <c r="C94" s="30" t="s">
        <v>410</v>
      </c>
      <c r="D94" s="11"/>
      <c r="E94" s="11"/>
      <c r="F94" s="11"/>
      <c r="G94" s="12" t="s">
        <v>196</v>
      </c>
      <c r="H94" s="11"/>
      <c r="I94" s="11"/>
      <c r="J94" s="12"/>
      <c r="K94" s="12" t="s">
        <v>31</v>
      </c>
      <c r="L94" s="12" t="s">
        <v>252</v>
      </c>
      <c r="M94" s="11">
        <f t="shared" si="1"/>
        <v>0</v>
      </c>
      <c r="N94" s="11"/>
      <c r="O94" s="11"/>
      <c r="P94" s="11"/>
      <c r="Q94" s="11"/>
      <c r="R94" s="11"/>
      <c r="S94" s="11"/>
      <c r="T94" s="11"/>
      <c r="U94" s="11"/>
      <c r="V94" s="31">
        <v>1.0</v>
      </c>
      <c r="W94" s="18"/>
      <c r="X94" s="11"/>
      <c r="Y94" s="11"/>
      <c r="Z94" s="14">
        <f t="shared" si="2"/>
        <v>1</v>
      </c>
      <c r="AA94" s="15" t="s">
        <v>106</v>
      </c>
    </row>
    <row r="95" ht="14.25" hidden="1" customHeight="1">
      <c r="A95" s="11" t="s">
        <v>411</v>
      </c>
      <c r="B95" s="11" t="s">
        <v>412</v>
      </c>
      <c r="C95" s="42" t="s">
        <v>413</v>
      </c>
      <c r="D95" s="11"/>
      <c r="E95" s="11"/>
      <c r="F95" s="11"/>
      <c r="G95" s="11" t="s">
        <v>68</v>
      </c>
      <c r="H95" s="11"/>
      <c r="I95" s="11"/>
      <c r="J95" s="11"/>
      <c r="K95" s="11" t="s">
        <v>31</v>
      </c>
      <c r="L95" s="12" t="s">
        <v>69</v>
      </c>
      <c r="M95" s="11">
        <f t="shared" si="1"/>
        <v>0</v>
      </c>
      <c r="N95" s="11"/>
      <c r="O95" s="12">
        <v>1.0</v>
      </c>
      <c r="P95" s="11"/>
      <c r="Q95" s="11"/>
      <c r="R95" s="11"/>
      <c r="S95" s="12">
        <v>1.0</v>
      </c>
      <c r="T95" s="12">
        <v>1.0</v>
      </c>
      <c r="U95" s="12"/>
      <c r="V95" s="31">
        <v>1.0</v>
      </c>
      <c r="W95" s="18">
        <v>1.0</v>
      </c>
      <c r="X95" s="11"/>
      <c r="Y95" s="11"/>
      <c r="Z95" s="14">
        <f t="shared" si="2"/>
        <v>5</v>
      </c>
      <c r="AA95" s="15" t="s">
        <v>106</v>
      </c>
    </row>
    <row r="96" ht="14.25" customHeight="1">
      <c r="A96" s="11" t="s">
        <v>414</v>
      </c>
      <c r="B96" s="11" t="s">
        <v>169</v>
      </c>
      <c r="C96" s="38" t="s">
        <v>415</v>
      </c>
      <c r="D96" s="11"/>
      <c r="E96" s="11"/>
      <c r="F96" s="27" t="s">
        <v>171</v>
      </c>
      <c r="G96" s="11" t="s">
        <v>48</v>
      </c>
      <c r="H96" s="28" t="s">
        <v>416</v>
      </c>
      <c r="I96" s="11"/>
      <c r="J96" s="12"/>
      <c r="K96" s="29" t="s">
        <v>50</v>
      </c>
      <c r="L96" s="12" t="s">
        <v>51</v>
      </c>
      <c r="M96" s="11">
        <f t="shared" si="1"/>
        <v>1</v>
      </c>
      <c r="N96" s="11"/>
      <c r="O96" s="11"/>
      <c r="P96" s="11"/>
      <c r="Q96" s="11">
        <v>1.0</v>
      </c>
      <c r="R96" s="11"/>
      <c r="S96" s="11"/>
      <c r="T96" s="12">
        <v>1.0</v>
      </c>
      <c r="U96" s="12"/>
      <c r="V96" s="11"/>
      <c r="W96" s="11"/>
      <c r="X96" s="11"/>
      <c r="Y96" s="11"/>
      <c r="Z96" s="14">
        <f t="shared" si="2"/>
        <v>2</v>
      </c>
      <c r="AA96" s="15" t="s">
        <v>91</v>
      </c>
      <c r="AB96" s="14">
        <v>0.1341247140532148</v>
      </c>
    </row>
    <row r="97" ht="14.25" hidden="1" customHeight="1">
      <c r="A97" s="11" t="s">
        <v>417</v>
      </c>
      <c r="B97" s="11" t="s">
        <v>418</v>
      </c>
      <c r="C97" s="42" t="s">
        <v>419</v>
      </c>
      <c r="D97" s="11"/>
      <c r="E97" s="11"/>
      <c r="F97" s="11"/>
      <c r="G97" s="11" t="s">
        <v>264</v>
      </c>
      <c r="H97" s="11"/>
      <c r="I97" s="11"/>
      <c r="J97" s="11"/>
      <c r="K97" s="12" t="s">
        <v>89</v>
      </c>
      <c r="L97" s="12" t="s">
        <v>43</v>
      </c>
      <c r="M97" s="11">
        <f t="shared" si="1"/>
        <v>0</v>
      </c>
      <c r="N97" s="11"/>
      <c r="O97" s="11"/>
      <c r="P97" s="11"/>
      <c r="Q97" s="11"/>
      <c r="R97" s="11"/>
      <c r="S97" s="11"/>
      <c r="T97" s="11"/>
      <c r="U97" s="11"/>
      <c r="V97" s="18"/>
      <c r="W97" s="18">
        <v>1.0</v>
      </c>
      <c r="X97" s="11"/>
      <c r="Y97" s="11"/>
      <c r="Z97" s="14">
        <f t="shared" si="2"/>
        <v>1</v>
      </c>
      <c r="AA97" s="15" t="s">
        <v>106</v>
      </c>
    </row>
    <row r="98" ht="14.25" customHeight="1">
      <c r="A98" s="12" t="s">
        <v>420</v>
      </c>
      <c r="B98" s="12" t="s">
        <v>421</v>
      </c>
      <c r="C98" s="38" t="s">
        <v>422</v>
      </c>
      <c r="D98" s="11"/>
      <c r="E98" s="11"/>
      <c r="F98" s="27" t="s">
        <v>95</v>
      </c>
      <c r="G98" s="12" t="s">
        <v>48</v>
      </c>
      <c r="H98" s="28" t="s">
        <v>423</v>
      </c>
      <c r="I98" s="11"/>
      <c r="J98" s="12"/>
      <c r="K98" s="29" t="s">
        <v>50</v>
      </c>
      <c r="L98" s="11"/>
      <c r="M98" s="11">
        <f t="shared" si="1"/>
        <v>1</v>
      </c>
      <c r="N98" s="11"/>
      <c r="O98" s="11"/>
      <c r="P98" s="11"/>
      <c r="Q98" s="11"/>
      <c r="R98" s="11"/>
      <c r="S98" s="12">
        <v>1.0</v>
      </c>
      <c r="T98" s="12"/>
      <c r="U98" s="12"/>
      <c r="V98" s="18"/>
      <c r="W98" s="18"/>
      <c r="X98" s="11"/>
      <c r="Y98" s="11"/>
      <c r="Z98" s="14">
        <f t="shared" si="2"/>
        <v>1</v>
      </c>
      <c r="AA98" s="15" t="s">
        <v>91</v>
      </c>
      <c r="AB98" s="14">
        <v>0.13656131351635048</v>
      </c>
    </row>
    <row r="99" ht="14.25" customHeight="1">
      <c r="A99" s="11" t="s">
        <v>424</v>
      </c>
      <c r="B99" s="11" t="s">
        <v>425</v>
      </c>
      <c r="C99" s="26" t="s">
        <v>426</v>
      </c>
      <c r="D99" s="11"/>
      <c r="E99" s="11"/>
      <c r="F99" s="27" t="s">
        <v>140</v>
      </c>
      <c r="G99" s="11" t="s">
        <v>427</v>
      </c>
      <c r="H99" s="28" t="s">
        <v>99</v>
      </c>
      <c r="I99" s="11"/>
      <c r="J99" s="11"/>
      <c r="K99" s="29" t="s">
        <v>50</v>
      </c>
      <c r="L99" s="12" t="s">
        <v>124</v>
      </c>
      <c r="M99" s="11">
        <f t="shared" si="1"/>
        <v>1</v>
      </c>
      <c r="N99" s="11"/>
      <c r="O99" s="11"/>
      <c r="P99" s="11"/>
      <c r="Q99" s="11"/>
      <c r="R99" s="11"/>
      <c r="S99" s="11"/>
      <c r="T99" s="11"/>
      <c r="U99" s="11"/>
      <c r="V99" s="18"/>
      <c r="W99" s="18">
        <v>1.0</v>
      </c>
      <c r="X99" s="11"/>
      <c r="Y99" s="11"/>
      <c r="Z99" s="14">
        <f t="shared" si="2"/>
        <v>1</v>
      </c>
      <c r="AA99" s="15" t="s">
        <v>52</v>
      </c>
      <c r="AB99" s="14">
        <v>0.1393330127314465</v>
      </c>
    </row>
    <row r="100" ht="14.25" hidden="1" customHeight="1">
      <c r="A100" s="11" t="s">
        <v>428</v>
      </c>
      <c r="B100" s="11" t="s">
        <v>429</v>
      </c>
      <c r="C100" s="16" t="s">
        <v>430</v>
      </c>
      <c r="D100" s="11"/>
      <c r="E100" s="11"/>
      <c r="F100" s="11"/>
      <c r="G100" s="11" t="s">
        <v>38</v>
      </c>
      <c r="H100" s="11"/>
      <c r="I100" s="11"/>
      <c r="J100" s="11"/>
      <c r="K100" s="12" t="s">
        <v>89</v>
      </c>
      <c r="L100" s="12" t="s">
        <v>252</v>
      </c>
      <c r="M100" s="11">
        <f t="shared" si="1"/>
        <v>0</v>
      </c>
      <c r="N100" s="11"/>
      <c r="O100" s="11"/>
      <c r="P100" s="11"/>
      <c r="Q100" s="11"/>
      <c r="R100" s="11"/>
      <c r="S100" s="11"/>
      <c r="T100" s="11"/>
      <c r="U100" s="11"/>
      <c r="V100" s="18"/>
      <c r="W100" s="18">
        <v>1.0</v>
      </c>
      <c r="X100" s="11"/>
      <c r="Y100" s="11"/>
      <c r="Z100" s="14">
        <f t="shared" si="2"/>
        <v>1</v>
      </c>
      <c r="AA100" s="15" t="s">
        <v>106</v>
      </c>
    </row>
    <row r="101" ht="14.25" customHeight="1">
      <c r="A101" s="11" t="s">
        <v>431</v>
      </c>
      <c r="B101" s="11" t="s">
        <v>432</v>
      </c>
      <c r="C101" s="43" t="s">
        <v>433</v>
      </c>
      <c r="D101" s="11"/>
      <c r="E101" s="11"/>
      <c r="F101" s="27" t="s">
        <v>95</v>
      </c>
      <c r="G101" s="11" t="s">
        <v>78</v>
      </c>
      <c r="H101" s="28" t="s">
        <v>172</v>
      </c>
      <c r="I101" s="11"/>
      <c r="J101" s="12"/>
      <c r="K101" s="29" t="s">
        <v>50</v>
      </c>
      <c r="L101" s="11"/>
      <c r="M101" s="11">
        <f t="shared" si="1"/>
        <v>1</v>
      </c>
      <c r="N101" s="18">
        <v>1.0</v>
      </c>
      <c r="O101" s="11"/>
      <c r="P101" s="11"/>
      <c r="Q101" s="11"/>
      <c r="R101" s="11"/>
      <c r="S101" s="12">
        <v>1.0</v>
      </c>
      <c r="T101" s="12"/>
      <c r="U101" s="12"/>
      <c r="V101" s="31">
        <v>1.0</v>
      </c>
      <c r="W101" s="18">
        <v>1.0</v>
      </c>
      <c r="X101" s="11"/>
      <c r="Y101" s="11"/>
      <c r="Z101" s="14">
        <f t="shared" si="2"/>
        <v>4</v>
      </c>
      <c r="AA101" s="15" t="s">
        <v>106</v>
      </c>
      <c r="AB101" s="14">
        <v>0.13967014278787393</v>
      </c>
    </row>
    <row r="102" ht="14.25" hidden="1" customHeight="1">
      <c r="A102" s="19" t="s">
        <v>434</v>
      </c>
      <c r="B102" s="19" t="s">
        <v>435</v>
      </c>
      <c r="C102" s="40" t="s">
        <v>436</v>
      </c>
      <c r="D102" s="21"/>
      <c r="E102" s="21"/>
      <c r="F102" s="21"/>
      <c r="G102" s="19" t="s">
        <v>132</v>
      </c>
      <c r="H102" s="21"/>
      <c r="I102" s="21"/>
      <c r="J102" s="21"/>
      <c r="K102" s="24" t="s">
        <v>89</v>
      </c>
      <c r="L102" s="24" t="s">
        <v>69</v>
      </c>
      <c r="M102" s="11">
        <f t="shared" si="1"/>
        <v>0</v>
      </c>
      <c r="N102" s="21"/>
      <c r="O102" s="21"/>
      <c r="P102" s="21"/>
      <c r="Q102" s="21"/>
      <c r="R102" s="21"/>
      <c r="S102" s="21"/>
      <c r="T102" s="21"/>
      <c r="U102" s="21"/>
      <c r="V102" s="21"/>
      <c r="W102" s="24">
        <v>1.0</v>
      </c>
      <c r="X102" s="21"/>
      <c r="Y102" s="21"/>
      <c r="Z102" s="14">
        <f t="shared" si="2"/>
        <v>1</v>
      </c>
      <c r="AA102" s="15" t="s">
        <v>106</v>
      </c>
    </row>
    <row r="103" ht="14.25" customHeight="1">
      <c r="A103" s="11" t="s">
        <v>437</v>
      </c>
      <c r="B103" s="11" t="s">
        <v>438</v>
      </c>
      <c r="C103" s="38" t="s">
        <v>439</v>
      </c>
      <c r="D103" s="11"/>
      <c r="E103" s="11"/>
      <c r="F103" s="27" t="s">
        <v>95</v>
      </c>
      <c r="G103" s="11" t="s">
        <v>440</v>
      </c>
      <c r="H103" s="39" t="s">
        <v>99</v>
      </c>
      <c r="I103" s="11"/>
      <c r="J103" s="12"/>
      <c r="K103" s="29" t="s">
        <v>50</v>
      </c>
      <c r="L103" s="11"/>
      <c r="M103" s="11">
        <f t="shared" si="1"/>
        <v>1</v>
      </c>
      <c r="N103" s="18">
        <v>1.0</v>
      </c>
      <c r="O103" s="11"/>
      <c r="P103" s="11"/>
      <c r="Q103" s="11"/>
      <c r="R103" s="11"/>
      <c r="S103" s="12">
        <v>1.0</v>
      </c>
      <c r="T103" s="12"/>
      <c r="U103" s="12"/>
      <c r="V103" s="31">
        <v>1.0</v>
      </c>
      <c r="W103" s="18">
        <v>1.0</v>
      </c>
      <c r="X103" s="11"/>
      <c r="Y103" s="11"/>
      <c r="Z103" s="14">
        <f t="shared" si="2"/>
        <v>4</v>
      </c>
      <c r="AA103" s="15" t="s">
        <v>106</v>
      </c>
      <c r="AB103" s="14">
        <v>0.1444936017355426</v>
      </c>
    </row>
    <row r="104" ht="14.25" hidden="1" customHeight="1">
      <c r="A104" s="19" t="s">
        <v>441</v>
      </c>
      <c r="B104" s="19" t="s">
        <v>442</v>
      </c>
      <c r="C104" s="52" t="s">
        <v>443</v>
      </c>
      <c r="D104" s="21"/>
      <c r="E104" s="21"/>
      <c r="F104" s="21"/>
      <c r="G104" s="19" t="s">
        <v>264</v>
      </c>
      <c r="H104" s="21"/>
      <c r="I104" s="21"/>
      <c r="J104" s="24"/>
      <c r="K104" s="24" t="s">
        <v>89</v>
      </c>
      <c r="L104" s="24" t="s">
        <v>252</v>
      </c>
      <c r="M104" s="11">
        <f t="shared" si="1"/>
        <v>0</v>
      </c>
      <c r="N104" s="21"/>
      <c r="O104" s="21"/>
      <c r="P104" s="21"/>
      <c r="Q104" s="21"/>
      <c r="R104" s="21"/>
      <c r="S104" s="21"/>
      <c r="T104" s="21"/>
      <c r="U104" s="21"/>
      <c r="V104" s="21"/>
      <c r="W104" s="24">
        <v>1.0</v>
      </c>
      <c r="X104" s="21"/>
      <c r="Y104" s="21"/>
      <c r="Z104" s="14">
        <f t="shared" si="2"/>
        <v>1</v>
      </c>
      <c r="AA104" s="15" t="s">
        <v>106</v>
      </c>
    </row>
    <row r="105" ht="14.25" customHeight="1">
      <c r="A105" s="11" t="s">
        <v>444</v>
      </c>
      <c r="B105" s="11" t="s">
        <v>445</v>
      </c>
      <c r="C105" s="26" t="s">
        <v>446</v>
      </c>
      <c r="D105" s="11"/>
      <c r="E105" s="11"/>
      <c r="F105" s="27" t="s">
        <v>351</v>
      </c>
      <c r="G105" s="11" t="s">
        <v>196</v>
      </c>
      <c r="H105" s="28" t="s">
        <v>447</v>
      </c>
      <c r="I105" s="11"/>
      <c r="J105" s="11"/>
      <c r="K105" s="25" t="s">
        <v>50</v>
      </c>
      <c r="L105" s="12" t="s">
        <v>448</v>
      </c>
      <c r="M105" s="11">
        <f t="shared" si="1"/>
        <v>1</v>
      </c>
      <c r="N105" s="11"/>
      <c r="O105" s="11"/>
      <c r="P105" s="11"/>
      <c r="Q105" s="11"/>
      <c r="R105" s="11"/>
      <c r="S105" s="11"/>
      <c r="T105" s="11"/>
      <c r="U105" s="11"/>
      <c r="V105" s="18"/>
      <c r="W105" s="18">
        <v>1.0</v>
      </c>
      <c r="X105" s="11"/>
      <c r="Y105" s="11"/>
      <c r="Z105" s="14">
        <f t="shared" si="2"/>
        <v>1</v>
      </c>
      <c r="AA105" s="15" t="s">
        <v>52</v>
      </c>
      <c r="AB105" s="14">
        <v>0.14454522728288988</v>
      </c>
    </row>
    <row r="106" ht="14.25" customHeight="1">
      <c r="A106" s="45" t="s">
        <v>449</v>
      </c>
      <c r="B106" s="45" t="s">
        <v>450</v>
      </c>
      <c r="C106" s="56" t="s">
        <v>451</v>
      </c>
      <c r="D106" s="45"/>
      <c r="E106" s="45"/>
      <c r="F106" s="22" t="s">
        <v>62</v>
      </c>
      <c r="G106" s="45" t="s">
        <v>361</v>
      </c>
      <c r="H106" s="23" t="s">
        <v>452</v>
      </c>
      <c r="I106" s="45"/>
      <c r="J106" s="45"/>
      <c r="K106" s="25" t="s">
        <v>58</v>
      </c>
      <c r="L106" s="24" t="s">
        <v>453</v>
      </c>
      <c r="M106" s="11">
        <f t="shared" si="1"/>
        <v>1</v>
      </c>
      <c r="N106" s="45"/>
      <c r="O106" s="45"/>
      <c r="P106" s="45">
        <v>1.0</v>
      </c>
      <c r="Q106" s="45"/>
      <c r="R106" s="45"/>
      <c r="S106" s="45"/>
      <c r="T106" s="45"/>
      <c r="U106" s="45"/>
      <c r="V106" s="45"/>
      <c r="W106" s="45"/>
      <c r="X106" s="45"/>
      <c r="Y106" s="45"/>
      <c r="Z106" s="14">
        <f t="shared" si="2"/>
        <v>1</v>
      </c>
      <c r="AA106" s="15" t="s">
        <v>33</v>
      </c>
      <c r="AB106" s="14">
        <v>0.14786988841718318</v>
      </c>
    </row>
    <row r="107" ht="14.25" hidden="1" customHeight="1">
      <c r="A107" s="19" t="s">
        <v>454</v>
      </c>
      <c r="B107" s="19" t="s">
        <v>455</v>
      </c>
      <c r="C107" s="52" t="s">
        <v>456</v>
      </c>
      <c r="D107" s="21"/>
      <c r="E107" s="21"/>
      <c r="F107" s="21"/>
      <c r="G107" s="19" t="s">
        <v>132</v>
      </c>
      <c r="H107" s="21"/>
      <c r="I107" s="21"/>
      <c r="J107" s="24"/>
      <c r="K107" s="24" t="s">
        <v>89</v>
      </c>
      <c r="L107" s="24" t="s">
        <v>69</v>
      </c>
      <c r="M107" s="11">
        <f t="shared" si="1"/>
        <v>0</v>
      </c>
      <c r="N107" s="21"/>
      <c r="O107" s="21"/>
      <c r="P107" s="21"/>
      <c r="Q107" s="21"/>
      <c r="R107" s="21"/>
      <c r="S107" s="21"/>
      <c r="T107" s="21"/>
      <c r="U107" s="21"/>
      <c r="V107" s="21"/>
      <c r="W107" s="24">
        <v>1.0</v>
      </c>
      <c r="X107" s="21"/>
      <c r="Y107" s="21"/>
      <c r="Z107" s="14">
        <f t="shared" si="2"/>
        <v>1</v>
      </c>
      <c r="AA107" s="15" t="s">
        <v>106</v>
      </c>
    </row>
    <row r="108" ht="14.25" hidden="1" customHeight="1">
      <c r="A108" s="11" t="s">
        <v>457</v>
      </c>
      <c r="B108" s="11" t="s">
        <v>455</v>
      </c>
      <c r="C108" s="42" t="s">
        <v>458</v>
      </c>
      <c r="D108" s="11"/>
      <c r="E108" s="11"/>
      <c r="F108" s="11"/>
      <c r="G108" s="11" t="s">
        <v>132</v>
      </c>
      <c r="H108" s="11"/>
      <c r="I108" s="11"/>
      <c r="J108" s="11"/>
      <c r="K108" s="11" t="s">
        <v>31</v>
      </c>
      <c r="L108" s="12" t="s">
        <v>51</v>
      </c>
      <c r="M108" s="11">
        <f t="shared" si="1"/>
        <v>0</v>
      </c>
      <c r="N108" s="11"/>
      <c r="O108" s="11"/>
      <c r="P108" s="11"/>
      <c r="Q108" s="11"/>
      <c r="R108" s="11"/>
      <c r="S108" s="11"/>
      <c r="T108" s="11"/>
      <c r="U108" s="11"/>
      <c r="V108" s="31">
        <v>1.0</v>
      </c>
      <c r="W108" s="18">
        <v>1.0</v>
      </c>
      <c r="X108" s="11"/>
      <c r="Y108" s="11"/>
      <c r="Z108" s="14">
        <f t="shared" si="2"/>
        <v>2</v>
      </c>
      <c r="AA108" s="15" t="s">
        <v>106</v>
      </c>
    </row>
    <row r="109" ht="14.25" hidden="1" customHeight="1">
      <c r="A109" s="19" t="s">
        <v>459</v>
      </c>
      <c r="B109" s="19" t="s">
        <v>455</v>
      </c>
      <c r="C109" s="52" t="s">
        <v>460</v>
      </c>
      <c r="D109" s="21"/>
      <c r="E109" s="21"/>
      <c r="F109" s="21"/>
      <c r="G109" s="19" t="s">
        <v>132</v>
      </c>
      <c r="H109" s="21"/>
      <c r="I109" s="21"/>
      <c r="J109" s="21"/>
      <c r="K109" s="24" t="s">
        <v>89</v>
      </c>
      <c r="L109" s="24" t="s">
        <v>200</v>
      </c>
      <c r="M109" s="11">
        <f t="shared" si="1"/>
        <v>0</v>
      </c>
      <c r="N109" s="21"/>
      <c r="O109" s="21"/>
      <c r="P109" s="21"/>
      <c r="Q109" s="21"/>
      <c r="R109" s="21"/>
      <c r="S109" s="21"/>
      <c r="T109" s="21"/>
      <c r="U109" s="21"/>
      <c r="V109" s="21"/>
      <c r="W109" s="24">
        <v>1.0</v>
      </c>
      <c r="X109" s="21"/>
      <c r="Y109" s="21"/>
      <c r="Z109" s="14">
        <f t="shared" si="2"/>
        <v>1</v>
      </c>
      <c r="AA109" s="15" t="s">
        <v>106</v>
      </c>
    </row>
    <row r="110" ht="14.25" customHeight="1">
      <c r="A110" s="11" t="s">
        <v>461</v>
      </c>
      <c r="B110" s="11" t="s">
        <v>462</v>
      </c>
      <c r="C110" s="26" t="s">
        <v>463</v>
      </c>
      <c r="D110" s="11"/>
      <c r="E110" s="11"/>
      <c r="F110" s="27" t="s">
        <v>56</v>
      </c>
      <c r="G110" s="11" t="s">
        <v>38</v>
      </c>
      <c r="H110" s="28" t="s">
        <v>464</v>
      </c>
      <c r="I110" s="11"/>
      <c r="J110" s="11"/>
      <c r="K110" s="29" t="s">
        <v>50</v>
      </c>
      <c r="L110" s="12" t="s">
        <v>152</v>
      </c>
      <c r="M110" s="11">
        <f t="shared" si="1"/>
        <v>1</v>
      </c>
      <c r="N110" s="11"/>
      <c r="O110" s="11"/>
      <c r="P110" s="11"/>
      <c r="Q110" s="11"/>
      <c r="R110" s="11"/>
      <c r="S110" s="11"/>
      <c r="T110" s="11"/>
      <c r="U110" s="11"/>
      <c r="V110" s="18"/>
      <c r="W110" s="18">
        <v>1.0</v>
      </c>
      <c r="X110" s="11"/>
      <c r="Y110" s="11"/>
      <c r="Z110" s="14">
        <f t="shared" si="2"/>
        <v>1</v>
      </c>
      <c r="AA110" s="15" t="s">
        <v>91</v>
      </c>
      <c r="AB110" s="14">
        <v>0.1532246215332348</v>
      </c>
    </row>
    <row r="111" ht="14.25" hidden="1" customHeight="1">
      <c r="A111" s="11" t="s">
        <v>465</v>
      </c>
      <c r="B111" s="11" t="s">
        <v>466</v>
      </c>
      <c r="C111" s="42" t="s">
        <v>467</v>
      </c>
      <c r="D111" s="11"/>
      <c r="E111" s="11"/>
      <c r="F111" s="11"/>
      <c r="G111" s="11" t="s">
        <v>48</v>
      </c>
      <c r="H111" s="11"/>
      <c r="I111" s="11"/>
      <c r="J111" s="11"/>
      <c r="K111" s="11" t="s">
        <v>31</v>
      </c>
      <c r="L111" s="12" t="s">
        <v>468</v>
      </c>
      <c r="M111" s="11">
        <f t="shared" si="1"/>
        <v>0</v>
      </c>
      <c r="N111" s="11"/>
      <c r="O111" s="11"/>
      <c r="P111" s="11"/>
      <c r="Q111" s="11"/>
      <c r="R111" s="11"/>
      <c r="S111" s="11"/>
      <c r="T111" s="11"/>
      <c r="U111" s="11"/>
      <c r="V111" s="18"/>
      <c r="W111" s="18">
        <v>1.0</v>
      </c>
      <c r="X111" s="11"/>
      <c r="Y111" s="11"/>
      <c r="Z111" s="14">
        <f t="shared" si="2"/>
        <v>1</v>
      </c>
      <c r="AA111" s="15" t="s">
        <v>106</v>
      </c>
    </row>
    <row r="112" ht="14.25" hidden="1" customHeight="1">
      <c r="A112" s="19" t="s">
        <v>469</v>
      </c>
      <c r="B112" s="19" t="s">
        <v>470</v>
      </c>
      <c r="C112" s="52" t="s">
        <v>471</v>
      </c>
      <c r="D112" s="21"/>
      <c r="E112" s="21"/>
      <c r="F112" s="21"/>
      <c r="G112" s="19" t="s">
        <v>132</v>
      </c>
      <c r="H112" s="21"/>
      <c r="I112" s="21"/>
      <c r="J112" s="21"/>
      <c r="K112" s="24" t="s">
        <v>89</v>
      </c>
      <c r="L112" s="24" t="s">
        <v>69</v>
      </c>
      <c r="M112" s="11">
        <f t="shared" si="1"/>
        <v>0</v>
      </c>
      <c r="N112" s="21"/>
      <c r="O112" s="21"/>
      <c r="P112" s="21"/>
      <c r="Q112" s="21"/>
      <c r="R112" s="21"/>
      <c r="S112" s="21"/>
      <c r="T112" s="21"/>
      <c r="U112" s="21"/>
      <c r="V112" s="21"/>
      <c r="W112" s="24">
        <v>1.0</v>
      </c>
      <c r="X112" s="21"/>
      <c r="Y112" s="21"/>
      <c r="Z112" s="14">
        <f t="shared" si="2"/>
        <v>1</v>
      </c>
      <c r="AA112" s="15" t="s">
        <v>106</v>
      </c>
    </row>
    <row r="113" ht="14.25" hidden="1" customHeight="1">
      <c r="A113" s="11" t="s">
        <v>472</v>
      </c>
      <c r="B113" s="11" t="s">
        <v>473</v>
      </c>
      <c r="C113" s="57" t="s">
        <v>474</v>
      </c>
      <c r="D113" s="11"/>
      <c r="E113" s="11"/>
      <c r="F113" s="11"/>
      <c r="G113" s="11" t="s">
        <v>132</v>
      </c>
      <c r="H113" s="11"/>
      <c r="I113" s="11"/>
      <c r="J113" s="11"/>
      <c r="K113" s="11" t="s">
        <v>31</v>
      </c>
      <c r="L113" s="11" t="s">
        <v>69</v>
      </c>
      <c r="M113" s="11">
        <f t="shared" si="1"/>
        <v>0</v>
      </c>
      <c r="N113" s="11"/>
      <c r="O113" s="11"/>
      <c r="P113" s="11"/>
      <c r="Q113" s="11"/>
      <c r="R113" s="11"/>
      <c r="S113" s="11"/>
      <c r="T113" s="11"/>
      <c r="U113" s="11"/>
      <c r="V113" s="18"/>
      <c r="W113" s="18">
        <v>1.0</v>
      </c>
      <c r="X113" s="11"/>
      <c r="Y113" s="11"/>
      <c r="Z113" s="14">
        <f t="shared" si="2"/>
        <v>1</v>
      </c>
      <c r="AA113" s="15" t="s">
        <v>106</v>
      </c>
    </row>
    <row r="114" ht="14.25" hidden="1" customHeight="1">
      <c r="A114" s="19" t="s">
        <v>475</v>
      </c>
      <c r="B114" s="19" t="s">
        <v>476</v>
      </c>
      <c r="C114" s="52" t="s">
        <v>477</v>
      </c>
      <c r="D114" s="21"/>
      <c r="E114" s="21"/>
      <c r="F114" s="21"/>
      <c r="G114" s="19" t="s">
        <v>132</v>
      </c>
      <c r="H114" s="21"/>
      <c r="I114" s="21"/>
      <c r="J114" s="21"/>
      <c r="K114" s="24" t="s">
        <v>89</v>
      </c>
      <c r="L114" s="24" t="s">
        <v>69</v>
      </c>
      <c r="M114" s="11">
        <f t="shared" si="1"/>
        <v>0</v>
      </c>
      <c r="N114" s="21"/>
      <c r="O114" s="21"/>
      <c r="P114" s="21"/>
      <c r="Q114" s="21"/>
      <c r="R114" s="21"/>
      <c r="S114" s="21"/>
      <c r="T114" s="21"/>
      <c r="U114" s="21"/>
      <c r="V114" s="21"/>
      <c r="W114" s="24">
        <v>1.0</v>
      </c>
      <c r="X114" s="21"/>
      <c r="Y114" s="21"/>
      <c r="Z114" s="14">
        <f t="shared" si="2"/>
        <v>1</v>
      </c>
      <c r="AA114" s="15" t="s">
        <v>106</v>
      </c>
    </row>
    <row r="115" ht="14.25" customHeight="1">
      <c r="A115" s="19" t="s">
        <v>478</v>
      </c>
      <c r="B115" s="19" t="s">
        <v>210</v>
      </c>
      <c r="C115" s="20" t="s">
        <v>479</v>
      </c>
      <c r="D115" s="21"/>
      <c r="E115" s="21"/>
      <c r="F115" s="27" t="s">
        <v>171</v>
      </c>
      <c r="G115" s="19" t="s">
        <v>38</v>
      </c>
      <c r="H115" s="23" t="s">
        <v>365</v>
      </c>
      <c r="I115" s="21"/>
      <c r="J115" s="24"/>
      <c r="K115" s="25" t="s">
        <v>50</v>
      </c>
      <c r="L115" s="24" t="s">
        <v>152</v>
      </c>
      <c r="M115" s="11">
        <f t="shared" si="1"/>
        <v>1</v>
      </c>
      <c r="N115" s="21"/>
      <c r="O115" s="21"/>
      <c r="P115" s="21"/>
      <c r="Q115" s="21"/>
      <c r="R115" s="21"/>
      <c r="S115" s="21"/>
      <c r="T115" s="21"/>
      <c r="U115" s="21"/>
      <c r="V115" s="21"/>
      <c r="W115" s="24">
        <v>1.0</v>
      </c>
      <c r="X115" s="21"/>
      <c r="Y115" s="21"/>
      <c r="Z115" s="14">
        <f t="shared" si="2"/>
        <v>1</v>
      </c>
      <c r="AA115" s="15" t="s">
        <v>52</v>
      </c>
      <c r="AB115" s="14">
        <v>0.15372579297221256</v>
      </c>
    </row>
    <row r="116" ht="14.25" customHeight="1">
      <c r="A116" s="12" t="s">
        <v>480</v>
      </c>
      <c r="B116" s="12" t="s">
        <v>481</v>
      </c>
      <c r="C116" s="35" t="s">
        <v>482</v>
      </c>
      <c r="D116" s="11"/>
      <c r="E116" s="11"/>
      <c r="F116" s="27" t="s">
        <v>95</v>
      </c>
      <c r="G116" s="12" t="s">
        <v>196</v>
      </c>
      <c r="H116" s="28" t="s">
        <v>99</v>
      </c>
      <c r="I116" s="11"/>
      <c r="J116" s="12"/>
      <c r="K116" s="29" t="s">
        <v>50</v>
      </c>
      <c r="L116" s="12" t="s">
        <v>51</v>
      </c>
      <c r="M116" s="11">
        <f t="shared" si="1"/>
        <v>1</v>
      </c>
      <c r="N116" s="11"/>
      <c r="O116" s="11"/>
      <c r="P116" s="11"/>
      <c r="Q116" s="11"/>
      <c r="R116" s="11"/>
      <c r="S116" s="11"/>
      <c r="T116" s="11"/>
      <c r="U116" s="11"/>
      <c r="V116" s="31">
        <v>1.0</v>
      </c>
      <c r="W116" s="31">
        <v>1.0</v>
      </c>
      <c r="X116" s="11"/>
      <c r="Y116" s="11"/>
      <c r="Z116" s="14">
        <f t="shared" si="2"/>
        <v>2</v>
      </c>
      <c r="AA116" s="15" t="s">
        <v>106</v>
      </c>
      <c r="AB116" s="14">
        <v>0.15537358111809274</v>
      </c>
    </row>
    <row r="117" ht="14.25" customHeight="1">
      <c r="A117" s="11" t="s">
        <v>483</v>
      </c>
      <c r="B117" s="11" t="s">
        <v>484</v>
      </c>
      <c r="C117" s="35" t="s">
        <v>485</v>
      </c>
      <c r="D117" s="11"/>
      <c r="E117" s="11"/>
      <c r="F117" s="27" t="s">
        <v>351</v>
      </c>
      <c r="G117" s="11" t="s">
        <v>132</v>
      </c>
      <c r="H117" s="28" t="s">
        <v>486</v>
      </c>
      <c r="I117" s="11"/>
      <c r="J117" s="11"/>
      <c r="K117" s="29" t="s">
        <v>50</v>
      </c>
      <c r="L117" s="12" t="s">
        <v>51</v>
      </c>
      <c r="M117" s="11">
        <f t="shared" si="1"/>
        <v>1</v>
      </c>
      <c r="N117" s="11"/>
      <c r="O117" s="11"/>
      <c r="P117" s="11"/>
      <c r="Q117" s="11"/>
      <c r="R117" s="11"/>
      <c r="S117" s="11"/>
      <c r="T117" s="11"/>
      <c r="U117" s="11"/>
      <c r="V117" s="18"/>
      <c r="W117" s="18">
        <v>1.0</v>
      </c>
      <c r="X117" s="11"/>
      <c r="Y117" s="11"/>
      <c r="Z117" s="14">
        <f t="shared" si="2"/>
        <v>1</v>
      </c>
      <c r="AA117" s="15" t="s">
        <v>91</v>
      </c>
      <c r="AB117" s="14">
        <v>0.15566159258118462</v>
      </c>
    </row>
    <row r="118" ht="14.25" customHeight="1">
      <c r="A118" s="12" t="s">
        <v>487</v>
      </c>
      <c r="B118" s="12" t="s">
        <v>374</v>
      </c>
      <c r="C118" s="38" t="s">
        <v>488</v>
      </c>
      <c r="D118" s="11"/>
      <c r="E118" s="11"/>
      <c r="F118" s="27" t="s">
        <v>95</v>
      </c>
      <c r="G118" s="12" t="s">
        <v>48</v>
      </c>
      <c r="H118" s="28" t="s">
        <v>489</v>
      </c>
      <c r="I118" s="11"/>
      <c r="J118" s="12"/>
      <c r="K118" s="29" t="s">
        <v>50</v>
      </c>
      <c r="L118" s="12" t="s">
        <v>105</v>
      </c>
      <c r="M118" s="11">
        <f t="shared" si="1"/>
        <v>1</v>
      </c>
      <c r="N118" s="18"/>
      <c r="O118" s="11"/>
      <c r="P118" s="11"/>
      <c r="Q118" s="11"/>
      <c r="R118" s="11"/>
      <c r="S118" s="11"/>
      <c r="T118" s="11"/>
      <c r="U118" s="11"/>
      <c r="V118" s="18"/>
      <c r="W118" s="18"/>
      <c r="X118" s="11"/>
      <c r="Y118" s="11"/>
      <c r="Z118" s="14">
        <f t="shared" si="2"/>
        <v>0</v>
      </c>
      <c r="AA118" s="15" t="s">
        <v>106</v>
      </c>
      <c r="AB118" s="14">
        <v>0.1566668508835426</v>
      </c>
    </row>
    <row r="119" ht="14.25" hidden="1" customHeight="1">
      <c r="A119" s="19" t="s">
        <v>490</v>
      </c>
      <c r="B119" s="19" t="s">
        <v>491</v>
      </c>
      <c r="C119" s="44" t="s">
        <v>492</v>
      </c>
      <c r="D119" s="21"/>
      <c r="E119" s="21"/>
      <c r="F119" s="21"/>
      <c r="G119" s="19" t="s">
        <v>83</v>
      </c>
      <c r="H119" s="21"/>
      <c r="I119" s="21"/>
      <c r="J119" s="21"/>
      <c r="K119" s="24" t="s">
        <v>89</v>
      </c>
      <c r="L119" s="24" t="s">
        <v>252</v>
      </c>
      <c r="M119" s="11">
        <f t="shared" si="1"/>
        <v>0</v>
      </c>
      <c r="N119" s="21"/>
      <c r="O119" s="21"/>
      <c r="P119" s="21"/>
      <c r="Q119" s="21"/>
      <c r="R119" s="21"/>
      <c r="S119" s="21"/>
      <c r="T119" s="21"/>
      <c r="U119" s="21"/>
      <c r="V119" s="21"/>
      <c r="W119" s="24">
        <v>1.0</v>
      </c>
      <c r="X119" s="21"/>
      <c r="Y119" s="21"/>
      <c r="Z119" s="14">
        <f t="shared" si="2"/>
        <v>1</v>
      </c>
      <c r="AA119" s="15" t="s">
        <v>106</v>
      </c>
    </row>
    <row r="120" ht="15.0" customHeight="1">
      <c r="A120" s="45" t="s">
        <v>493</v>
      </c>
      <c r="B120" s="45" t="s">
        <v>494</v>
      </c>
      <c r="C120" s="43" t="s">
        <v>495</v>
      </c>
      <c r="D120" s="45"/>
      <c r="E120" s="45"/>
      <c r="F120" s="27" t="s">
        <v>140</v>
      </c>
      <c r="G120" s="45" t="s">
        <v>196</v>
      </c>
      <c r="H120" s="23" t="s">
        <v>104</v>
      </c>
      <c r="I120" s="45"/>
      <c r="J120" s="45"/>
      <c r="K120" s="25" t="s">
        <v>50</v>
      </c>
      <c r="L120" s="24" t="s">
        <v>51</v>
      </c>
      <c r="M120" s="11">
        <f t="shared" si="1"/>
        <v>1</v>
      </c>
      <c r="N120" s="45"/>
      <c r="O120" s="45"/>
      <c r="P120" s="45">
        <v>1.0</v>
      </c>
      <c r="Q120" s="45"/>
      <c r="R120" s="45"/>
      <c r="S120" s="45"/>
      <c r="T120" s="45"/>
      <c r="U120" s="45"/>
      <c r="V120" s="45"/>
      <c r="W120" s="45"/>
      <c r="X120" s="45"/>
      <c r="Y120" s="45"/>
      <c r="Z120" s="14">
        <f t="shared" si="2"/>
        <v>1</v>
      </c>
      <c r="AA120" s="15" t="s">
        <v>91</v>
      </c>
      <c r="AB120" s="14">
        <v>0.1587803135393876</v>
      </c>
    </row>
    <row r="121" ht="14.25" customHeight="1">
      <c r="A121" s="19" t="s">
        <v>496</v>
      </c>
      <c r="B121" s="19" t="s">
        <v>497</v>
      </c>
      <c r="C121" s="33" t="s">
        <v>498</v>
      </c>
      <c r="D121" s="21"/>
      <c r="E121" s="21"/>
      <c r="F121" s="22" t="s">
        <v>405</v>
      </c>
      <c r="G121" s="19" t="s">
        <v>38</v>
      </c>
      <c r="H121" s="23" t="s">
        <v>499</v>
      </c>
      <c r="I121" s="21"/>
      <c r="J121" s="21"/>
      <c r="K121" s="58" t="s">
        <v>50</v>
      </c>
      <c r="L121" s="53" t="s">
        <v>51</v>
      </c>
      <c r="M121" s="11">
        <f t="shared" si="1"/>
        <v>1</v>
      </c>
      <c r="N121" s="21"/>
      <c r="O121" s="21"/>
      <c r="P121" s="21"/>
      <c r="Q121" s="21"/>
      <c r="R121" s="21"/>
      <c r="S121" s="21"/>
      <c r="T121" s="21"/>
      <c r="U121" s="21"/>
      <c r="V121" s="21"/>
      <c r="W121" s="24">
        <v>1.0</v>
      </c>
      <c r="X121" s="21"/>
      <c r="Y121" s="21"/>
      <c r="Z121" s="14">
        <f t="shared" si="2"/>
        <v>1</v>
      </c>
      <c r="AA121" s="15" t="s">
        <v>106</v>
      </c>
      <c r="AB121" s="14">
        <v>0.162945510412001</v>
      </c>
    </row>
    <row r="122" ht="14.25" customHeight="1">
      <c r="A122" s="11" t="s">
        <v>500</v>
      </c>
      <c r="B122" s="12" t="s">
        <v>462</v>
      </c>
      <c r="C122" s="37" t="s">
        <v>501</v>
      </c>
      <c r="D122" s="12" t="s">
        <v>29</v>
      </c>
      <c r="E122" s="12" t="s">
        <v>29</v>
      </c>
      <c r="F122" s="27" t="s">
        <v>56</v>
      </c>
      <c r="G122" s="11" t="s">
        <v>83</v>
      </c>
      <c r="H122" s="28" t="s">
        <v>502</v>
      </c>
      <c r="I122" s="11"/>
      <c r="J122" s="11"/>
      <c r="K122" s="29" t="s">
        <v>50</v>
      </c>
      <c r="L122" s="11"/>
      <c r="M122" s="11">
        <f t="shared" si="1"/>
        <v>1</v>
      </c>
      <c r="N122" s="18">
        <v>1.0</v>
      </c>
      <c r="O122" s="18">
        <v>1.0</v>
      </c>
      <c r="P122" s="18"/>
      <c r="Q122" s="31">
        <v>1.0</v>
      </c>
      <c r="R122" s="18"/>
      <c r="S122" s="31">
        <v>1.0</v>
      </c>
      <c r="T122" s="31">
        <v>1.0</v>
      </c>
      <c r="U122" s="31"/>
      <c r="V122" s="31">
        <v>1.0</v>
      </c>
      <c r="W122" s="18">
        <v>1.0</v>
      </c>
      <c r="X122" s="31">
        <v>1.0</v>
      </c>
      <c r="Y122" s="18">
        <v>1.0</v>
      </c>
      <c r="Z122" s="14">
        <f t="shared" si="2"/>
        <v>9</v>
      </c>
      <c r="AA122" s="15" t="s">
        <v>106</v>
      </c>
      <c r="AB122" s="14">
        <v>0.16607159884390044</v>
      </c>
    </row>
    <row r="123" ht="14.25" customHeight="1">
      <c r="A123" s="11" t="s">
        <v>503</v>
      </c>
      <c r="B123" s="11" t="s">
        <v>504</v>
      </c>
      <c r="C123" s="59" t="s">
        <v>505</v>
      </c>
      <c r="D123" s="11"/>
      <c r="E123" s="11"/>
      <c r="F123" s="27" t="s">
        <v>351</v>
      </c>
      <c r="G123" s="11" t="s">
        <v>38</v>
      </c>
      <c r="H123" s="28" t="s">
        <v>506</v>
      </c>
      <c r="I123" s="11"/>
      <c r="J123" s="11"/>
      <c r="K123" s="29" t="s">
        <v>58</v>
      </c>
      <c r="L123" s="12" t="s">
        <v>51</v>
      </c>
      <c r="M123" s="11">
        <f t="shared" si="1"/>
        <v>1</v>
      </c>
      <c r="N123" s="11"/>
      <c r="O123" s="11"/>
      <c r="P123" s="11"/>
      <c r="Q123" s="11"/>
      <c r="R123" s="11"/>
      <c r="S123" s="11"/>
      <c r="T123" s="11"/>
      <c r="U123" s="11"/>
      <c r="V123" s="18"/>
      <c r="W123" s="18">
        <v>1.0</v>
      </c>
      <c r="X123" s="11"/>
      <c r="Y123" s="11"/>
      <c r="Z123" s="14">
        <f t="shared" si="2"/>
        <v>1</v>
      </c>
      <c r="AA123" s="15" t="s">
        <v>33</v>
      </c>
      <c r="AB123" s="14">
        <v>0.18355077074275816</v>
      </c>
    </row>
    <row r="124" ht="14.25" hidden="1" customHeight="1">
      <c r="A124" s="19" t="s">
        <v>507</v>
      </c>
      <c r="B124" s="19" t="s">
        <v>508</v>
      </c>
      <c r="C124" s="40" t="s">
        <v>509</v>
      </c>
      <c r="D124" s="21"/>
      <c r="E124" s="21"/>
      <c r="F124" s="21"/>
      <c r="G124" s="19" t="s">
        <v>83</v>
      </c>
      <c r="H124" s="21"/>
      <c r="I124" s="21"/>
      <c r="J124" s="24"/>
      <c r="K124" s="24" t="s">
        <v>89</v>
      </c>
      <c r="L124" s="24" t="s">
        <v>119</v>
      </c>
      <c r="M124" s="11">
        <f t="shared" si="1"/>
        <v>0</v>
      </c>
      <c r="N124" s="21"/>
      <c r="O124" s="21"/>
      <c r="P124" s="21"/>
      <c r="Q124" s="21"/>
      <c r="R124" s="21"/>
      <c r="S124" s="21"/>
      <c r="T124" s="21"/>
      <c r="U124" s="21"/>
      <c r="V124" s="21"/>
      <c r="W124" s="24">
        <v>1.0</v>
      </c>
      <c r="X124" s="21"/>
      <c r="Y124" s="21"/>
      <c r="Z124" s="14">
        <f t="shared" si="2"/>
        <v>1</v>
      </c>
      <c r="AA124" s="15" t="s">
        <v>106</v>
      </c>
    </row>
    <row r="125" ht="14.25" customHeight="1">
      <c r="A125" s="11" t="s">
        <v>510</v>
      </c>
      <c r="B125" s="11" t="s">
        <v>511</v>
      </c>
      <c r="C125" s="26" t="s">
        <v>512</v>
      </c>
      <c r="D125" s="11"/>
      <c r="E125" s="11"/>
      <c r="F125" s="27" t="s">
        <v>77</v>
      </c>
      <c r="G125" s="11" t="s">
        <v>513</v>
      </c>
      <c r="H125" s="28" t="s">
        <v>104</v>
      </c>
      <c r="I125" s="11"/>
      <c r="J125" s="11"/>
      <c r="K125" s="29" t="s">
        <v>50</v>
      </c>
      <c r="L125" s="12" t="s">
        <v>288</v>
      </c>
      <c r="M125" s="11">
        <f t="shared" si="1"/>
        <v>1</v>
      </c>
      <c r="N125" s="11"/>
      <c r="O125" s="11"/>
      <c r="P125" s="11"/>
      <c r="Q125" s="11"/>
      <c r="R125" s="11"/>
      <c r="S125" s="11"/>
      <c r="T125" s="11"/>
      <c r="U125" s="11"/>
      <c r="V125" s="18"/>
      <c r="W125" s="18">
        <v>1.0</v>
      </c>
      <c r="X125" s="11"/>
      <c r="Y125" s="11"/>
      <c r="Z125" s="14">
        <f t="shared" si="2"/>
        <v>1</v>
      </c>
      <c r="AA125" s="15" t="s">
        <v>52</v>
      </c>
      <c r="AB125" s="14">
        <v>0.18548904750341944</v>
      </c>
    </row>
    <row r="126" ht="14.25" customHeight="1">
      <c r="A126" s="11" t="s">
        <v>514</v>
      </c>
      <c r="B126" s="12" t="s">
        <v>515</v>
      </c>
      <c r="C126" s="35" t="s">
        <v>516</v>
      </c>
      <c r="D126" s="11"/>
      <c r="E126" s="11"/>
      <c r="F126" s="22" t="s">
        <v>103</v>
      </c>
      <c r="G126" s="11" t="s">
        <v>38</v>
      </c>
      <c r="H126" s="28" t="s">
        <v>64</v>
      </c>
      <c r="I126" s="11"/>
      <c r="J126" s="11"/>
      <c r="K126" s="29" t="s">
        <v>50</v>
      </c>
      <c r="L126" s="12" t="s">
        <v>65</v>
      </c>
      <c r="M126" s="11">
        <f t="shared" si="1"/>
        <v>1</v>
      </c>
      <c r="N126" s="11"/>
      <c r="O126" s="11"/>
      <c r="P126" s="11"/>
      <c r="Q126" s="11"/>
      <c r="R126" s="11"/>
      <c r="S126" s="12">
        <v>1.0</v>
      </c>
      <c r="T126" s="12"/>
      <c r="U126" s="12"/>
      <c r="V126" s="18"/>
      <c r="W126" s="18">
        <v>1.0</v>
      </c>
      <c r="X126" s="11"/>
      <c r="Y126" s="11"/>
      <c r="Z126" s="14">
        <f t="shared" si="2"/>
        <v>2</v>
      </c>
      <c r="AA126" s="15" t="s">
        <v>106</v>
      </c>
      <c r="AB126" s="14">
        <v>0.18556350360535157</v>
      </c>
    </row>
    <row r="127" ht="14.25" customHeight="1">
      <c r="A127" s="11" t="s">
        <v>517</v>
      </c>
      <c r="B127" s="11" t="s">
        <v>518</v>
      </c>
      <c r="C127" s="26" t="s">
        <v>519</v>
      </c>
      <c r="D127" s="11"/>
      <c r="E127" s="11"/>
      <c r="F127" s="27" t="s">
        <v>62</v>
      </c>
      <c r="G127" s="11" t="s">
        <v>48</v>
      </c>
      <c r="H127" s="28" t="s">
        <v>520</v>
      </c>
      <c r="I127" s="11"/>
      <c r="J127" s="11"/>
      <c r="K127" s="29" t="s">
        <v>50</v>
      </c>
      <c r="L127" s="12" t="s">
        <v>51</v>
      </c>
      <c r="M127" s="11">
        <f t="shared" si="1"/>
        <v>1</v>
      </c>
      <c r="N127" s="11"/>
      <c r="O127" s="11"/>
      <c r="P127" s="11"/>
      <c r="Q127" s="11"/>
      <c r="R127" s="11"/>
      <c r="S127" s="11"/>
      <c r="T127" s="11"/>
      <c r="U127" s="11"/>
      <c r="V127" s="18"/>
      <c r="W127" s="18">
        <v>1.0</v>
      </c>
      <c r="X127" s="11"/>
      <c r="Y127" s="11"/>
      <c r="Z127" s="14">
        <f t="shared" si="2"/>
        <v>1</v>
      </c>
      <c r="AA127" s="15" t="s">
        <v>52</v>
      </c>
      <c r="AB127" s="14">
        <v>0.18738990614615347</v>
      </c>
    </row>
    <row r="128" ht="14.25" customHeight="1">
      <c r="A128" s="12" t="s">
        <v>521</v>
      </c>
      <c r="B128" s="12" t="s">
        <v>522</v>
      </c>
      <c r="C128" s="38" t="s">
        <v>523</v>
      </c>
      <c r="D128" s="11"/>
      <c r="E128" s="11"/>
      <c r="F128" s="27" t="s">
        <v>140</v>
      </c>
      <c r="G128" s="12" t="s">
        <v>48</v>
      </c>
      <c r="H128" s="28" t="s">
        <v>524</v>
      </c>
      <c r="I128" s="11"/>
      <c r="J128" s="12"/>
      <c r="K128" s="29" t="s">
        <v>50</v>
      </c>
      <c r="L128" s="12"/>
      <c r="M128" s="11">
        <f t="shared" si="1"/>
        <v>1</v>
      </c>
      <c r="N128" s="18"/>
      <c r="O128" s="11"/>
      <c r="P128" s="11"/>
      <c r="Q128" s="11"/>
      <c r="R128" s="11"/>
      <c r="S128" s="11"/>
      <c r="T128" s="11"/>
      <c r="U128" s="11"/>
      <c r="V128" s="31">
        <v>1.0</v>
      </c>
      <c r="W128" s="18"/>
      <c r="X128" s="11"/>
      <c r="Y128" s="11"/>
      <c r="Z128" s="14">
        <f t="shared" si="2"/>
        <v>1</v>
      </c>
      <c r="AA128" s="15" t="s">
        <v>91</v>
      </c>
      <c r="AB128" s="14">
        <v>0.18911520701045326</v>
      </c>
    </row>
    <row r="129" ht="14.25" customHeight="1">
      <c r="A129" s="11" t="s">
        <v>525</v>
      </c>
      <c r="B129" s="11" t="s">
        <v>526</v>
      </c>
      <c r="C129" s="26" t="s">
        <v>527</v>
      </c>
      <c r="D129" s="11"/>
      <c r="E129" s="11"/>
      <c r="F129" s="27" t="s">
        <v>103</v>
      </c>
      <c r="G129" s="19" t="s">
        <v>83</v>
      </c>
      <c r="H129" s="28" t="s">
        <v>528</v>
      </c>
      <c r="I129" s="11"/>
      <c r="J129" s="11"/>
      <c r="K129" s="29" t="s">
        <v>50</v>
      </c>
      <c r="L129" s="12" t="s">
        <v>152</v>
      </c>
      <c r="M129" s="11">
        <f t="shared" si="1"/>
        <v>1</v>
      </c>
      <c r="N129" s="11"/>
      <c r="O129" s="11"/>
      <c r="P129" s="11"/>
      <c r="Q129" s="11"/>
      <c r="R129" s="11"/>
      <c r="S129" s="11"/>
      <c r="T129" s="11"/>
      <c r="U129" s="11"/>
      <c r="V129" s="18"/>
      <c r="W129" s="18">
        <v>1.0</v>
      </c>
      <c r="X129" s="11"/>
      <c r="Y129" s="11"/>
      <c r="Z129" s="14">
        <f t="shared" si="2"/>
        <v>1</v>
      </c>
      <c r="AA129" s="15" t="s">
        <v>91</v>
      </c>
      <c r="AB129" s="14">
        <v>0.18964026930108424</v>
      </c>
    </row>
    <row r="130" ht="14.25" hidden="1" customHeight="1">
      <c r="A130" s="11" t="s">
        <v>529</v>
      </c>
      <c r="B130" s="11" t="s">
        <v>530</v>
      </c>
      <c r="C130" s="42" t="s">
        <v>531</v>
      </c>
      <c r="D130" s="11"/>
      <c r="E130" s="11"/>
      <c r="F130" s="11"/>
      <c r="G130" s="11" t="s">
        <v>38</v>
      </c>
      <c r="H130" s="11"/>
      <c r="I130" s="11"/>
      <c r="J130" s="11"/>
      <c r="K130" s="11" t="s">
        <v>31</v>
      </c>
      <c r="L130" s="12" t="s">
        <v>252</v>
      </c>
      <c r="M130" s="11">
        <f t="shared" si="1"/>
        <v>0</v>
      </c>
      <c r="N130" s="11"/>
      <c r="O130" s="11"/>
      <c r="P130" s="11"/>
      <c r="Q130" s="11"/>
      <c r="R130" s="11"/>
      <c r="S130" s="11"/>
      <c r="T130" s="11"/>
      <c r="U130" s="11"/>
      <c r="V130" s="18"/>
      <c r="W130" s="18">
        <v>1.0</v>
      </c>
      <c r="X130" s="11"/>
      <c r="Y130" s="11"/>
      <c r="Z130" s="14">
        <f t="shared" si="2"/>
        <v>1</v>
      </c>
      <c r="AA130" s="15" t="s">
        <v>106</v>
      </c>
    </row>
    <row r="131" ht="14.25" hidden="1" customHeight="1">
      <c r="A131" s="11" t="s">
        <v>532</v>
      </c>
      <c r="B131" s="11" t="s">
        <v>530</v>
      </c>
      <c r="C131" s="30" t="s">
        <v>533</v>
      </c>
      <c r="D131" s="11"/>
      <c r="E131" s="11"/>
      <c r="F131" s="11"/>
      <c r="G131" s="11" t="s">
        <v>38</v>
      </c>
      <c r="H131" s="11"/>
      <c r="I131" s="11"/>
      <c r="J131" s="11"/>
      <c r="K131" s="11" t="s">
        <v>31</v>
      </c>
      <c r="L131" s="12" t="s">
        <v>252</v>
      </c>
      <c r="M131" s="11">
        <f t="shared" si="1"/>
        <v>0</v>
      </c>
      <c r="N131" s="11"/>
      <c r="O131" s="11"/>
      <c r="P131" s="11"/>
      <c r="Q131" s="11"/>
      <c r="R131" s="11"/>
      <c r="S131" s="11"/>
      <c r="T131" s="11"/>
      <c r="U131" s="11"/>
      <c r="V131" s="18"/>
      <c r="W131" s="18">
        <v>1.0</v>
      </c>
      <c r="X131" s="11"/>
      <c r="Y131" s="11"/>
      <c r="Z131" s="14">
        <f t="shared" si="2"/>
        <v>1</v>
      </c>
      <c r="AA131" s="15" t="s">
        <v>106</v>
      </c>
    </row>
    <row r="132" ht="14.25" hidden="1" customHeight="1">
      <c r="A132" s="11" t="s">
        <v>534</v>
      </c>
      <c r="B132" s="11" t="s">
        <v>530</v>
      </c>
      <c r="C132" s="42" t="s">
        <v>535</v>
      </c>
      <c r="D132" s="11"/>
      <c r="E132" s="11"/>
      <c r="F132" s="11"/>
      <c r="G132" s="11" t="s">
        <v>38</v>
      </c>
      <c r="H132" s="11"/>
      <c r="I132" s="11"/>
      <c r="J132" s="11"/>
      <c r="K132" s="11" t="s">
        <v>31</v>
      </c>
      <c r="L132" s="12" t="s">
        <v>252</v>
      </c>
      <c r="M132" s="11">
        <f t="shared" si="1"/>
        <v>0</v>
      </c>
      <c r="N132" s="11"/>
      <c r="O132" s="11"/>
      <c r="P132" s="11"/>
      <c r="Q132" s="11"/>
      <c r="R132" s="11"/>
      <c r="S132" s="11"/>
      <c r="T132" s="11"/>
      <c r="U132" s="11"/>
      <c r="V132" s="18"/>
      <c r="W132" s="18">
        <v>1.0</v>
      </c>
      <c r="X132" s="11"/>
      <c r="Y132" s="11"/>
      <c r="Z132" s="14">
        <f t="shared" si="2"/>
        <v>1</v>
      </c>
      <c r="AA132" s="15" t="s">
        <v>106</v>
      </c>
    </row>
    <row r="133" ht="14.25" hidden="1" customHeight="1">
      <c r="A133" s="11" t="s">
        <v>536</v>
      </c>
      <c r="B133" s="11" t="s">
        <v>530</v>
      </c>
      <c r="C133" s="42" t="s">
        <v>537</v>
      </c>
      <c r="D133" s="11"/>
      <c r="E133" s="11"/>
      <c r="F133" s="11"/>
      <c r="G133" s="11" t="s">
        <v>38</v>
      </c>
      <c r="H133" s="11"/>
      <c r="I133" s="11"/>
      <c r="J133" s="11"/>
      <c r="K133" s="11" t="s">
        <v>31</v>
      </c>
      <c r="L133" s="12" t="s">
        <v>252</v>
      </c>
      <c r="M133" s="11">
        <f t="shared" si="1"/>
        <v>0</v>
      </c>
      <c r="N133" s="11"/>
      <c r="O133" s="11"/>
      <c r="P133" s="11"/>
      <c r="Q133" s="11"/>
      <c r="R133" s="11"/>
      <c r="S133" s="11"/>
      <c r="T133" s="11"/>
      <c r="U133" s="11"/>
      <c r="V133" s="18"/>
      <c r="W133" s="18">
        <v>1.0</v>
      </c>
      <c r="X133" s="11"/>
      <c r="Y133" s="11"/>
      <c r="Z133" s="14">
        <f t="shared" si="2"/>
        <v>1</v>
      </c>
      <c r="AA133" s="15" t="s">
        <v>106</v>
      </c>
    </row>
    <row r="134" ht="14.25" hidden="1" customHeight="1">
      <c r="A134" s="11" t="s">
        <v>538</v>
      </c>
      <c r="B134" s="11" t="s">
        <v>530</v>
      </c>
      <c r="C134" s="42" t="s">
        <v>539</v>
      </c>
      <c r="D134" s="11"/>
      <c r="E134" s="11"/>
      <c r="F134" s="11"/>
      <c r="G134" s="11" t="s">
        <v>38</v>
      </c>
      <c r="H134" s="11"/>
      <c r="I134" s="11"/>
      <c r="J134" s="11"/>
      <c r="K134" s="11" t="s">
        <v>31</v>
      </c>
      <c r="L134" s="12" t="s">
        <v>252</v>
      </c>
      <c r="M134" s="11">
        <f t="shared" si="1"/>
        <v>0</v>
      </c>
      <c r="N134" s="11"/>
      <c r="O134" s="11"/>
      <c r="P134" s="11"/>
      <c r="Q134" s="11"/>
      <c r="R134" s="11"/>
      <c r="S134" s="11"/>
      <c r="T134" s="11"/>
      <c r="U134" s="11"/>
      <c r="V134" s="18"/>
      <c r="W134" s="18">
        <v>1.0</v>
      </c>
      <c r="X134" s="11"/>
      <c r="Y134" s="11"/>
      <c r="Z134" s="14">
        <f t="shared" si="2"/>
        <v>1</v>
      </c>
      <c r="AA134" s="15" t="s">
        <v>106</v>
      </c>
    </row>
    <row r="135" ht="14.25" customHeight="1">
      <c r="A135" s="11" t="s">
        <v>540</v>
      </c>
      <c r="B135" s="11" t="s">
        <v>541</v>
      </c>
      <c r="C135" s="37" t="s">
        <v>542</v>
      </c>
      <c r="D135" s="11"/>
      <c r="E135" s="11"/>
      <c r="F135" s="27" t="s">
        <v>140</v>
      </c>
      <c r="G135" s="11" t="s">
        <v>48</v>
      </c>
      <c r="H135" s="28" t="s">
        <v>141</v>
      </c>
      <c r="I135" s="11"/>
      <c r="J135" s="11"/>
      <c r="K135" s="29" t="s">
        <v>50</v>
      </c>
      <c r="L135" s="12" t="s">
        <v>51</v>
      </c>
      <c r="M135" s="11">
        <f t="shared" si="1"/>
        <v>1</v>
      </c>
      <c r="N135" s="18">
        <v>1.0</v>
      </c>
      <c r="O135" s="11"/>
      <c r="P135" s="11"/>
      <c r="Q135" s="11"/>
      <c r="R135" s="11"/>
      <c r="S135" s="11"/>
      <c r="T135" s="11"/>
      <c r="U135" s="11"/>
      <c r="V135" s="31">
        <v>1.0</v>
      </c>
      <c r="W135" s="18">
        <v>1.0</v>
      </c>
      <c r="X135" s="11"/>
      <c r="Y135" s="11"/>
      <c r="Z135" s="14">
        <f t="shared" si="2"/>
        <v>3</v>
      </c>
      <c r="AA135" s="15" t="s">
        <v>106</v>
      </c>
      <c r="AB135" s="14">
        <v>0.19543169846027342</v>
      </c>
    </row>
    <row r="136" ht="14.25" customHeight="1">
      <c r="A136" s="32" t="s">
        <v>543</v>
      </c>
      <c r="B136" s="32" t="s">
        <v>378</v>
      </c>
      <c r="C136" s="60" t="s">
        <v>544</v>
      </c>
      <c r="D136" s="21"/>
      <c r="E136" s="21"/>
      <c r="F136" s="27" t="s">
        <v>77</v>
      </c>
      <c r="G136" s="19" t="s">
        <v>78</v>
      </c>
      <c r="H136" s="23" t="s">
        <v>545</v>
      </c>
      <c r="I136" s="21"/>
      <c r="J136" s="21"/>
      <c r="K136" s="25" t="s">
        <v>50</v>
      </c>
      <c r="L136" s="24" t="s">
        <v>105</v>
      </c>
      <c r="M136" s="11">
        <f t="shared" si="1"/>
        <v>1</v>
      </c>
      <c r="N136" s="21"/>
      <c r="O136" s="21"/>
      <c r="P136" s="21"/>
      <c r="Q136" s="21"/>
      <c r="R136" s="21"/>
      <c r="S136" s="21"/>
      <c r="T136" s="21"/>
      <c r="U136" s="21"/>
      <c r="V136" s="21"/>
      <c r="W136" s="24">
        <v>1.0</v>
      </c>
      <c r="X136" s="21"/>
      <c r="Y136" s="21"/>
      <c r="Z136" s="14">
        <f t="shared" si="2"/>
        <v>1</v>
      </c>
      <c r="AA136" s="15" t="s">
        <v>106</v>
      </c>
      <c r="AB136" s="14">
        <v>0.19709878868534092</v>
      </c>
    </row>
    <row r="137" ht="14.25" customHeight="1">
      <c r="A137" s="11" t="s">
        <v>546</v>
      </c>
      <c r="B137" s="11" t="s">
        <v>547</v>
      </c>
      <c r="C137" s="37" t="s">
        <v>548</v>
      </c>
      <c r="D137" s="11"/>
      <c r="E137" s="11"/>
      <c r="F137" s="27" t="s">
        <v>351</v>
      </c>
      <c r="G137" s="11" t="s">
        <v>78</v>
      </c>
      <c r="H137" s="28" t="s">
        <v>549</v>
      </c>
      <c r="I137" s="11"/>
      <c r="J137" s="11"/>
      <c r="K137" s="29" t="s">
        <v>58</v>
      </c>
      <c r="L137" s="12" t="s">
        <v>51</v>
      </c>
      <c r="M137" s="11">
        <f t="shared" si="1"/>
        <v>1</v>
      </c>
      <c r="N137" s="18">
        <v>1.0</v>
      </c>
      <c r="O137" s="11"/>
      <c r="P137" s="11"/>
      <c r="Q137" s="11"/>
      <c r="R137" s="11"/>
      <c r="S137" s="11"/>
      <c r="T137" s="11"/>
      <c r="U137" s="11"/>
      <c r="V137" s="11"/>
      <c r="W137" s="12">
        <v>1.0</v>
      </c>
      <c r="X137" s="11"/>
      <c r="Y137" s="11"/>
      <c r="Z137" s="14">
        <f t="shared" si="2"/>
        <v>2</v>
      </c>
      <c r="AA137" s="15" t="s">
        <v>33</v>
      </c>
      <c r="AB137" s="14">
        <v>0.20408079791760692</v>
      </c>
    </row>
    <row r="138" ht="14.25" hidden="1" customHeight="1">
      <c r="A138" s="11" t="s">
        <v>550</v>
      </c>
      <c r="B138" s="11" t="s">
        <v>551</v>
      </c>
      <c r="C138" s="16" t="s">
        <v>552</v>
      </c>
      <c r="D138" s="11"/>
      <c r="E138" s="11"/>
      <c r="F138" s="11"/>
      <c r="G138" s="11" t="s">
        <v>38</v>
      </c>
      <c r="H138" s="11"/>
      <c r="I138" s="11"/>
      <c r="J138" s="11"/>
      <c r="K138" s="12" t="s">
        <v>89</v>
      </c>
      <c r="L138" s="12" t="s">
        <v>252</v>
      </c>
      <c r="M138" s="11">
        <f t="shared" si="1"/>
        <v>0</v>
      </c>
      <c r="N138" s="11"/>
      <c r="O138" s="11"/>
      <c r="P138" s="11"/>
      <c r="Q138" s="11"/>
      <c r="R138" s="11"/>
      <c r="S138" s="11"/>
      <c r="T138" s="11"/>
      <c r="U138" s="11"/>
      <c r="V138" s="18"/>
      <c r="W138" s="18">
        <v>1.0</v>
      </c>
      <c r="X138" s="11"/>
      <c r="Y138" s="11"/>
      <c r="Z138" s="14">
        <f t="shared" si="2"/>
        <v>1</v>
      </c>
      <c r="AA138" s="15" t="s">
        <v>106</v>
      </c>
    </row>
    <row r="139" ht="14.25" customHeight="1">
      <c r="A139" s="19" t="s">
        <v>553</v>
      </c>
      <c r="B139" s="19" t="s">
        <v>310</v>
      </c>
      <c r="C139" s="35" t="s">
        <v>554</v>
      </c>
      <c r="D139" s="21"/>
      <c r="E139" s="21"/>
      <c r="F139" s="27" t="s">
        <v>56</v>
      </c>
      <c r="G139" s="19" t="s">
        <v>83</v>
      </c>
      <c r="H139" s="23" t="s">
        <v>185</v>
      </c>
      <c r="I139" s="21"/>
      <c r="J139" s="24"/>
      <c r="K139" s="25" t="s">
        <v>50</v>
      </c>
      <c r="L139" s="24" t="s">
        <v>51</v>
      </c>
      <c r="M139" s="11">
        <f t="shared" si="1"/>
        <v>1</v>
      </c>
      <c r="N139" s="21"/>
      <c r="O139" s="21"/>
      <c r="P139" s="21"/>
      <c r="Q139" s="21"/>
      <c r="R139" s="21"/>
      <c r="S139" s="21"/>
      <c r="T139" s="21"/>
      <c r="U139" s="21"/>
      <c r="V139" s="21"/>
      <c r="W139" s="24">
        <v>1.0</v>
      </c>
      <c r="X139" s="21"/>
      <c r="Y139" s="21"/>
      <c r="Z139" s="14">
        <f t="shared" si="2"/>
        <v>1</v>
      </c>
      <c r="AA139" s="61" t="s">
        <v>91</v>
      </c>
      <c r="AB139" s="14">
        <v>0.20468013515964334</v>
      </c>
      <c r="AD139" s="62"/>
      <c r="AE139" s="62"/>
      <c r="AF139" s="62"/>
      <c r="AG139" s="62"/>
      <c r="AH139" s="62"/>
      <c r="AI139" s="62"/>
      <c r="AJ139" s="62"/>
      <c r="AK139" s="62"/>
      <c r="AL139" s="62"/>
    </row>
    <row r="140" ht="14.25" hidden="1" customHeight="1">
      <c r="A140" s="19" t="s">
        <v>555</v>
      </c>
      <c r="B140" s="19" t="s">
        <v>556</v>
      </c>
      <c r="C140" s="40" t="s">
        <v>557</v>
      </c>
      <c r="D140" s="21"/>
      <c r="E140" s="21"/>
      <c r="F140" s="21"/>
      <c r="G140" s="19" t="s">
        <v>83</v>
      </c>
      <c r="H140" s="21"/>
      <c r="I140" s="21"/>
      <c r="J140" s="21"/>
      <c r="K140" s="24" t="s">
        <v>89</v>
      </c>
      <c r="L140" s="24" t="s">
        <v>252</v>
      </c>
      <c r="M140" s="11">
        <f t="shared" si="1"/>
        <v>0</v>
      </c>
      <c r="N140" s="21"/>
      <c r="O140" s="21"/>
      <c r="P140" s="21"/>
      <c r="Q140" s="21"/>
      <c r="R140" s="21"/>
      <c r="S140" s="21"/>
      <c r="T140" s="21"/>
      <c r="U140" s="21"/>
      <c r="V140" s="21"/>
      <c r="W140" s="24">
        <v>1.0</v>
      </c>
      <c r="X140" s="21"/>
      <c r="Y140" s="21"/>
      <c r="Z140" s="14">
        <f t="shared" si="2"/>
        <v>1</v>
      </c>
      <c r="AA140" s="15" t="s">
        <v>106</v>
      </c>
    </row>
    <row r="141" ht="14.25" hidden="1" customHeight="1">
      <c r="A141" s="19" t="s">
        <v>558</v>
      </c>
      <c r="B141" s="19" t="s">
        <v>559</v>
      </c>
      <c r="C141" s="40" t="s">
        <v>560</v>
      </c>
      <c r="D141" s="21"/>
      <c r="E141" s="21"/>
      <c r="F141" s="21"/>
      <c r="G141" s="19" t="s">
        <v>83</v>
      </c>
      <c r="H141" s="21"/>
      <c r="I141" s="21"/>
      <c r="J141" s="21"/>
      <c r="K141" s="24" t="s">
        <v>89</v>
      </c>
      <c r="L141" s="24" t="s">
        <v>51</v>
      </c>
      <c r="M141" s="11">
        <f t="shared" si="1"/>
        <v>0</v>
      </c>
      <c r="N141" s="21"/>
      <c r="O141" s="21"/>
      <c r="P141" s="21"/>
      <c r="Q141" s="21"/>
      <c r="R141" s="21"/>
      <c r="S141" s="21"/>
      <c r="T141" s="21"/>
      <c r="U141" s="21"/>
      <c r="V141" s="21"/>
      <c r="W141" s="24">
        <v>1.0</v>
      </c>
      <c r="X141" s="21"/>
      <c r="Y141" s="21"/>
      <c r="Z141" s="14">
        <f t="shared" si="2"/>
        <v>1</v>
      </c>
      <c r="AA141" s="15" t="s">
        <v>106</v>
      </c>
    </row>
    <row r="142" ht="14.25" customHeight="1">
      <c r="A142" s="45" t="s">
        <v>561</v>
      </c>
      <c r="B142" s="45" t="s">
        <v>562</v>
      </c>
      <c r="C142" s="43" t="s">
        <v>563</v>
      </c>
      <c r="D142" s="45"/>
      <c r="E142" s="45"/>
      <c r="F142" s="27" t="s">
        <v>95</v>
      </c>
      <c r="G142" s="45" t="s">
        <v>78</v>
      </c>
      <c r="H142" s="23" t="s">
        <v>564</v>
      </c>
      <c r="I142" s="45"/>
      <c r="J142" s="45"/>
      <c r="K142" s="29" t="s">
        <v>50</v>
      </c>
      <c r="L142" s="24" t="s">
        <v>565</v>
      </c>
      <c r="M142" s="11">
        <f t="shared" si="1"/>
        <v>1</v>
      </c>
      <c r="N142" s="45"/>
      <c r="O142" s="45"/>
      <c r="P142" s="45">
        <v>1.0</v>
      </c>
      <c r="Q142" s="45"/>
      <c r="R142" s="45"/>
      <c r="S142" s="45"/>
      <c r="T142" s="45"/>
      <c r="U142" s="45"/>
      <c r="V142" s="45"/>
      <c r="W142" s="45"/>
      <c r="X142" s="45"/>
      <c r="Y142" s="45"/>
      <c r="Z142" s="14">
        <f t="shared" si="2"/>
        <v>1</v>
      </c>
      <c r="AA142" s="15" t="s">
        <v>52</v>
      </c>
      <c r="AB142" s="14">
        <v>0.20535641807497695</v>
      </c>
    </row>
    <row r="143" ht="14.25" customHeight="1">
      <c r="A143" s="11" t="s">
        <v>566</v>
      </c>
      <c r="B143" s="11" t="s">
        <v>567</v>
      </c>
      <c r="C143" s="37" t="s">
        <v>568</v>
      </c>
      <c r="D143" s="11"/>
      <c r="E143" s="11"/>
      <c r="F143" s="27" t="s">
        <v>95</v>
      </c>
      <c r="G143" s="11" t="s">
        <v>132</v>
      </c>
      <c r="H143" s="28" t="s">
        <v>64</v>
      </c>
      <c r="I143" s="11"/>
      <c r="J143" s="11"/>
      <c r="K143" s="29" t="s">
        <v>50</v>
      </c>
      <c r="L143" s="11"/>
      <c r="M143" s="11">
        <f t="shared" si="1"/>
        <v>1</v>
      </c>
      <c r="N143" s="11"/>
      <c r="O143" s="11"/>
      <c r="P143" s="11"/>
      <c r="Q143" s="11"/>
      <c r="R143" s="11"/>
      <c r="S143" s="11"/>
      <c r="T143" s="11"/>
      <c r="U143" s="11"/>
      <c r="V143" s="11"/>
      <c r="W143" s="11"/>
      <c r="X143" s="11"/>
      <c r="Y143" s="11"/>
      <c r="Z143" s="14">
        <f t="shared" si="2"/>
        <v>0</v>
      </c>
      <c r="AA143" s="15" t="s">
        <v>106</v>
      </c>
      <c r="AB143" s="14">
        <v>0.20922196696235074</v>
      </c>
    </row>
    <row r="144" ht="14.25" customHeight="1">
      <c r="A144" s="19" t="s">
        <v>569</v>
      </c>
      <c r="B144" s="19" t="s">
        <v>570</v>
      </c>
      <c r="C144" s="20" t="s">
        <v>571</v>
      </c>
      <c r="D144" s="21"/>
      <c r="E144" s="21"/>
      <c r="F144" s="27" t="s">
        <v>572</v>
      </c>
      <c r="G144" s="19" t="s">
        <v>284</v>
      </c>
      <c r="H144" s="23" t="s">
        <v>573</v>
      </c>
      <c r="I144" s="21"/>
      <c r="J144" s="21"/>
      <c r="K144" s="25" t="s">
        <v>58</v>
      </c>
      <c r="L144" s="24" t="s">
        <v>85</v>
      </c>
      <c r="M144" s="11">
        <f t="shared" si="1"/>
        <v>1</v>
      </c>
      <c r="N144" s="21"/>
      <c r="O144" s="21"/>
      <c r="P144" s="21"/>
      <c r="Q144" s="21"/>
      <c r="R144" s="21"/>
      <c r="S144" s="21"/>
      <c r="T144" s="21"/>
      <c r="U144" s="21"/>
      <c r="V144" s="21"/>
      <c r="W144" s="24">
        <v>1.0</v>
      </c>
      <c r="X144" s="21"/>
      <c r="Y144" s="21"/>
      <c r="Z144" s="14">
        <f t="shared" si="2"/>
        <v>1</v>
      </c>
      <c r="AA144" s="15" t="s">
        <v>33</v>
      </c>
      <c r="AB144" s="14">
        <v>0.21181264769242802</v>
      </c>
    </row>
    <row r="145" ht="14.25" customHeight="1">
      <c r="A145" s="11" t="s">
        <v>574</v>
      </c>
      <c r="B145" s="11" t="s">
        <v>575</v>
      </c>
      <c r="C145" s="35" t="s">
        <v>576</v>
      </c>
      <c r="D145" s="11"/>
      <c r="E145" s="11"/>
      <c r="F145" s="27" t="s">
        <v>77</v>
      </c>
      <c r="G145" s="11" t="s">
        <v>292</v>
      </c>
      <c r="H145" s="28" t="s">
        <v>577</v>
      </c>
      <c r="I145" s="11"/>
      <c r="J145" s="11"/>
      <c r="K145" s="29" t="s">
        <v>50</v>
      </c>
      <c r="L145" s="12"/>
      <c r="M145" s="11">
        <f t="shared" si="1"/>
        <v>1</v>
      </c>
      <c r="N145" s="11"/>
      <c r="O145" s="11"/>
      <c r="P145" s="11"/>
      <c r="Q145" s="11"/>
      <c r="R145" s="11"/>
      <c r="S145" s="11"/>
      <c r="T145" s="11"/>
      <c r="U145" s="11"/>
      <c r="V145" s="18"/>
      <c r="W145" s="18">
        <v>1.0</v>
      </c>
      <c r="X145" s="11"/>
      <c r="Y145" s="11"/>
      <c r="Z145" s="14">
        <f t="shared" si="2"/>
        <v>1</v>
      </c>
      <c r="AA145" s="15" t="s">
        <v>91</v>
      </c>
      <c r="AB145" s="14">
        <v>0.21186932142821469</v>
      </c>
    </row>
    <row r="146" ht="14.25" customHeight="1">
      <c r="A146" s="11" t="s">
        <v>578</v>
      </c>
      <c r="B146" s="11" t="s">
        <v>579</v>
      </c>
      <c r="C146" s="37" t="s">
        <v>580</v>
      </c>
      <c r="D146" s="11"/>
      <c r="E146" s="11"/>
      <c r="F146" s="27" t="s">
        <v>62</v>
      </c>
      <c r="G146" s="11" t="s">
        <v>48</v>
      </c>
      <c r="H146" s="28" t="s">
        <v>524</v>
      </c>
      <c r="I146" s="11"/>
      <c r="J146" s="11"/>
      <c r="K146" s="29" t="s">
        <v>50</v>
      </c>
      <c r="L146" s="12" t="s">
        <v>124</v>
      </c>
      <c r="M146" s="11">
        <f t="shared" si="1"/>
        <v>1</v>
      </c>
      <c r="N146" s="11"/>
      <c r="O146" s="11"/>
      <c r="P146" s="11"/>
      <c r="Q146" s="11"/>
      <c r="R146" s="11"/>
      <c r="S146" s="11"/>
      <c r="T146" s="11"/>
      <c r="U146" s="11"/>
      <c r="V146" s="31">
        <v>1.0</v>
      </c>
      <c r="W146" s="18">
        <v>1.0</v>
      </c>
      <c r="X146" s="11"/>
      <c r="Y146" s="11"/>
      <c r="Z146" s="14">
        <f t="shared" si="2"/>
        <v>2</v>
      </c>
      <c r="AA146" s="15" t="s">
        <v>52</v>
      </c>
      <c r="AB146" s="14">
        <v>0.21265078177685326</v>
      </c>
    </row>
    <row r="147" ht="14.25" customHeight="1">
      <c r="A147" s="19" t="s">
        <v>581</v>
      </c>
      <c r="B147" s="19" t="s">
        <v>272</v>
      </c>
      <c r="C147" s="33" t="s">
        <v>582</v>
      </c>
      <c r="D147" s="21"/>
      <c r="E147" s="21"/>
      <c r="F147" s="27" t="s">
        <v>56</v>
      </c>
      <c r="G147" s="19" t="s">
        <v>83</v>
      </c>
      <c r="H147" s="23" t="s">
        <v>64</v>
      </c>
      <c r="I147" s="21"/>
      <c r="J147" s="24"/>
      <c r="K147" s="25" t="s">
        <v>50</v>
      </c>
      <c r="L147" s="24" t="s">
        <v>51</v>
      </c>
      <c r="M147" s="11">
        <f t="shared" si="1"/>
        <v>1</v>
      </c>
      <c r="N147" s="21"/>
      <c r="O147" s="21"/>
      <c r="P147" s="21"/>
      <c r="Q147" s="21"/>
      <c r="R147" s="21"/>
      <c r="S147" s="21"/>
      <c r="T147" s="21"/>
      <c r="U147" s="21"/>
      <c r="V147" s="21"/>
      <c r="W147" s="24">
        <v>1.0</v>
      </c>
      <c r="X147" s="21"/>
      <c r="Y147" s="21"/>
      <c r="Z147" s="14">
        <f t="shared" si="2"/>
        <v>1</v>
      </c>
      <c r="AA147" s="15" t="s">
        <v>91</v>
      </c>
      <c r="AB147" s="14">
        <v>0.21726712794571634</v>
      </c>
    </row>
    <row r="148" ht="14.25" hidden="1" customHeight="1">
      <c r="A148" s="19" t="s">
        <v>583</v>
      </c>
      <c r="B148" s="19" t="s">
        <v>584</v>
      </c>
      <c r="C148" s="44" t="s">
        <v>585</v>
      </c>
      <c r="D148" s="21"/>
      <c r="E148" s="21"/>
      <c r="F148" s="21"/>
      <c r="G148" s="19" t="s">
        <v>83</v>
      </c>
      <c r="H148" s="23" t="s">
        <v>545</v>
      </c>
      <c r="I148" s="21"/>
      <c r="J148" s="21"/>
      <c r="K148" s="24" t="s">
        <v>586</v>
      </c>
      <c r="L148" s="24" t="s">
        <v>65</v>
      </c>
      <c r="M148" s="11">
        <f t="shared" si="1"/>
        <v>0</v>
      </c>
      <c r="N148" s="21"/>
      <c r="O148" s="21"/>
      <c r="P148" s="21"/>
      <c r="Q148" s="21"/>
      <c r="R148" s="21"/>
      <c r="S148" s="21"/>
      <c r="T148" s="21"/>
      <c r="U148" s="21"/>
      <c r="V148" s="21"/>
      <c r="W148" s="24">
        <v>1.0</v>
      </c>
      <c r="X148" s="21"/>
      <c r="Y148" s="21"/>
      <c r="Z148" s="14">
        <f t="shared" si="2"/>
        <v>1</v>
      </c>
      <c r="AA148" s="15" t="s">
        <v>91</v>
      </c>
    </row>
    <row r="149" ht="14.25" hidden="1" customHeight="1">
      <c r="A149" s="11" t="s">
        <v>587</v>
      </c>
      <c r="B149" s="11" t="s">
        <v>227</v>
      </c>
      <c r="C149" s="42" t="s">
        <v>588</v>
      </c>
      <c r="D149" s="11"/>
      <c r="E149" s="11"/>
      <c r="F149" s="11"/>
      <c r="G149" s="11" t="s">
        <v>38</v>
      </c>
      <c r="H149" s="11"/>
      <c r="I149" s="11"/>
      <c r="J149" s="11"/>
      <c r="K149" s="12" t="s">
        <v>89</v>
      </c>
      <c r="L149" s="12" t="s">
        <v>589</v>
      </c>
      <c r="M149" s="11">
        <f t="shared" si="1"/>
        <v>0</v>
      </c>
      <c r="N149" s="11"/>
      <c r="O149" s="11"/>
      <c r="P149" s="11"/>
      <c r="Q149" s="11"/>
      <c r="R149" s="11"/>
      <c r="S149" s="11"/>
      <c r="T149" s="11"/>
      <c r="U149" s="11"/>
      <c r="V149" s="18"/>
      <c r="W149" s="18">
        <v>1.0</v>
      </c>
      <c r="X149" s="11"/>
      <c r="Y149" s="11"/>
      <c r="Z149" s="14">
        <f t="shared" si="2"/>
        <v>1</v>
      </c>
      <c r="AA149" s="15" t="s">
        <v>91</v>
      </c>
    </row>
    <row r="150" ht="14.25" customHeight="1">
      <c r="A150" s="45" t="s">
        <v>590</v>
      </c>
      <c r="B150" s="45" t="s">
        <v>591</v>
      </c>
      <c r="C150" s="63" t="s">
        <v>592</v>
      </c>
      <c r="D150" s="45"/>
      <c r="E150" s="45"/>
      <c r="F150" s="22" t="s">
        <v>56</v>
      </c>
      <c r="G150" s="45" t="s">
        <v>83</v>
      </c>
      <c r="H150" s="23" t="s">
        <v>593</v>
      </c>
      <c r="I150" s="45"/>
      <c r="J150" s="45"/>
      <c r="K150" s="25" t="s">
        <v>50</v>
      </c>
      <c r="L150" s="45"/>
      <c r="M150" s="11">
        <f t="shared" si="1"/>
        <v>1</v>
      </c>
      <c r="N150" s="45"/>
      <c r="O150" s="45"/>
      <c r="P150" s="45">
        <v>1.0</v>
      </c>
      <c r="Q150" s="45"/>
      <c r="R150" s="45"/>
      <c r="S150" s="45"/>
      <c r="T150" s="45"/>
      <c r="U150" s="45"/>
      <c r="V150" s="45"/>
      <c r="W150" s="45"/>
      <c r="X150" s="45"/>
      <c r="Y150" s="45"/>
      <c r="Z150" s="14">
        <f t="shared" si="2"/>
        <v>1</v>
      </c>
      <c r="AA150" s="15" t="s">
        <v>106</v>
      </c>
      <c r="AB150" s="14">
        <v>0.21766979043641477</v>
      </c>
    </row>
    <row r="151" ht="14.25" hidden="1" customHeight="1">
      <c r="A151" s="19" t="s">
        <v>594</v>
      </c>
      <c r="B151" s="19" t="s">
        <v>227</v>
      </c>
      <c r="C151" s="40" t="s">
        <v>595</v>
      </c>
      <c r="D151" s="21"/>
      <c r="E151" s="21"/>
      <c r="F151" s="21"/>
      <c r="G151" s="19" t="s">
        <v>83</v>
      </c>
      <c r="H151" s="21"/>
      <c r="I151" s="21"/>
      <c r="J151" s="21"/>
      <c r="K151" s="24" t="s">
        <v>89</v>
      </c>
      <c r="L151" s="24" t="s">
        <v>589</v>
      </c>
      <c r="M151" s="11">
        <f t="shared" si="1"/>
        <v>0</v>
      </c>
      <c r="N151" s="21"/>
      <c r="O151" s="21"/>
      <c r="P151" s="21"/>
      <c r="Q151" s="21"/>
      <c r="R151" s="21"/>
      <c r="S151" s="21"/>
      <c r="T151" s="21"/>
      <c r="U151" s="21"/>
      <c r="V151" s="21"/>
      <c r="W151" s="24">
        <v>1.0</v>
      </c>
      <c r="X151" s="21"/>
      <c r="Y151" s="21"/>
      <c r="Z151" s="14">
        <f t="shared" si="2"/>
        <v>1</v>
      </c>
      <c r="AA151" s="15" t="s">
        <v>91</v>
      </c>
    </row>
    <row r="152" ht="14.25" hidden="1" customHeight="1">
      <c r="A152" s="19" t="s">
        <v>596</v>
      </c>
      <c r="B152" s="19" t="s">
        <v>227</v>
      </c>
      <c r="C152" s="44" t="s">
        <v>597</v>
      </c>
      <c r="D152" s="21"/>
      <c r="E152" s="21"/>
      <c r="F152" s="21"/>
      <c r="G152" s="19" t="s">
        <v>83</v>
      </c>
      <c r="H152" s="21"/>
      <c r="I152" s="21"/>
      <c r="J152" s="21"/>
      <c r="K152" s="24" t="s">
        <v>89</v>
      </c>
      <c r="L152" s="24" t="s">
        <v>598</v>
      </c>
      <c r="M152" s="11">
        <f t="shared" si="1"/>
        <v>0</v>
      </c>
      <c r="N152" s="21"/>
      <c r="O152" s="21"/>
      <c r="P152" s="21"/>
      <c r="Q152" s="21"/>
      <c r="R152" s="21"/>
      <c r="S152" s="21"/>
      <c r="T152" s="21"/>
      <c r="U152" s="21"/>
      <c r="V152" s="21"/>
      <c r="W152" s="24">
        <v>1.0</v>
      </c>
      <c r="X152" s="21"/>
      <c r="Y152" s="21"/>
      <c r="Z152" s="14">
        <f t="shared" si="2"/>
        <v>1</v>
      </c>
      <c r="AA152" s="15" t="s">
        <v>91</v>
      </c>
    </row>
    <row r="153" ht="14.25" hidden="1" customHeight="1">
      <c r="A153" s="19" t="s">
        <v>599</v>
      </c>
      <c r="B153" s="19" t="s">
        <v>227</v>
      </c>
      <c r="C153" s="44" t="s">
        <v>600</v>
      </c>
      <c r="D153" s="21"/>
      <c r="E153" s="21"/>
      <c r="F153" s="21"/>
      <c r="G153" s="19" t="s">
        <v>83</v>
      </c>
      <c r="H153" s="21"/>
      <c r="I153" s="21"/>
      <c r="J153" s="21"/>
      <c r="K153" s="24" t="s">
        <v>89</v>
      </c>
      <c r="L153" s="24" t="s">
        <v>598</v>
      </c>
      <c r="M153" s="11">
        <f t="shared" si="1"/>
        <v>0</v>
      </c>
      <c r="N153" s="21"/>
      <c r="O153" s="21"/>
      <c r="P153" s="21"/>
      <c r="Q153" s="21"/>
      <c r="R153" s="21"/>
      <c r="S153" s="21"/>
      <c r="T153" s="21"/>
      <c r="U153" s="21"/>
      <c r="V153" s="21"/>
      <c r="W153" s="24">
        <v>1.0</v>
      </c>
      <c r="X153" s="21"/>
      <c r="Y153" s="21"/>
      <c r="Z153" s="14">
        <f t="shared" si="2"/>
        <v>1</v>
      </c>
      <c r="AA153" s="15" t="s">
        <v>91</v>
      </c>
    </row>
    <row r="154" ht="14.25" customHeight="1">
      <c r="A154" s="11" t="s">
        <v>601</v>
      </c>
      <c r="B154" s="12" t="s">
        <v>602</v>
      </c>
      <c r="C154" s="37" t="s">
        <v>603</v>
      </c>
      <c r="D154" s="11"/>
      <c r="E154" s="11"/>
      <c r="F154" s="27" t="s">
        <v>103</v>
      </c>
      <c r="G154" s="11" t="s">
        <v>38</v>
      </c>
      <c r="H154" s="28" t="s">
        <v>104</v>
      </c>
      <c r="I154" s="11"/>
      <c r="J154" s="11"/>
      <c r="K154" s="29" t="s">
        <v>50</v>
      </c>
      <c r="L154" s="12" t="s">
        <v>65</v>
      </c>
      <c r="M154" s="11">
        <f t="shared" si="1"/>
        <v>1</v>
      </c>
      <c r="N154" s="11"/>
      <c r="O154" s="11"/>
      <c r="P154" s="11"/>
      <c r="Q154" s="11"/>
      <c r="R154" s="11"/>
      <c r="S154" s="11"/>
      <c r="T154" s="11"/>
      <c r="U154" s="11"/>
      <c r="V154" s="18"/>
      <c r="W154" s="18">
        <v>1.0</v>
      </c>
      <c r="X154" s="11"/>
      <c r="Y154" s="11"/>
      <c r="Z154" s="14">
        <f t="shared" si="2"/>
        <v>1</v>
      </c>
      <c r="AA154" s="15" t="s">
        <v>52</v>
      </c>
      <c r="AB154" s="14">
        <v>0.21996368189331073</v>
      </c>
    </row>
    <row r="155" ht="14.25" customHeight="1">
      <c r="A155" s="19" t="s">
        <v>604</v>
      </c>
      <c r="B155" s="19" t="s">
        <v>117</v>
      </c>
      <c r="C155" s="59" t="s">
        <v>605</v>
      </c>
      <c r="D155" s="21"/>
      <c r="E155" s="21"/>
      <c r="F155" s="27" t="s">
        <v>171</v>
      </c>
      <c r="G155" s="19" t="s">
        <v>48</v>
      </c>
      <c r="H155" s="28" t="s">
        <v>606</v>
      </c>
      <c r="I155" s="21"/>
      <c r="J155" s="24"/>
      <c r="K155" s="25" t="s">
        <v>50</v>
      </c>
      <c r="L155" s="24" t="s">
        <v>51</v>
      </c>
      <c r="M155" s="11">
        <f t="shared" si="1"/>
        <v>1</v>
      </c>
      <c r="N155" s="21"/>
      <c r="O155" s="21"/>
      <c r="P155" s="21"/>
      <c r="Q155" s="21"/>
      <c r="R155" s="21"/>
      <c r="S155" s="21"/>
      <c r="T155" s="21"/>
      <c r="U155" s="21"/>
      <c r="V155" s="21"/>
      <c r="W155" s="24">
        <v>1.0</v>
      </c>
      <c r="X155" s="21"/>
      <c r="Y155" s="21"/>
      <c r="Z155" s="14">
        <f t="shared" si="2"/>
        <v>1</v>
      </c>
      <c r="AA155" s="15" t="s">
        <v>91</v>
      </c>
      <c r="AB155" s="14">
        <v>0.22836957851349504</v>
      </c>
    </row>
    <row r="156" ht="14.25" customHeight="1">
      <c r="A156" s="11" t="s">
        <v>607</v>
      </c>
      <c r="B156" s="11" t="s">
        <v>608</v>
      </c>
      <c r="C156" s="37" t="s">
        <v>609</v>
      </c>
      <c r="D156" s="11"/>
      <c r="E156" s="11"/>
      <c r="F156" s="27" t="s">
        <v>140</v>
      </c>
      <c r="G156" s="11" t="s">
        <v>361</v>
      </c>
      <c r="H156" s="28" t="s">
        <v>239</v>
      </c>
      <c r="I156" s="11"/>
      <c r="J156" s="11"/>
      <c r="K156" s="29" t="s">
        <v>50</v>
      </c>
      <c r="L156" s="12" t="s">
        <v>51</v>
      </c>
      <c r="M156" s="11">
        <f t="shared" si="1"/>
        <v>1</v>
      </c>
      <c r="N156" s="18">
        <v>1.0</v>
      </c>
      <c r="O156" s="11"/>
      <c r="P156" s="11"/>
      <c r="Q156" s="11"/>
      <c r="R156" s="11"/>
      <c r="S156" s="11"/>
      <c r="T156" s="11"/>
      <c r="U156" s="11"/>
      <c r="V156" s="31">
        <v>1.0</v>
      </c>
      <c r="W156" s="18">
        <v>1.0</v>
      </c>
      <c r="X156" s="11"/>
      <c r="Y156" s="11"/>
      <c r="Z156" s="14">
        <f t="shared" si="2"/>
        <v>3</v>
      </c>
      <c r="AA156" s="15" t="s">
        <v>52</v>
      </c>
      <c r="AB156" s="14">
        <v>0.23035185898323451</v>
      </c>
    </row>
    <row r="157" ht="14.25" customHeight="1">
      <c r="A157" s="11" t="s">
        <v>610</v>
      </c>
      <c r="B157" s="11" t="s">
        <v>611</v>
      </c>
      <c r="C157" s="37" t="s">
        <v>612</v>
      </c>
      <c r="D157" s="12" t="s">
        <v>29</v>
      </c>
      <c r="E157" s="12" t="s">
        <v>29</v>
      </c>
      <c r="F157" s="27" t="s">
        <v>77</v>
      </c>
      <c r="G157" s="11" t="s">
        <v>78</v>
      </c>
      <c r="H157" s="28" t="s">
        <v>613</v>
      </c>
      <c r="I157" s="11"/>
      <c r="J157" s="11"/>
      <c r="K157" s="29" t="s">
        <v>50</v>
      </c>
      <c r="L157" s="12" t="s">
        <v>152</v>
      </c>
      <c r="M157" s="11">
        <f t="shared" si="1"/>
        <v>1</v>
      </c>
      <c r="N157" s="18">
        <v>1.0</v>
      </c>
      <c r="O157" s="11"/>
      <c r="P157" s="11"/>
      <c r="Q157" s="11"/>
      <c r="R157" s="11"/>
      <c r="S157" s="11"/>
      <c r="T157" s="11"/>
      <c r="U157" s="11"/>
      <c r="V157" s="31">
        <v>1.0</v>
      </c>
      <c r="W157" s="31">
        <v>0.0</v>
      </c>
      <c r="X157" s="12">
        <v>1.0</v>
      </c>
      <c r="Y157" s="11"/>
      <c r="Z157" s="14">
        <f t="shared" si="2"/>
        <v>3</v>
      </c>
      <c r="AA157" s="15" t="s">
        <v>106</v>
      </c>
      <c r="AB157" s="14">
        <v>0.23163970596899375</v>
      </c>
    </row>
    <row r="158" ht="14.25" customHeight="1">
      <c r="A158" s="19" t="s">
        <v>614</v>
      </c>
      <c r="B158" s="19" t="s">
        <v>310</v>
      </c>
      <c r="C158" s="20" t="s">
        <v>615</v>
      </c>
      <c r="D158" s="21"/>
      <c r="E158" s="21"/>
      <c r="F158" s="27" t="s">
        <v>56</v>
      </c>
      <c r="G158" s="19" t="s">
        <v>83</v>
      </c>
      <c r="H158" s="23" t="s">
        <v>616</v>
      </c>
      <c r="I158" s="21"/>
      <c r="J158" s="24"/>
      <c r="K158" s="25" t="s">
        <v>50</v>
      </c>
      <c r="L158" s="24" t="s">
        <v>65</v>
      </c>
      <c r="M158" s="11">
        <f t="shared" si="1"/>
        <v>1</v>
      </c>
      <c r="N158" s="21"/>
      <c r="O158" s="21"/>
      <c r="P158" s="21"/>
      <c r="Q158" s="21"/>
      <c r="R158" s="21"/>
      <c r="S158" s="21"/>
      <c r="T158" s="21"/>
      <c r="U158" s="21"/>
      <c r="V158" s="21"/>
      <c r="W158" s="24">
        <v>1.0</v>
      </c>
      <c r="X158" s="21"/>
      <c r="Y158" s="21"/>
      <c r="Z158" s="14">
        <f t="shared" si="2"/>
        <v>1</v>
      </c>
      <c r="AA158" s="15" t="s">
        <v>106</v>
      </c>
      <c r="AB158" s="14">
        <v>0.2324540059395105</v>
      </c>
    </row>
    <row r="159" ht="14.25" hidden="1" customHeight="1">
      <c r="A159" s="11" t="s">
        <v>617</v>
      </c>
      <c r="B159" s="11" t="s">
        <v>618</v>
      </c>
      <c r="C159" s="16" t="s">
        <v>619</v>
      </c>
      <c r="D159" s="11"/>
      <c r="E159" s="11"/>
      <c r="F159" s="11"/>
      <c r="G159" s="11" t="s">
        <v>38</v>
      </c>
      <c r="H159" s="11"/>
      <c r="I159" s="11"/>
      <c r="J159" s="11"/>
      <c r="K159" s="12" t="s">
        <v>89</v>
      </c>
      <c r="L159" s="12" t="s">
        <v>252</v>
      </c>
      <c r="M159" s="11">
        <f t="shared" si="1"/>
        <v>0</v>
      </c>
      <c r="N159" s="11"/>
      <c r="O159" s="11"/>
      <c r="P159" s="11"/>
      <c r="Q159" s="11"/>
      <c r="R159" s="11"/>
      <c r="S159" s="11"/>
      <c r="T159" s="11"/>
      <c r="U159" s="11"/>
      <c r="V159" s="18"/>
      <c r="W159" s="18">
        <v>1.0</v>
      </c>
      <c r="X159" s="11"/>
      <c r="Y159" s="11"/>
      <c r="Z159" s="14">
        <f t="shared" si="2"/>
        <v>1</v>
      </c>
      <c r="AA159" s="15" t="s">
        <v>106</v>
      </c>
    </row>
    <row r="160" ht="14.25" customHeight="1">
      <c r="A160" s="11" t="s">
        <v>620</v>
      </c>
      <c r="B160" s="11" t="s">
        <v>254</v>
      </c>
      <c r="C160" s="35" t="s">
        <v>621</v>
      </c>
      <c r="D160" s="11"/>
      <c r="E160" s="11"/>
      <c r="F160" s="27" t="s">
        <v>140</v>
      </c>
      <c r="G160" s="12" t="s">
        <v>83</v>
      </c>
      <c r="H160" s="28" t="s">
        <v>622</v>
      </c>
      <c r="I160" s="11"/>
      <c r="J160" s="12"/>
      <c r="K160" s="29" t="s">
        <v>50</v>
      </c>
      <c r="L160" s="12" t="s">
        <v>330</v>
      </c>
      <c r="M160" s="11">
        <f t="shared" si="1"/>
        <v>1</v>
      </c>
      <c r="N160" s="11"/>
      <c r="O160" s="11"/>
      <c r="P160" s="11"/>
      <c r="Q160" s="11"/>
      <c r="R160" s="11"/>
      <c r="S160" s="11"/>
      <c r="T160" s="11"/>
      <c r="U160" s="12">
        <v>1.0</v>
      </c>
      <c r="V160" s="18"/>
      <c r="W160" s="18"/>
      <c r="X160" s="11"/>
      <c r="Y160" s="11"/>
      <c r="Z160" s="14">
        <f t="shared" si="2"/>
        <v>1</v>
      </c>
      <c r="AA160" s="15" t="s">
        <v>106</v>
      </c>
      <c r="AB160" s="14">
        <v>0.23275087667807692</v>
      </c>
    </row>
    <row r="161" ht="14.25" customHeight="1">
      <c r="A161" s="12" t="s">
        <v>623</v>
      </c>
      <c r="B161" s="12" t="s">
        <v>237</v>
      </c>
      <c r="C161" s="59" t="s">
        <v>624</v>
      </c>
      <c r="D161" s="11"/>
      <c r="E161" s="11"/>
      <c r="F161" s="27" t="s">
        <v>95</v>
      </c>
      <c r="G161" s="12" t="s">
        <v>48</v>
      </c>
      <c r="H161" s="28" t="s">
        <v>99</v>
      </c>
      <c r="I161" s="11"/>
      <c r="J161" s="12"/>
      <c r="K161" s="29" t="s">
        <v>50</v>
      </c>
      <c r="L161" s="12" t="s">
        <v>51</v>
      </c>
      <c r="M161" s="11">
        <f t="shared" si="1"/>
        <v>1</v>
      </c>
      <c r="N161" s="11"/>
      <c r="O161" s="11"/>
      <c r="P161" s="11"/>
      <c r="Q161" s="11"/>
      <c r="R161" s="11"/>
      <c r="S161" s="11"/>
      <c r="T161" s="12">
        <v>1.0</v>
      </c>
      <c r="U161" s="12"/>
      <c r="V161" s="31"/>
      <c r="W161" s="18"/>
      <c r="X161" s="11"/>
      <c r="Y161" s="11"/>
      <c r="Z161" s="14">
        <f t="shared" si="2"/>
        <v>1</v>
      </c>
      <c r="AA161" s="15" t="s">
        <v>106</v>
      </c>
      <c r="AB161" s="14">
        <v>0.24250472693187874</v>
      </c>
    </row>
    <row r="162" ht="14.25" customHeight="1">
      <c r="A162" s="11" t="s">
        <v>625</v>
      </c>
      <c r="B162" s="11" t="s">
        <v>626</v>
      </c>
      <c r="C162" s="64" t="s">
        <v>627</v>
      </c>
      <c r="D162" s="11"/>
      <c r="E162" s="11"/>
      <c r="F162" s="27" t="s">
        <v>140</v>
      </c>
      <c r="G162" s="11" t="s">
        <v>628</v>
      </c>
      <c r="H162" s="28" t="s">
        <v>629</v>
      </c>
      <c r="I162" s="11"/>
      <c r="J162" s="11"/>
      <c r="K162" s="29" t="s">
        <v>50</v>
      </c>
      <c r="L162" s="11"/>
      <c r="M162" s="11">
        <f t="shared" si="1"/>
        <v>1</v>
      </c>
      <c r="N162" s="11"/>
      <c r="O162" s="11"/>
      <c r="P162" s="11">
        <v>1.0</v>
      </c>
      <c r="Q162" s="11"/>
      <c r="R162" s="11"/>
      <c r="S162" s="12">
        <v>1.0</v>
      </c>
      <c r="T162" s="12"/>
      <c r="U162" s="12"/>
      <c r="V162" s="18"/>
      <c r="W162" s="18"/>
      <c r="X162" s="11"/>
      <c r="Y162" s="11"/>
      <c r="Z162" s="14">
        <f t="shared" si="2"/>
        <v>2</v>
      </c>
      <c r="AA162" s="15" t="s">
        <v>91</v>
      </c>
      <c r="AB162" s="14">
        <v>0.24582927553372513</v>
      </c>
    </row>
    <row r="163" ht="14.25" customHeight="1">
      <c r="A163" s="11" t="s">
        <v>630</v>
      </c>
      <c r="B163" s="11" t="s">
        <v>631</v>
      </c>
      <c r="C163" s="37" t="s">
        <v>632</v>
      </c>
      <c r="D163" s="11"/>
      <c r="E163" s="11"/>
      <c r="F163" s="27" t="s">
        <v>95</v>
      </c>
      <c r="G163" s="11" t="s">
        <v>48</v>
      </c>
      <c r="H163" s="28" t="s">
        <v>633</v>
      </c>
      <c r="I163" s="11"/>
      <c r="J163" s="11"/>
      <c r="K163" s="29" t="s">
        <v>50</v>
      </c>
      <c r="L163" s="12" t="s">
        <v>105</v>
      </c>
      <c r="M163" s="11">
        <f t="shared" si="1"/>
        <v>1</v>
      </c>
      <c r="N163" s="18">
        <v>1.0</v>
      </c>
      <c r="O163" s="11"/>
      <c r="P163" s="11"/>
      <c r="Q163" s="11"/>
      <c r="R163" s="11"/>
      <c r="S163" s="11"/>
      <c r="T163" s="11"/>
      <c r="U163" s="11"/>
      <c r="V163" s="31">
        <v>1.0</v>
      </c>
      <c r="W163" s="18">
        <v>1.0</v>
      </c>
      <c r="X163" s="11"/>
      <c r="Y163" s="11"/>
      <c r="Z163" s="14">
        <f t="shared" si="2"/>
        <v>3</v>
      </c>
      <c r="AA163" s="15" t="s">
        <v>106</v>
      </c>
      <c r="AB163" s="14">
        <v>0.24828357952421587</v>
      </c>
    </row>
    <row r="164" ht="14.25" customHeight="1">
      <c r="A164" s="19" t="s">
        <v>634</v>
      </c>
      <c r="B164" s="19" t="s">
        <v>310</v>
      </c>
      <c r="C164" s="20" t="s">
        <v>635</v>
      </c>
      <c r="D164" s="21"/>
      <c r="E164" s="21"/>
      <c r="F164" s="27" t="s">
        <v>56</v>
      </c>
      <c r="G164" s="19" t="s">
        <v>83</v>
      </c>
      <c r="H164" s="23" t="s">
        <v>394</v>
      </c>
      <c r="I164" s="21"/>
      <c r="J164" s="21"/>
      <c r="K164" s="25" t="s">
        <v>58</v>
      </c>
      <c r="L164" s="24" t="s">
        <v>85</v>
      </c>
      <c r="M164" s="11">
        <f t="shared" si="1"/>
        <v>1</v>
      </c>
      <c r="N164" s="21"/>
      <c r="O164" s="21"/>
      <c r="P164" s="21"/>
      <c r="Q164" s="21"/>
      <c r="R164" s="21"/>
      <c r="S164" s="21"/>
      <c r="T164" s="21"/>
      <c r="U164" s="21"/>
      <c r="V164" s="21"/>
      <c r="W164" s="24">
        <v>1.0</v>
      </c>
      <c r="X164" s="21"/>
      <c r="Y164" s="21"/>
      <c r="Z164" s="14">
        <f t="shared" si="2"/>
        <v>1</v>
      </c>
      <c r="AA164" s="15" t="s">
        <v>33</v>
      </c>
      <c r="AB164" s="14">
        <v>0.24833166410242824</v>
      </c>
    </row>
    <row r="165" ht="14.25" hidden="1" customHeight="1">
      <c r="A165" s="11" t="s">
        <v>636</v>
      </c>
      <c r="B165" s="11" t="s">
        <v>178</v>
      </c>
      <c r="C165" s="42" t="s">
        <v>637</v>
      </c>
      <c r="D165" s="11"/>
      <c r="E165" s="11"/>
      <c r="F165" s="11"/>
      <c r="G165" s="11" t="s">
        <v>38</v>
      </c>
      <c r="H165" s="11"/>
      <c r="I165" s="11"/>
      <c r="J165" s="11"/>
      <c r="K165" s="65" t="s">
        <v>89</v>
      </c>
      <c r="L165" s="24" t="s">
        <v>638</v>
      </c>
      <c r="M165" s="11">
        <f t="shared" si="1"/>
        <v>0</v>
      </c>
      <c r="N165" s="11"/>
      <c r="O165" s="11"/>
      <c r="P165" s="11"/>
      <c r="Q165" s="11"/>
      <c r="R165" s="11"/>
      <c r="S165" s="11"/>
      <c r="T165" s="11"/>
      <c r="U165" s="11"/>
      <c r="V165" s="18"/>
      <c r="W165" s="18">
        <v>1.0</v>
      </c>
      <c r="X165" s="11"/>
      <c r="Y165" s="11"/>
      <c r="Z165" s="14">
        <f t="shared" si="2"/>
        <v>1</v>
      </c>
      <c r="AA165" s="15" t="s">
        <v>91</v>
      </c>
    </row>
    <row r="166" ht="14.25" customHeight="1">
      <c r="A166" s="11" t="s">
        <v>639</v>
      </c>
      <c r="B166" s="11" t="s">
        <v>640</v>
      </c>
      <c r="C166" s="37" t="s">
        <v>641</v>
      </c>
      <c r="D166" s="11"/>
      <c r="E166" s="11"/>
      <c r="F166" s="27" t="s">
        <v>77</v>
      </c>
      <c r="G166" s="11" t="s">
        <v>642</v>
      </c>
      <c r="H166" s="28" t="s">
        <v>643</v>
      </c>
      <c r="I166" s="11"/>
      <c r="J166" s="11"/>
      <c r="K166" s="29" t="s">
        <v>50</v>
      </c>
      <c r="L166" s="12" t="s">
        <v>51</v>
      </c>
      <c r="M166" s="11">
        <f t="shared" si="1"/>
        <v>1</v>
      </c>
      <c r="N166" s="11"/>
      <c r="O166" s="11"/>
      <c r="P166" s="11"/>
      <c r="Q166" s="11"/>
      <c r="R166" s="11"/>
      <c r="S166" s="11"/>
      <c r="T166" s="11"/>
      <c r="U166" s="11"/>
      <c r="V166" s="18"/>
      <c r="W166" s="18">
        <v>1.0</v>
      </c>
      <c r="X166" s="11"/>
      <c r="Y166" s="11"/>
      <c r="Z166" s="14">
        <f t="shared" si="2"/>
        <v>1</v>
      </c>
      <c r="AA166" s="15" t="s">
        <v>52</v>
      </c>
      <c r="AB166" s="14">
        <v>0.2678434199777511</v>
      </c>
    </row>
    <row r="167" ht="14.25" hidden="1" customHeight="1">
      <c r="A167" s="11" t="s">
        <v>644</v>
      </c>
      <c r="B167" s="11" t="s">
        <v>178</v>
      </c>
      <c r="C167" s="42" t="s">
        <v>645</v>
      </c>
      <c r="D167" s="11"/>
      <c r="E167" s="11"/>
      <c r="F167" s="11"/>
      <c r="G167" s="11" t="s">
        <v>38</v>
      </c>
      <c r="H167" s="11"/>
      <c r="I167" s="11"/>
      <c r="J167" s="11"/>
      <c r="K167" s="12" t="s">
        <v>89</v>
      </c>
      <c r="L167" s="11" t="s">
        <v>646</v>
      </c>
      <c r="M167" s="11">
        <f t="shared" si="1"/>
        <v>0</v>
      </c>
      <c r="N167" s="11"/>
      <c r="O167" s="11"/>
      <c r="P167" s="11"/>
      <c r="Q167" s="11"/>
      <c r="R167" s="11"/>
      <c r="S167" s="11"/>
      <c r="T167" s="11"/>
      <c r="U167" s="11"/>
      <c r="V167" s="18"/>
      <c r="W167" s="18">
        <v>1.0</v>
      </c>
      <c r="X167" s="11"/>
      <c r="Y167" s="11"/>
      <c r="Z167" s="14">
        <f t="shared" si="2"/>
        <v>1</v>
      </c>
      <c r="AA167" s="15" t="s">
        <v>91</v>
      </c>
    </row>
    <row r="168" ht="14.25" hidden="1" customHeight="1">
      <c r="A168" s="11" t="s">
        <v>647</v>
      </c>
      <c r="B168" s="11" t="s">
        <v>178</v>
      </c>
      <c r="C168" s="42" t="s">
        <v>648</v>
      </c>
      <c r="D168" s="11"/>
      <c r="E168" s="11"/>
      <c r="F168" s="11"/>
      <c r="G168" s="11" t="s">
        <v>38</v>
      </c>
      <c r="H168" s="11"/>
      <c r="I168" s="11"/>
      <c r="J168" s="11"/>
      <c r="K168" s="12" t="s">
        <v>89</v>
      </c>
      <c r="L168" s="11" t="s">
        <v>646</v>
      </c>
      <c r="M168" s="11">
        <f t="shared" si="1"/>
        <v>0</v>
      </c>
      <c r="N168" s="11"/>
      <c r="O168" s="11"/>
      <c r="P168" s="11"/>
      <c r="Q168" s="11"/>
      <c r="R168" s="11"/>
      <c r="S168" s="11"/>
      <c r="T168" s="11"/>
      <c r="U168" s="11"/>
      <c r="V168" s="18"/>
      <c r="W168" s="18">
        <v>1.0</v>
      </c>
      <c r="X168" s="11"/>
      <c r="Y168" s="11"/>
      <c r="Z168" s="14">
        <f t="shared" si="2"/>
        <v>1</v>
      </c>
      <c r="AA168" s="15" t="s">
        <v>91</v>
      </c>
    </row>
    <row r="169" ht="14.25" customHeight="1">
      <c r="A169" s="11" t="s">
        <v>649</v>
      </c>
      <c r="B169" s="11" t="s">
        <v>650</v>
      </c>
      <c r="C169" s="37" t="s">
        <v>651</v>
      </c>
      <c r="D169" s="11"/>
      <c r="E169" s="11"/>
      <c r="F169" s="27" t="s">
        <v>405</v>
      </c>
      <c r="G169" s="11" t="s">
        <v>38</v>
      </c>
      <c r="H169" s="28" t="s">
        <v>652</v>
      </c>
      <c r="I169" s="11"/>
      <c r="J169" s="11"/>
      <c r="K169" s="29" t="s">
        <v>50</v>
      </c>
      <c r="L169" s="11"/>
      <c r="M169" s="11">
        <f t="shared" si="1"/>
        <v>1</v>
      </c>
      <c r="N169" s="11"/>
      <c r="O169" s="11"/>
      <c r="P169" s="11"/>
      <c r="Q169" s="11"/>
      <c r="R169" s="11"/>
      <c r="S169" s="11"/>
      <c r="T169" s="11"/>
      <c r="U169" s="11"/>
      <c r="V169" s="18"/>
      <c r="W169" s="18">
        <v>1.0</v>
      </c>
      <c r="X169" s="11"/>
      <c r="Y169" s="11"/>
      <c r="Z169" s="14">
        <f t="shared" si="2"/>
        <v>1</v>
      </c>
      <c r="AA169" s="15" t="s">
        <v>106</v>
      </c>
      <c r="AB169" s="14">
        <v>0.27093498252935344</v>
      </c>
    </row>
    <row r="170" ht="14.25" hidden="1" customHeight="1">
      <c r="A170" s="19" t="s">
        <v>653</v>
      </c>
      <c r="B170" s="19" t="s">
        <v>654</v>
      </c>
      <c r="C170" s="52" t="s">
        <v>655</v>
      </c>
      <c r="D170" s="21"/>
      <c r="E170" s="21"/>
      <c r="F170" s="21"/>
      <c r="G170" s="19" t="s">
        <v>132</v>
      </c>
      <c r="H170" s="21"/>
      <c r="I170" s="21"/>
      <c r="J170" s="21"/>
      <c r="K170" s="24" t="s">
        <v>89</v>
      </c>
      <c r="L170" s="24" t="s">
        <v>69</v>
      </c>
      <c r="M170" s="11">
        <f t="shared" si="1"/>
        <v>0</v>
      </c>
      <c r="N170" s="21"/>
      <c r="O170" s="21"/>
      <c r="P170" s="21"/>
      <c r="Q170" s="21"/>
      <c r="R170" s="21"/>
      <c r="S170" s="21"/>
      <c r="T170" s="21"/>
      <c r="U170" s="21"/>
      <c r="V170" s="21"/>
      <c r="W170" s="24">
        <v>1.0</v>
      </c>
      <c r="X170" s="21"/>
      <c r="Y170" s="21"/>
      <c r="Z170" s="14">
        <f t="shared" si="2"/>
        <v>1</v>
      </c>
      <c r="AA170" s="15" t="s">
        <v>91</v>
      </c>
    </row>
    <row r="171" ht="14.25" hidden="1" customHeight="1">
      <c r="A171" s="11" t="s">
        <v>656</v>
      </c>
      <c r="B171" s="11" t="s">
        <v>657</v>
      </c>
      <c r="C171" s="16" t="s">
        <v>658</v>
      </c>
      <c r="D171" s="11"/>
      <c r="E171" s="11"/>
      <c r="F171" s="11"/>
      <c r="G171" s="11" t="s">
        <v>196</v>
      </c>
      <c r="H171" s="11"/>
      <c r="I171" s="11"/>
      <c r="J171" s="11"/>
      <c r="K171" s="12" t="s">
        <v>89</v>
      </c>
      <c r="L171" s="12" t="s">
        <v>252</v>
      </c>
      <c r="M171" s="11">
        <f t="shared" si="1"/>
        <v>0</v>
      </c>
      <c r="N171" s="11"/>
      <c r="O171" s="11"/>
      <c r="P171" s="11"/>
      <c r="Q171" s="11"/>
      <c r="R171" s="11"/>
      <c r="S171" s="11"/>
      <c r="T171" s="11"/>
      <c r="U171" s="11"/>
      <c r="V171" s="18"/>
      <c r="W171" s="18">
        <v>1.0</v>
      </c>
      <c r="X171" s="11"/>
      <c r="Y171" s="11"/>
      <c r="Z171" s="14">
        <f t="shared" si="2"/>
        <v>1</v>
      </c>
      <c r="AA171" s="15" t="s">
        <v>106</v>
      </c>
    </row>
    <row r="172" ht="14.25" hidden="1" customHeight="1">
      <c r="A172" s="19" t="s">
        <v>659</v>
      </c>
      <c r="B172" s="19" t="s">
        <v>660</v>
      </c>
      <c r="C172" s="40" t="s">
        <v>661</v>
      </c>
      <c r="D172" s="21"/>
      <c r="E172" s="21"/>
      <c r="F172" s="21"/>
      <c r="G172" s="19" t="s">
        <v>264</v>
      </c>
      <c r="H172" s="21"/>
      <c r="I172" s="21"/>
      <c r="J172" s="24"/>
      <c r="K172" s="24" t="s">
        <v>89</v>
      </c>
      <c r="L172" s="66" t="s">
        <v>662</v>
      </c>
      <c r="M172" s="11">
        <f t="shared" si="1"/>
        <v>0</v>
      </c>
      <c r="N172" s="21"/>
      <c r="O172" s="21"/>
      <c r="P172" s="21"/>
      <c r="Q172" s="21"/>
      <c r="R172" s="21"/>
      <c r="S172" s="21"/>
      <c r="T172" s="21"/>
      <c r="U172" s="21"/>
      <c r="V172" s="21"/>
      <c r="W172" s="24">
        <v>1.0</v>
      </c>
      <c r="X172" s="21"/>
      <c r="Y172" s="21"/>
      <c r="Z172" s="14">
        <f t="shared" si="2"/>
        <v>1</v>
      </c>
      <c r="AA172" s="15" t="s">
        <v>91</v>
      </c>
    </row>
    <row r="173" ht="14.25" customHeight="1">
      <c r="A173" s="11" t="s">
        <v>663</v>
      </c>
      <c r="B173" s="11" t="s">
        <v>664</v>
      </c>
      <c r="C173" s="38" t="s">
        <v>665</v>
      </c>
      <c r="D173" s="11"/>
      <c r="E173" s="11"/>
      <c r="F173" s="27" t="s">
        <v>95</v>
      </c>
      <c r="G173" s="11" t="s">
        <v>196</v>
      </c>
      <c r="H173" s="28" t="s">
        <v>666</v>
      </c>
      <c r="I173" s="11"/>
      <c r="J173" s="12"/>
      <c r="K173" s="29" t="s">
        <v>50</v>
      </c>
      <c r="L173" s="11"/>
      <c r="M173" s="11">
        <f t="shared" si="1"/>
        <v>1</v>
      </c>
      <c r="N173" s="18">
        <v>1.0</v>
      </c>
      <c r="O173" s="11"/>
      <c r="P173" s="11"/>
      <c r="Q173" s="11"/>
      <c r="R173" s="11"/>
      <c r="S173" s="12">
        <v>1.0</v>
      </c>
      <c r="T173" s="12"/>
      <c r="U173" s="12"/>
      <c r="V173" s="31">
        <v>1.0</v>
      </c>
      <c r="W173" s="18">
        <v>1.0</v>
      </c>
      <c r="X173" s="11"/>
      <c r="Y173" s="11"/>
      <c r="Z173" s="14">
        <f t="shared" si="2"/>
        <v>4</v>
      </c>
      <c r="AA173" s="15" t="s">
        <v>106</v>
      </c>
      <c r="AB173" s="14">
        <v>0.2714101834328966</v>
      </c>
    </row>
    <row r="174" ht="14.25" customHeight="1">
      <c r="A174" s="19" t="s">
        <v>667</v>
      </c>
      <c r="B174" s="19" t="s">
        <v>668</v>
      </c>
      <c r="C174" s="33" t="s">
        <v>669</v>
      </c>
      <c r="D174" s="21"/>
      <c r="E174" s="21"/>
      <c r="F174" s="27" t="s">
        <v>56</v>
      </c>
      <c r="G174" s="19" t="s">
        <v>83</v>
      </c>
      <c r="H174" s="23" t="s">
        <v>670</v>
      </c>
      <c r="I174" s="21"/>
      <c r="J174" s="21"/>
      <c r="K174" s="25" t="s">
        <v>50</v>
      </c>
      <c r="L174" s="24" t="s">
        <v>671</v>
      </c>
      <c r="M174" s="11">
        <f t="shared" si="1"/>
        <v>1</v>
      </c>
      <c r="N174" s="21"/>
      <c r="O174" s="21"/>
      <c r="P174" s="21"/>
      <c r="Q174" s="21"/>
      <c r="R174" s="21"/>
      <c r="S174" s="21"/>
      <c r="T174" s="21"/>
      <c r="U174" s="21"/>
      <c r="V174" s="21"/>
      <c r="W174" s="24">
        <v>1.0</v>
      </c>
      <c r="X174" s="21"/>
      <c r="Y174" s="21"/>
      <c r="Z174" s="14">
        <f t="shared" si="2"/>
        <v>1</v>
      </c>
      <c r="AA174" s="15" t="s">
        <v>91</v>
      </c>
      <c r="AB174" s="14">
        <v>0.2731579338913779</v>
      </c>
    </row>
    <row r="175" ht="14.25" customHeight="1">
      <c r="A175" s="19" t="s">
        <v>672</v>
      </c>
      <c r="B175" s="19" t="s">
        <v>673</v>
      </c>
      <c r="C175" s="33" t="s">
        <v>674</v>
      </c>
      <c r="D175" s="21"/>
      <c r="E175" s="21"/>
      <c r="F175" s="27" t="s">
        <v>103</v>
      </c>
      <c r="G175" s="19" t="s">
        <v>83</v>
      </c>
      <c r="H175" s="23" t="s">
        <v>675</v>
      </c>
      <c r="I175" s="21"/>
      <c r="J175" s="21"/>
      <c r="K175" s="25" t="s">
        <v>50</v>
      </c>
      <c r="L175" s="24" t="s">
        <v>51</v>
      </c>
      <c r="M175" s="11">
        <f t="shared" si="1"/>
        <v>1</v>
      </c>
      <c r="N175" s="21"/>
      <c r="O175" s="21"/>
      <c r="P175" s="21"/>
      <c r="Q175" s="21"/>
      <c r="R175" s="21"/>
      <c r="S175" s="21"/>
      <c r="T175" s="21"/>
      <c r="U175" s="21"/>
      <c r="V175" s="21"/>
      <c r="W175" s="24">
        <v>1.0</v>
      </c>
      <c r="X175" s="21"/>
      <c r="Y175" s="21"/>
      <c r="Z175" s="14">
        <f t="shared" si="2"/>
        <v>1</v>
      </c>
      <c r="AA175" s="15" t="s">
        <v>91</v>
      </c>
      <c r="AB175" s="14">
        <v>0.27484178360734735</v>
      </c>
    </row>
    <row r="176" ht="14.25" customHeight="1">
      <c r="A176" s="11" t="s">
        <v>676</v>
      </c>
      <c r="B176" s="11" t="s">
        <v>677</v>
      </c>
      <c r="C176" s="37" t="s">
        <v>678</v>
      </c>
      <c r="D176" s="12" t="s">
        <v>29</v>
      </c>
      <c r="E176" s="12" t="s">
        <v>29</v>
      </c>
      <c r="F176" s="27" t="s">
        <v>95</v>
      </c>
      <c r="G176" s="12" t="s">
        <v>48</v>
      </c>
      <c r="H176" s="28" t="s">
        <v>679</v>
      </c>
      <c r="I176" s="11"/>
      <c r="J176" s="11"/>
      <c r="K176" s="29" t="s">
        <v>50</v>
      </c>
      <c r="L176" s="11"/>
      <c r="M176" s="11">
        <f t="shared" si="1"/>
        <v>1</v>
      </c>
      <c r="N176" s="11"/>
      <c r="O176" s="11"/>
      <c r="P176" s="11"/>
      <c r="Q176" s="11"/>
      <c r="R176" s="11"/>
      <c r="S176" s="11"/>
      <c r="T176" s="11"/>
      <c r="U176" s="11"/>
      <c r="V176" s="11"/>
      <c r="W176" s="11"/>
      <c r="X176" s="11"/>
      <c r="Y176" s="11"/>
      <c r="Z176" s="14">
        <f t="shared" si="2"/>
        <v>0</v>
      </c>
      <c r="AA176" s="15" t="s">
        <v>106</v>
      </c>
      <c r="AB176" s="14">
        <v>0.27649973660431904</v>
      </c>
    </row>
    <row r="177" ht="14.25" customHeight="1">
      <c r="A177" s="11" t="s">
        <v>680</v>
      </c>
      <c r="B177" s="11" t="s">
        <v>462</v>
      </c>
      <c r="C177" s="26" t="s">
        <v>681</v>
      </c>
      <c r="D177" s="11"/>
      <c r="E177" s="11"/>
      <c r="F177" s="27" t="s">
        <v>56</v>
      </c>
      <c r="G177" s="11" t="s">
        <v>38</v>
      </c>
      <c r="H177" s="28" t="s">
        <v>682</v>
      </c>
      <c r="I177" s="11"/>
      <c r="J177" s="11"/>
      <c r="K177" s="29" t="s">
        <v>50</v>
      </c>
      <c r="L177" s="11"/>
      <c r="M177" s="11">
        <f t="shared" si="1"/>
        <v>1</v>
      </c>
      <c r="N177" s="11"/>
      <c r="O177" s="11"/>
      <c r="P177" s="11"/>
      <c r="Q177" s="11"/>
      <c r="R177" s="11"/>
      <c r="S177" s="11"/>
      <c r="T177" s="11"/>
      <c r="U177" s="11"/>
      <c r="V177" s="18"/>
      <c r="W177" s="18">
        <v>1.0</v>
      </c>
      <c r="X177" s="11"/>
      <c r="Y177" s="11"/>
      <c r="Z177" s="14">
        <f t="shared" si="2"/>
        <v>1</v>
      </c>
      <c r="AA177" s="15" t="s">
        <v>106</v>
      </c>
      <c r="AB177" s="14">
        <v>0.2808596872428959</v>
      </c>
    </row>
    <row r="178" ht="14.25" hidden="1" customHeight="1">
      <c r="A178" s="11" t="s">
        <v>683</v>
      </c>
      <c r="B178" s="11" t="s">
        <v>684</v>
      </c>
      <c r="C178" s="42" t="s">
        <v>685</v>
      </c>
      <c r="D178" s="11"/>
      <c r="E178" s="11"/>
      <c r="F178" s="11"/>
      <c r="G178" s="11" t="s">
        <v>132</v>
      </c>
      <c r="H178" s="11"/>
      <c r="I178" s="11"/>
      <c r="J178" s="11"/>
      <c r="K178" s="12" t="s">
        <v>89</v>
      </c>
      <c r="L178" s="12" t="s">
        <v>686</v>
      </c>
      <c r="M178" s="11">
        <f t="shared" si="1"/>
        <v>0</v>
      </c>
      <c r="N178" s="11"/>
      <c r="O178" s="11"/>
      <c r="P178" s="11"/>
      <c r="Q178" s="11"/>
      <c r="R178" s="11"/>
      <c r="S178" s="11"/>
      <c r="T178" s="11"/>
      <c r="U178" s="11"/>
      <c r="V178" s="31">
        <v>1.0</v>
      </c>
      <c r="W178" s="18">
        <v>1.0</v>
      </c>
      <c r="X178" s="11"/>
      <c r="Y178" s="11"/>
      <c r="Z178" s="14">
        <f t="shared" si="2"/>
        <v>2</v>
      </c>
      <c r="AA178" s="15" t="s">
        <v>91</v>
      </c>
    </row>
    <row r="179" ht="14.25" hidden="1" customHeight="1">
      <c r="A179" s="11" t="s">
        <v>687</v>
      </c>
      <c r="B179" s="11" t="s">
        <v>688</v>
      </c>
      <c r="C179" s="16" t="s">
        <v>689</v>
      </c>
      <c r="D179" s="11"/>
      <c r="E179" s="11"/>
      <c r="F179" s="11"/>
      <c r="G179" s="11"/>
      <c r="H179" s="11"/>
      <c r="I179" s="11"/>
      <c r="J179" s="11"/>
      <c r="K179" s="12" t="s">
        <v>89</v>
      </c>
      <c r="L179" s="12" t="s">
        <v>43</v>
      </c>
      <c r="M179" s="11">
        <f t="shared" si="1"/>
        <v>0</v>
      </c>
      <c r="N179" s="11"/>
      <c r="O179" s="11"/>
      <c r="P179" s="11"/>
      <c r="Q179" s="11"/>
      <c r="R179" s="11"/>
      <c r="S179" s="11"/>
      <c r="T179" s="11"/>
      <c r="U179" s="11"/>
      <c r="V179" s="11"/>
      <c r="W179" s="11"/>
      <c r="X179" s="11"/>
      <c r="Y179" s="11"/>
      <c r="Z179" s="14">
        <f t="shared" si="2"/>
        <v>0</v>
      </c>
      <c r="AA179" s="15" t="s">
        <v>106</v>
      </c>
    </row>
    <row r="180" ht="14.25" hidden="1" customHeight="1">
      <c r="A180" s="12" t="s">
        <v>690</v>
      </c>
      <c r="B180" s="12" t="s">
        <v>691</v>
      </c>
      <c r="C180" s="67" t="s">
        <v>692</v>
      </c>
      <c r="D180" s="11"/>
      <c r="E180" s="11"/>
      <c r="F180" s="12" t="s">
        <v>95</v>
      </c>
      <c r="G180" s="11" t="s">
        <v>78</v>
      </c>
      <c r="H180" s="12">
        <v>2017.0</v>
      </c>
      <c r="I180" s="11"/>
      <c r="J180" s="12"/>
      <c r="K180" s="12" t="s">
        <v>89</v>
      </c>
      <c r="L180" s="12" t="s">
        <v>43</v>
      </c>
      <c r="M180" s="11">
        <f t="shared" si="1"/>
        <v>0</v>
      </c>
      <c r="N180" s="18">
        <v>1.0</v>
      </c>
      <c r="O180" s="11"/>
      <c r="P180" s="11"/>
      <c r="Q180" s="12">
        <v>1.0</v>
      </c>
      <c r="R180" s="11"/>
      <c r="S180" s="12">
        <v>1.0</v>
      </c>
      <c r="T180" s="12">
        <v>1.0</v>
      </c>
      <c r="U180" s="12"/>
      <c r="V180" s="31">
        <v>1.0</v>
      </c>
      <c r="W180" s="18">
        <v>1.0</v>
      </c>
      <c r="X180" s="11"/>
      <c r="Y180" s="11"/>
      <c r="Z180" s="14">
        <f t="shared" si="2"/>
        <v>6</v>
      </c>
      <c r="AA180" s="15" t="s">
        <v>106</v>
      </c>
    </row>
    <row r="181" ht="14.25" customHeight="1">
      <c r="A181" s="19" t="s">
        <v>693</v>
      </c>
      <c r="B181" s="19" t="s">
        <v>694</v>
      </c>
      <c r="C181" s="59" t="s">
        <v>695</v>
      </c>
      <c r="D181" s="21"/>
      <c r="E181" s="21"/>
      <c r="F181" s="68" t="s">
        <v>37</v>
      </c>
      <c r="G181" s="19" t="s">
        <v>78</v>
      </c>
      <c r="H181" s="23" t="s">
        <v>696</v>
      </c>
      <c r="I181" s="21"/>
      <c r="J181" s="24"/>
      <c r="K181" s="25" t="s">
        <v>50</v>
      </c>
      <c r="L181" s="24" t="s">
        <v>51</v>
      </c>
      <c r="M181" s="11">
        <f t="shared" si="1"/>
        <v>1</v>
      </c>
      <c r="N181" s="21"/>
      <c r="O181" s="21"/>
      <c r="P181" s="21"/>
      <c r="Q181" s="21"/>
      <c r="R181" s="21"/>
      <c r="S181" s="21"/>
      <c r="T181" s="21"/>
      <c r="U181" s="21"/>
      <c r="V181" s="21"/>
      <c r="W181" s="24">
        <v>1.0</v>
      </c>
      <c r="X181" s="21"/>
      <c r="Y181" s="21"/>
      <c r="Z181" s="14">
        <f t="shared" si="2"/>
        <v>1</v>
      </c>
      <c r="AA181" s="15" t="s">
        <v>106</v>
      </c>
      <c r="AB181" s="14">
        <v>0.2818461751322082</v>
      </c>
    </row>
    <row r="182" ht="14.25" customHeight="1">
      <c r="A182" s="19" t="s">
        <v>697</v>
      </c>
      <c r="B182" s="19" t="s">
        <v>698</v>
      </c>
      <c r="C182" s="20" t="s">
        <v>699</v>
      </c>
      <c r="D182" s="21"/>
      <c r="E182" s="21"/>
      <c r="F182" s="27" t="s">
        <v>62</v>
      </c>
      <c r="G182" s="19" t="s">
        <v>78</v>
      </c>
      <c r="H182" s="23" t="s">
        <v>159</v>
      </c>
      <c r="I182" s="21"/>
      <c r="J182" s="21"/>
      <c r="K182" s="25" t="s">
        <v>50</v>
      </c>
      <c r="L182" s="24" t="s">
        <v>152</v>
      </c>
      <c r="M182" s="11">
        <f t="shared" si="1"/>
        <v>1</v>
      </c>
      <c r="N182" s="21"/>
      <c r="O182" s="21"/>
      <c r="P182" s="21"/>
      <c r="Q182" s="21"/>
      <c r="R182" s="21"/>
      <c r="S182" s="21"/>
      <c r="T182" s="21"/>
      <c r="U182" s="21"/>
      <c r="V182" s="21"/>
      <c r="W182" s="24">
        <v>1.0</v>
      </c>
      <c r="X182" s="21"/>
      <c r="Y182" s="21"/>
      <c r="Z182" s="14">
        <f t="shared" si="2"/>
        <v>1</v>
      </c>
      <c r="AA182" s="15" t="s">
        <v>52</v>
      </c>
      <c r="AB182" s="14">
        <v>0.2841384690372719</v>
      </c>
    </row>
    <row r="183" ht="14.25" hidden="1" customHeight="1">
      <c r="A183" s="11" t="s">
        <v>700</v>
      </c>
      <c r="B183" s="11" t="s">
        <v>701</v>
      </c>
      <c r="C183" s="42" t="s">
        <v>702</v>
      </c>
      <c r="D183" s="11"/>
      <c r="E183" s="11"/>
      <c r="F183" s="11"/>
      <c r="G183" s="11" t="s">
        <v>78</v>
      </c>
      <c r="H183" s="11"/>
      <c r="I183" s="11"/>
      <c r="J183" s="11"/>
      <c r="K183" s="11" t="s">
        <v>31</v>
      </c>
      <c r="L183" s="12" t="s">
        <v>252</v>
      </c>
      <c r="M183" s="11">
        <f t="shared" si="1"/>
        <v>0</v>
      </c>
      <c r="N183" s="11"/>
      <c r="O183" s="11"/>
      <c r="P183" s="11"/>
      <c r="Q183" s="11"/>
      <c r="R183" s="11"/>
      <c r="S183" s="11"/>
      <c r="T183" s="11"/>
      <c r="U183" s="11"/>
      <c r="V183" s="18"/>
      <c r="W183" s="18">
        <v>1.0</v>
      </c>
      <c r="X183" s="11"/>
      <c r="Y183" s="11"/>
      <c r="Z183" s="14">
        <f t="shared" si="2"/>
        <v>1</v>
      </c>
      <c r="AA183" s="15" t="s">
        <v>106</v>
      </c>
    </row>
    <row r="184" ht="14.25" customHeight="1">
      <c r="A184" s="19" t="s">
        <v>703</v>
      </c>
      <c r="B184" s="32" t="s">
        <v>54</v>
      </c>
      <c r="C184" s="33" t="s">
        <v>704</v>
      </c>
      <c r="D184" s="21"/>
      <c r="E184" s="21"/>
      <c r="F184" s="27" t="s">
        <v>56</v>
      </c>
      <c r="G184" s="19" t="s">
        <v>83</v>
      </c>
      <c r="H184" s="23" t="s">
        <v>705</v>
      </c>
      <c r="I184" s="21"/>
      <c r="J184" s="24"/>
      <c r="K184" s="25" t="s">
        <v>58</v>
      </c>
      <c r="L184" s="24" t="s">
        <v>51</v>
      </c>
      <c r="M184" s="11">
        <f t="shared" si="1"/>
        <v>1</v>
      </c>
      <c r="N184" s="21"/>
      <c r="O184" s="21"/>
      <c r="P184" s="21"/>
      <c r="Q184" s="21"/>
      <c r="R184" s="21"/>
      <c r="S184" s="21"/>
      <c r="T184" s="21"/>
      <c r="U184" s="21"/>
      <c r="V184" s="21"/>
      <c r="W184" s="24">
        <v>1.0</v>
      </c>
      <c r="X184" s="21"/>
      <c r="Y184" s="21"/>
      <c r="Z184" s="14">
        <f t="shared" si="2"/>
        <v>1</v>
      </c>
      <c r="AA184" s="15" t="s">
        <v>33</v>
      </c>
      <c r="AB184" s="14">
        <v>0.28491176714837607</v>
      </c>
    </row>
    <row r="185" ht="14.25" hidden="1" customHeight="1">
      <c r="A185" s="11" t="s">
        <v>706</v>
      </c>
      <c r="B185" s="11" t="s">
        <v>701</v>
      </c>
      <c r="C185" s="42" t="s">
        <v>707</v>
      </c>
      <c r="D185" s="11"/>
      <c r="E185" s="11"/>
      <c r="F185" s="11"/>
      <c r="G185" s="11" t="s">
        <v>78</v>
      </c>
      <c r="H185" s="11"/>
      <c r="I185" s="11"/>
      <c r="J185" s="11"/>
      <c r="K185" s="12" t="s">
        <v>89</v>
      </c>
      <c r="L185" s="12" t="s">
        <v>252</v>
      </c>
      <c r="M185" s="11">
        <f t="shared" si="1"/>
        <v>0</v>
      </c>
      <c r="N185" s="11"/>
      <c r="O185" s="11"/>
      <c r="P185" s="11"/>
      <c r="Q185" s="11"/>
      <c r="R185" s="11"/>
      <c r="S185" s="11"/>
      <c r="T185" s="11"/>
      <c r="U185" s="11"/>
      <c r="V185" s="18"/>
      <c r="W185" s="18">
        <v>1.0</v>
      </c>
      <c r="X185" s="11"/>
      <c r="Y185" s="11"/>
      <c r="Z185" s="14">
        <f t="shared" si="2"/>
        <v>1</v>
      </c>
      <c r="AA185" s="15" t="s">
        <v>91</v>
      </c>
    </row>
    <row r="186" ht="14.25" customHeight="1">
      <c r="A186" s="11" t="s">
        <v>708</v>
      </c>
      <c r="B186" s="11" t="s">
        <v>709</v>
      </c>
      <c r="C186" s="37" t="s">
        <v>710</v>
      </c>
      <c r="D186" s="12" t="s">
        <v>29</v>
      </c>
      <c r="E186" s="12" t="s">
        <v>29</v>
      </c>
      <c r="F186" s="27" t="s">
        <v>37</v>
      </c>
      <c r="G186" s="11" t="s">
        <v>48</v>
      </c>
      <c r="H186" s="28" t="s">
        <v>239</v>
      </c>
      <c r="I186" s="11"/>
      <c r="J186" s="11"/>
      <c r="K186" s="29" t="s">
        <v>50</v>
      </c>
      <c r="L186" s="12" t="s">
        <v>152</v>
      </c>
      <c r="M186" s="11">
        <f t="shared" si="1"/>
        <v>1</v>
      </c>
      <c r="N186" s="18">
        <v>1.0</v>
      </c>
      <c r="O186" s="11"/>
      <c r="P186" s="11"/>
      <c r="Q186" s="11"/>
      <c r="R186" s="11"/>
      <c r="S186" s="11"/>
      <c r="T186" s="11"/>
      <c r="U186" s="11"/>
      <c r="V186" s="31">
        <v>1.0</v>
      </c>
      <c r="W186" s="18">
        <v>1.0</v>
      </c>
      <c r="X186" s="11"/>
      <c r="Y186" s="11"/>
      <c r="Z186" s="14">
        <f t="shared" si="2"/>
        <v>3</v>
      </c>
      <c r="AA186" s="15" t="s">
        <v>91</v>
      </c>
      <c r="AB186" s="14">
        <v>0.2861761094700208</v>
      </c>
    </row>
    <row r="187" ht="14.25" customHeight="1">
      <c r="A187" s="11" t="s">
        <v>711</v>
      </c>
      <c r="B187" s="11" t="s">
        <v>310</v>
      </c>
      <c r="C187" s="35" t="s">
        <v>712</v>
      </c>
      <c r="D187" s="11"/>
      <c r="E187" s="11"/>
      <c r="F187" s="27" t="s">
        <v>56</v>
      </c>
      <c r="G187" s="11" t="s">
        <v>38</v>
      </c>
      <c r="H187" s="28" t="s">
        <v>713</v>
      </c>
      <c r="I187" s="11"/>
      <c r="J187" s="11"/>
      <c r="K187" s="29" t="s">
        <v>50</v>
      </c>
      <c r="L187" s="12" t="s">
        <v>714</v>
      </c>
      <c r="M187" s="11">
        <f t="shared" si="1"/>
        <v>1</v>
      </c>
      <c r="N187" s="11"/>
      <c r="O187" s="11"/>
      <c r="P187" s="11"/>
      <c r="Q187" s="11"/>
      <c r="R187" s="11"/>
      <c r="S187" s="11"/>
      <c r="T187" s="11"/>
      <c r="U187" s="11"/>
      <c r="V187" s="18"/>
      <c r="W187" s="18">
        <v>1.0</v>
      </c>
      <c r="X187" s="11"/>
      <c r="Y187" s="11"/>
      <c r="Z187" s="14">
        <f t="shared" si="2"/>
        <v>1</v>
      </c>
      <c r="AA187" s="15" t="s">
        <v>91</v>
      </c>
      <c r="AB187" s="14">
        <v>0.2896242577093264</v>
      </c>
    </row>
    <row r="188" ht="14.25" customHeight="1">
      <c r="A188" s="19" t="s">
        <v>715</v>
      </c>
      <c r="B188" s="19" t="s">
        <v>310</v>
      </c>
      <c r="C188" s="20" t="s">
        <v>716</v>
      </c>
      <c r="D188" s="21"/>
      <c r="E188" s="21"/>
      <c r="F188" s="27" t="s">
        <v>56</v>
      </c>
      <c r="G188" s="19" t="s">
        <v>83</v>
      </c>
      <c r="H188" s="23" t="s">
        <v>717</v>
      </c>
      <c r="I188" s="21"/>
      <c r="J188" s="21"/>
      <c r="K188" s="25" t="s">
        <v>58</v>
      </c>
      <c r="L188" s="24" t="s">
        <v>51</v>
      </c>
      <c r="M188" s="11">
        <f t="shared" si="1"/>
        <v>1</v>
      </c>
      <c r="N188" s="21"/>
      <c r="O188" s="21"/>
      <c r="P188" s="21"/>
      <c r="Q188" s="21"/>
      <c r="R188" s="21"/>
      <c r="S188" s="21"/>
      <c r="T188" s="21"/>
      <c r="U188" s="21"/>
      <c r="V188" s="21"/>
      <c r="W188" s="24">
        <v>1.0</v>
      </c>
      <c r="X188" s="21"/>
      <c r="Y188" s="21"/>
      <c r="Z188" s="14">
        <f t="shared" si="2"/>
        <v>1</v>
      </c>
      <c r="AA188" s="15" t="s">
        <v>33</v>
      </c>
      <c r="AB188" s="14">
        <v>0.2907083131857209</v>
      </c>
    </row>
    <row r="189" ht="14.25" customHeight="1">
      <c r="A189" s="12" t="s">
        <v>718</v>
      </c>
      <c r="B189" s="12" t="s">
        <v>719</v>
      </c>
      <c r="C189" s="35" t="s">
        <v>720</v>
      </c>
      <c r="D189" s="11"/>
      <c r="E189" s="11"/>
      <c r="F189" s="27" t="s">
        <v>140</v>
      </c>
      <c r="G189" s="12" t="s">
        <v>78</v>
      </c>
      <c r="H189" s="28" t="s">
        <v>721</v>
      </c>
      <c r="I189" s="11"/>
      <c r="J189" s="12"/>
      <c r="K189" s="29" t="s">
        <v>50</v>
      </c>
      <c r="L189" s="12" t="s">
        <v>51</v>
      </c>
      <c r="M189" s="11">
        <f t="shared" si="1"/>
        <v>1</v>
      </c>
      <c r="N189" s="11"/>
      <c r="O189" s="11"/>
      <c r="P189" s="11"/>
      <c r="Q189" s="11"/>
      <c r="R189" s="11"/>
      <c r="S189" s="11"/>
      <c r="T189" s="11"/>
      <c r="U189" s="11"/>
      <c r="V189" s="31">
        <v>1.0</v>
      </c>
      <c r="W189" s="18"/>
      <c r="X189" s="11"/>
      <c r="Y189" s="11"/>
      <c r="Z189" s="14">
        <f t="shared" si="2"/>
        <v>1</v>
      </c>
      <c r="AA189" s="15" t="s">
        <v>106</v>
      </c>
      <c r="AB189" s="14">
        <v>0.29208096344002266</v>
      </c>
    </row>
    <row r="190" ht="14.25" hidden="1" customHeight="1">
      <c r="A190" s="11" t="s">
        <v>722</v>
      </c>
      <c r="B190" s="11" t="s">
        <v>165</v>
      </c>
      <c r="C190" s="42" t="s">
        <v>723</v>
      </c>
      <c r="D190" s="11"/>
      <c r="E190" s="11"/>
      <c r="F190" s="11"/>
      <c r="G190" s="11" t="s">
        <v>78</v>
      </c>
      <c r="H190" s="11"/>
      <c r="I190" s="11"/>
      <c r="J190" s="11"/>
      <c r="K190" s="12" t="s">
        <v>89</v>
      </c>
      <c r="L190" s="12" t="s">
        <v>724</v>
      </c>
      <c r="M190" s="11">
        <f t="shared" si="1"/>
        <v>0</v>
      </c>
      <c r="N190" s="11"/>
      <c r="O190" s="11"/>
      <c r="P190" s="11"/>
      <c r="Q190" s="11"/>
      <c r="R190" s="11"/>
      <c r="S190" s="11"/>
      <c r="T190" s="11"/>
      <c r="U190" s="11"/>
      <c r="V190" s="18"/>
      <c r="W190" s="18">
        <v>1.0</v>
      </c>
      <c r="X190" s="11"/>
      <c r="Y190" s="11"/>
      <c r="Z190" s="14">
        <f t="shared" si="2"/>
        <v>1</v>
      </c>
      <c r="AA190" s="15" t="s">
        <v>91</v>
      </c>
    </row>
    <row r="191" ht="14.25" customHeight="1">
      <c r="A191" s="11" t="s">
        <v>725</v>
      </c>
      <c r="B191" s="11" t="s">
        <v>726</v>
      </c>
      <c r="C191" s="26" t="s">
        <v>727</v>
      </c>
      <c r="D191" s="11"/>
      <c r="E191" s="11"/>
      <c r="F191" s="27" t="s">
        <v>140</v>
      </c>
      <c r="G191" s="11" t="s">
        <v>196</v>
      </c>
      <c r="H191" s="28" t="s">
        <v>728</v>
      </c>
      <c r="I191" s="11"/>
      <c r="J191" s="11"/>
      <c r="K191" s="29" t="s">
        <v>50</v>
      </c>
      <c r="L191" s="12" t="s">
        <v>357</v>
      </c>
      <c r="M191" s="11">
        <f t="shared" si="1"/>
        <v>1</v>
      </c>
      <c r="N191" s="11"/>
      <c r="O191" s="11"/>
      <c r="P191" s="11"/>
      <c r="Q191" s="11"/>
      <c r="R191" s="11"/>
      <c r="S191" s="11"/>
      <c r="T191" s="11"/>
      <c r="U191" s="11"/>
      <c r="V191" s="18"/>
      <c r="W191" s="18">
        <v>1.0</v>
      </c>
      <c r="X191" s="11"/>
      <c r="Y191" s="11"/>
      <c r="Z191" s="14">
        <f t="shared" si="2"/>
        <v>1</v>
      </c>
      <c r="AA191" s="15" t="s">
        <v>91</v>
      </c>
      <c r="AB191" s="14">
        <v>0.2961323261449942</v>
      </c>
    </row>
    <row r="192" ht="14.25" customHeight="1">
      <c r="A192" s="11" t="s">
        <v>729</v>
      </c>
      <c r="B192" s="11" t="s">
        <v>730</v>
      </c>
      <c r="C192" s="26" t="s">
        <v>731</v>
      </c>
      <c r="D192" s="11"/>
      <c r="E192" s="11"/>
      <c r="F192" s="27" t="s">
        <v>171</v>
      </c>
      <c r="G192" s="11" t="s">
        <v>732</v>
      </c>
      <c r="H192" s="28" t="s">
        <v>733</v>
      </c>
      <c r="I192" s="11"/>
      <c r="J192" s="11"/>
      <c r="K192" s="29" t="s">
        <v>50</v>
      </c>
      <c r="L192" s="12" t="s">
        <v>288</v>
      </c>
      <c r="M192" s="11">
        <f t="shared" si="1"/>
        <v>1</v>
      </c>
      <c r="N192" s="11"/>
      <c r="O192" s="11"/>
      <c r="P192" s="11"/>
      <c r="Q192" s="11"/>
      <c r="R192" s="11"/>
      <c r="S192" s="11"/>
      <c r="T192" s="11"/>
      <c r="U192" s="11"/>
      <c r="V192" s="18"/>
      <c r="W192" s="18">
        <v>1.0</v>
      </c>
      <c r="X192" s="11"/>
      <c r="Y192" s="11"/>
      <c r="Z192" s="14">
        <f t="shared" si="2"/>
        <v>1</v>
      </c>
      <c r="AA192" s="15" t="s">
        <v>52</v>
      </c>
      <c r="AB192" s="14">
        <v>0.2989593738792654</v>
      </c>
    </row>
    <row r="193" ht="14.25" hidden="1" customHeight="1">
      <c r="A193" s="11" t="s">
        <v>734</v>
      </c>
      <c r="B193" s="11" t="s">
        <v>735</v>
      </c>
      <c r="C193" s="42" t="s">
        <v>736</v>
      </c>
      <c r="D193" s="11"/>
      <c r="E193" s="11"/>
      <c r="F193" s="11"/>
      <c r="G193" s="11" t="s">
        <v>63</v>
      </c>
      <c r="H193" s="11"/>
      <c r="I193" s="11"/>
      <c r="J193" s="11"/>
      <c r="K193" s="11" t="s">
        <v>31</v>
      </c>
      <c r="L193" s="11" t="s">
        <v>69</v>
      </c>
      <c r="M193" s="11">
        <f t="shared" si="1"/>
        <v>0</v>
      </c>
      <c r="N193" s="11"/>
      <c r="O193" s="11"/>
      <c r="P193" s="11"/>
      <c r="Q193" s="11"/>
      <c r="R193" s="11"/>
      <c r="S193" s="11"/>
      <c r="T193" s="11"/>
      <c r="U193" s="11"/>
      <c r="V193" s="18"/>
      <c r="W193" s="18">
        <v>1.0</v>
      </c>
      <c r="X193" s="11"/>
      <c r="Y193" s="11"/>
      <c r="Z193" s="14">
        <f t="shared" si="2"/>
        <v>1</v>
      </c>
      <c r="AA193" s="15" t="s">
        <v>106</v>
      </c>
    </row>
    <row r="194" ht="14.25" customHeight="1">
      <c r="A194" s="11" t="s">
        <v>737</v>
      </c>
      <c r="B194" s="11" t="s">
        <v>738</v>
      </c>
      <c r="C194" s="37" t="s">
        <v>739</v>
      </c>
      <c r="D194" s="11"/>
      <c r="E194" s="11"/>
      <c r="F194" s="27" t="s">
        <v>77</v>
      </c>
      <c r="G194" s="11" t="s">
        <v>740</v>
      </c>
      <c r="H194" s="28" t="s">
        <v>741</v>
      </c>
      <c r="I194" s="11"/>
      <c r="J194" s="11"/>
      <c r="K194" s="29" t="s">
        <v>50</v>
      </c>
      <c r="L194" s="12" t="s">
        <v>51</v>
      </c>
      <c r="M194" s="11">
        <f t="shared" si="1"/>
        <v>1</v>
      </c>
      <c r="N194" s="11"/>
      <c r="O194" s="11"/>
      <c r="P194" s="11"/>
      <c r="Q194" s="11"/>
      <c r="R194" s="11"/>
      <c r="S194" s="11"/>
      <c r="T194" s="11"/>
      <c r="U194" s="11"/>
      <c r="V194" s="18"/>
      <c r="W194" s="18">
        <v>1.0</v>
      </c>
      <c r="X194" s="11"/>
      <c r="Y194" s="11"/>
      <c r="Z194" s="14">
        <f t="shared" si="2"/>
        <v>1</v>
      </c>
      <c r="AA194" s="15" t="s">
        <v>52</v>
      </c>
      <c r="AB194" s="14">
        <v>0.3021373779436691</v>
      </c>
    </row>
    <row r="195" ht="14.25" customHeight="1">
      <c r="A195" s="12" t="s">
        <v>742</v>
      </c>
      <c r="B195" s="12" t="s">
        <v>743</v>
      </c>
      <c r="C195" s="38" t="s">
        <v>744</v>
      </c>
      <c r="D195" s="11"/>
      <c r="E195" s="11"/>
      <c r="F195" s="27" t="s">
        <v>77</v>
      </c>
      <c r="G195" s="12" t="s">
        <v>68</v>
      </c>
      <c r="H195" s="28" t="s">
        <v>239</v>
      </c>
      <c r="I195" s="11"/>
      <c r="J195" s="12"/>
      <c r="K195" s="29" t="s">
        <v>50</v>
      </c>
      <c r="L195" s="12"/>
      <c r="M195" s="11">
        <f t="shared" si="1"/>
        <v>1</v>
      </c>
      <c r="N195" s="11"/>
      <c r="O195" s="11"/>
      <c r="P195" s="11"/>
      <c r="Q195" s="11"/>
      <c r="R195" s="11"/>
      <c r="S195" s="12">
        <v>1.0</v>
      </c>
      <c r="T195" s="12"/>
      <c r="U195" s="12"/>
      <c r="V195" s="31"/>
      <c r="W195" s="18"/>
      <c r="X195" s="11"/>
      <c r="Y195" s="11"/>
      <c r="Z195" s="14">
        <f t="shared" si="2"/>
        <v>1</v>
      </c>
      <c r="AA195" s="15" t="s">
        <v>52</v>
      </c>
      <c r="AB195" s="14">
        <v>0.3024108050622667</v>
      </c>
    </row>
    <row r="196" ht="14.25" hidden="1" customHeight="1">
      <c r="A196" s="11" t="s">
        <v>745</v>
      </c>
      <c r="B196" s="11" t="s">
        <v>746</v>
      </c>
      <c r="C196" s="42" t="s">
        <v>747</v>
      </c>
      <c r="D196" s="11"/>
      <c r="E196" s="11"/>
      <c r="F196" s="11"/>
      <c r="G196" s="11" t="s">
        <v>748</v>
      </c>
      <c r="H196" s="11"/>
      <c r="I196" s="11"/>
      <c r="J196" s="11"/>
      <c r="K196" s="12" t="s">
        <v>89</v>
      </c>
      <c r="L196" s="12" t="s">
        <v>43</v>
      </c>
      <c r="M196" s="11">
        <f t="shared" si="1"/>
        <v>0</v>
      </c>
      <c r="N196" s="11"/>
      <c r="O196" s="11"/>
      <c r="P196" s="11"/>
      <c r="Q196" s="11"/>
      <c r="R196" s="11"/>
      <c r="S196" s="11"/>
      <c r="T196" s="11"/>
      <c r="U196" s="11"/>
      <c r="V196" s="18"/>
      <c r="W196" s="18">
        <v>1.0</v>
      </c>
      <c r="X196" s="11"/>
      <c r="Y196" s="11"/>
      <c r="Z196" s="14">
        <f t="shared" si="2"/>
        <v>1</v>
      </c>
      <c r="AA196" s="15" t="s">
        <v>91</v>
      </c>
    </row>
    <row r="197" ht="14.25" hidden="1" customHeight="1">
      <c r="A197" s="11" t="s">
        <v>749</v>
      </c>
      <c r="B197" s="11" t="s">
        <v>746</v>
      </c>
      <c r="C197" s="42" t="s">
        <v>750</v>
      </c>
      <c r="D197" s="11"/>
      <c r="E197" s="11"/>
      <c r="F197" s="11"/>
      <c r="G197" s="11" t="s">
        <v>748</v>
      </c>
      <c r="H197" s="11"/>
      <c r="I197" s="11"/>
      <c r="J197" s="11"/>
      <c r="K197" s="12" t="s">
        <v>89</v>
      </c>
      <c r="L197" s="12" t="s">
        <v>43</v>
      </c>
      <c r="M197" s="11">
        <f t="shared" si="1"/>
        <v>0</v>
      </c>
      <c r="N197" s="11"/>
      <c r="O197" s="11"/>
      <c r="P197" s="11"/>
      <c r="Q197" s="11"/>
      <c r="R197" s="11"/>
      <c r="S197" s="11"/>
      <c r="T197" s="11"/>
      <c r="U197" s="11"/>
      <c r="V197" s="18"/>
      <c r="W197" s="18">
        <v>1.0</v>
      </c>
      <c r="X197" s="11"/>
      <c r="Y197" s="11"/>
      <c r="Z197" s="14">
        <f t="shared" si="2"/>
        <v>1</v>
      </c>
      <c r="AA197" s="15" t="s">
        <v>91</v>
      </c>
    </row>
    <row r="198" ht="14.25" customHeight="1">
      <c r="A198" s="11" t="s">
        <v>751</v>
      </c>
      <c r="B198" s="11" t="s">
        <v>310</v>
      </c>
      <c r="C198" s="26" t="s">
        <v>752</v>
      </c>
      <c r="D198" s="11"/>
      <c r="E198" s="11"/>
      <c r="F198" s="27" t="s">
        <v>56</v>
      </c>
      <c r="G198" s="11" t="s">
        <v>38</v>
      </c>
      <c r="H198" s="28" t="s">
        <v>713</v>
      </c>
      <c r="I198" s="11"/>
      <c r="J198" s="11"/>
      <c r="K198" s="29" t="s">
        <v>50</v>
      </c>
      <c r="L198" s="12" t="s">
        <v>714</v>
      </c>
      <c r="M198" s="11">
        <f t="shared" si="1"/>
        <v>1</v>
      </c>
      <c r="N198" s="11"/>
      <c r="O198" s="11"/>
      <c r="P198" s="11"/>
      <c r="Q198" s="11"/>
      <c r="R198" s="11"/>
      <c r="S198" s="11"/>
      <c r="T198" s="11"/>
      <c r="U198" s="11"/>
      <c r="V198" s="18"/>
      <c r="W198" s="18">
        <v>1.0</v>
      </c>
      <c r="X198" s="11"/>
      <c r="Y198" s="11"/>
      <c r="Z198" s="14">
        <f t="shared" si="2"/>
        <v>1</v>
      </c>
      <c r="AA198" s="15" t="s">
        <v>91</v>
      </c>
      <c r="AB198" s="14">
        <v>0.3061744008685926</v>
      </c>
    </row>
    <row r="199" ht="14.25" customHeight="1">
      <c r="A199" s="11" t="s">
        <v>753</v>
      </c>
      <c r="B199" s="11" t="s">
        <v>754</v>
      </c>
      <c r="C199" s="37" t="s">
        <v>755</v>
      </c>
      <c r="D199" s="12" t="s">
        <v>29</v>
      </c>
      <c r="E199" s="12" t="s">
        <v>29</v>
      </c>
      <c r="F199" s="27" t="s">
        <v>37</v>
      </c>
      <c r="G199" s="11" t="s">
        <v>38</v>
      </c>
      <c r="H199" s="28" t="s">
        <v>239</v>
      </c>
      <c r="I199" s="11"/>
      <c r="J199" s="11"/>
      <c r="K199" s="29" t="s">
        <v>50</v>
      </c>
      <c r="L199" s="11"/>
      <c r="M199" s="11">
        <f t="shared" si="1"/>
        <v>1</v>
      </c>
      <c r="N199" s="18">
        <v>1.0</v>
      </c>
      <c r="O199" s="18">
        <v>1.0</v>
      </c>
      <c r="P199" s="18">
        <v>1.0</v>
      </c>
      <c r="Q199" s="31">
        <v>1.0</v>
      </c>
      <c r="R199" s="31">
        <v>1.0</v>
      </c>
      <c r="S199" s="31">
        <v>1.0</v>
      </c>
      <c r="T199" s="31">
        <v>1.0</v>
      </c>
      <c r="U199" s="31">
        <v>1.0</v>
      </c>
      <c r="V199" s="31">
        <v>1.0</v>
      </c>
      <c r="W199" s="18">
        <v>1.0</v>
      </c>
      <c r="X199" s="31">
        <v>1.0</v>
      </c>
      <c r="Y199" s="18">
        <v>1.0</v>
      </c>
      <c r="Z199" s="14">
        <f t="shared" si="2"/>
        <v>12</v>
      </c>
      <c r="AA199" s="15" t="s">
        <v>106</v>
      </c>
      <c r="AB199" s="14">
        <v>0.30728560539038763</v>
      </c>
    </row>
    <row r="200" ht="14.25" customHeight="1">
      <c r="A200" s="19" t="s">
        <v>756</v>
      </c>
      <c r="B200" s="19" t="s">
        <v>602</v>
      </c>
      <c r="C200" s="20" t="s">
        <v>757</v>
      </c>
      <c r="D200" s="21"/>
      <c r="E200" s="21"/>
      <c r="F200" s="27" t="s">
        <v>103</v>
      </c>
      <c r="G200" s="19" t="s">
        <v>38</v>
      </c>
      <c r="H200" s="23" t="s">
        <v>758</v>
      </c>
      <c r="I200" s="21"/>
      <c r="J200" s="21"/>
      <c r="K200" s="25" t="s">
        <v>50</v>
      </c>
      <c r="L200" s="24" t="s">
        <v>65</v>
      </c>
      <c r="M200" s="11">
        <f t="shared" si="1"/>
        <v>1</v>
      </c>
      <c r="N200" s="21"/>
      <c r="O200" s="21"/>
      <c r="P200" s="21"/>
      <c r="Q200" s="21"/>
      <c r="R200" s="21"/>
      <c r="S200" s="21"/>
      <c r="T200" s="21"/>
      <c r="U200" s="21"/>
      <c r="V200" s="21"/>
      <c r="W200" s="24">
        <v>1.0</v>
      </c>
      <c r="X200" s="21"/>
      <c r="Y200" s="21"/>
      <c r="Z200" s="14">
        <f t="shared" si="2"/>
        <v>1</v>
      </c>
      <c r="AA200" s="15" t="s">
        <v>52</v>
      </c>
      <c r="AB200" s="14">
        <v>0.3095864585876531</v>
      </c>
    </row>
    <row r="201" ht="14.25" hidden="1" customHeight="1">
      <c r="A201" s="11" t="s">
        <v>759</v>
      </c>
      <c r="B201" s="11" t="s">
        <v>760</v>
      </c>
      <c r="C201" s="16" t="s">
        <v>761</v>
      </c>
      <c r="D201" s="11"/>
      <c r="E201" s="11"/>
      <c r="F201" s="11"/>
      <c r="G201" s="11" t="s">
        <v>48</v>
      </c>
      <c r="H201" s="11"/>
      <c r="I201" s="11"/>
      <c r="J201" s="11"/>
      <c r="K201" s="12" t="s">
        <v>89</v>
      </c>
      <c r="L201" s="12" t="s">
        <v>252</v>
      </c>
      <c r="M201" s="11">
        <f t="shared" si="1"/>
        <v>0</v>
      </c>
      <c r="N201" s="11"/>
      <c r="O201" s="11"/>
      <c r="P201" s="11"/>
      <c r="Q201" s="11"/>
      <c r="R201" s="11"/>
      <c r="S201" s="11"/>
      <c r="T201" s="11"/>
      <c r="U201" s="11"/>
      <c r="V201" s="18"/>
      <c r="W201" s="18">
        <v>1.0</v>
      </c>
      <c r="X201" s="11"/>
      <c r="Y201" s="11"/>
      <c r="Z201" s="14">
        <f t="shared" si="2"/>
        <v>1</v>
      </c>
      <c r="AA201" s="15" t="s">
        <v>106</v>
      </c>
    </row>
    <row r="202" ht="14.25" hidden="1" customHeight="1">
      <c r="A202" s="11" t="s">
        <v>762</v>
      </c>
      <c r="B202" s="11" t="s">
        <v>763</v>
      </c>
      <c r="C202" s="16" t="s">
        <v>764</v>
      </c>
      <c r="D202" s="11"/>
      <c r="E202" s="11"/>
      <c r="F202" s="11"/>
      <c r="G202" s="11" t="s">
        <v>48</v>
      </c>
      <c r="H202" s="11"/>
      <c r="I202" s="11"/>
      <c r="J202" s="11"/>
      <c r="K202" s="12" t="s">
        <v>89</v>
      </c>
      <c r="L202" s="12" t="s">
        <v>200</v>
      </c>
      <c r="M202" s="11">
        <f t="shared" si="1"/>
        <v>0</v>
      </c>
      <c r="N202" s="11"/>
      <c r="O202" s="11"/>
      <c r="P202" s="11"/>
      <c r="Q202" s="11"/>
      <c r="R202" s="11"/>
      <c r="S202" s="11"/>
      <c r="T202" s="11"/>
      <c r="U202" s="11"/>
      <c r="V202" s="18"/>
      <c r="W202" s="18">
        <v>1.0</v>
      </c>
      <c r="X202" s="11"/>
      <c r="Y202" s="11"/>
      <c r="Z202" s="14">
        <f t="shared" si="2"/>
        <v>1</v>
      </c>
      <c r="AA202" s="15" t="s">
        <v>106</v>
      </c>
    </row>
    <row r="203" ht="14.25" customHeight="1">
      <c r="A203" s="19" t="s">
        <v>765</v>
      </c>
      <c r="B203" s="19" t="s">
        <v>310</v>
      </c>
      <c r="C203" s="35" t="s">
        <v>766</v>
      </c>
      <c r="D203" s="21"/>
      <c r="E203" s="21"/>
      <c r="F203" s="27" t="s">
        <v>56</v>
      </c>
      <c r="G203" s="19" t="s">
        <v>83</v>
      </c>
      <c r="H203" s="23" t="s">
        <v>767</v>
      </c>
      <c r="I203" s="21"/>
      <c r="J203" s="21"/>
      <c r="K203" s="25" t="s">
        <v>58</v>
      </c>
      <c r="L203" s="24" t="s">
        <v>85</v>
      </c>
      <c r="M203" s="11">
        <f t="shared" si="1"/>
        <v>1</v>
      </c>
      <c r="N203" s="21"/>
      <c r="O203" s="21"/>
      <c r="P203" s="21"/>
      <c r="Q203" s="21"/>
      <c r="R203" s="21"/>
      <c r="S203" s="21"/>
      <c r="T203" s="21"/>
      <c r="U203" s="21"/>
      <c r="V203" s="21"/>
      <c r="W203" s="24">
        <v>1.0</v>
      </c>
      <c r="X203" s="21"/>
      <c r="Y203" s="21"/>
      <c r="Z203" s="14">
        <f t="shared" si="2"/>
        <v>1</v>
      </c>
      <c r="AA203" s="15" t="s">
        <v>33</v>
      </c>
      <c r="AB203" s="14">
        <v>0.3116115606388056</v>
      </c>
    </row>
    <row r="204" ht="14.25" customHeight="1">
      <c r="A204" s="11" t="s">
        <v>768</v>
      </c>
      <c r="B204" s="11" t="s">
        <v>769</v>
      </c>
      <c r="C204" s="35" t="s">
        <v>770</v>
      </c>
      <c r="D204" s="11"/>
      <c r="E204" s="11"/>
      <c r="F204" s="22" t="s">
        <v>77</v>
      </c>
      <c r="G204" s="11" t="s">
        <v>128</v>
      </c>
      <c r="H204" s="28" t="s">
        <v>771</v>
      </c>
      <c r="I204" s="11"/>
      <c r="J204" s="11"/>
      <c r="K204" s="29" t="s">
        <v>50</v>
      </c>
      <c r="L204" s="12" t="s">
        <v>357</v>
      </c>
      <c r="M204" s="11">
        <f t="shared" si="1"/>
        <v>1</v>
      </c>
      <c r="N204" s="11"/>
      <c r="O204" s="11"/>
      <c r="P204" s="11"/>
      <c r="Q204" s="11"/>
      <c r="R204" s="11"/>
      <c r="S204" s="11"/>
      <c r="T204" s="11"/>
      <c r="U204" s="11"/>
      <c r="V204" s="18"/>
      <c r="W204" s="18">
        <v>1.0</v>
      </c>
      <c r="X204" s="11"/>
      <c r="Y204" s="11"/>
      <c r="Z204" s="14">
        <f t="shared" si="2"/>
        <v>1</v>
      </c>
      <c r="AA204" s="15" t="s">
        <v>91</v>
      </c>
      <c r="AB204" s="14">
        <v>0.31251502550280263</v>
      </c>
    </row>
    <row r="205" ht="14.25" customHeight="1">
      <c r="A205" s="11" t="s">
        <v>772</v>
      </c>
      <c r="B205" s="11" t="s">
        <v>773</v>
      </c>
      <c r="C205" s="43" t="s">
        <v>774</v>
      </c>
      <c r="D205" s="11"/>
      <c r="E205" s="11"/>
      <c r="F205" s="27" t="s">
        <v>140</v>
      </c>
      <c r="G205" s="11" t="s">
        <v>48</v>
      </c>
      <c r="H205" s="28" t="s">
        <v>775</v>
      </c>
      <c r="I205" s="11"/>
      <c r="J205" s="11"/>
      <c r="K205" s="29" t="s">
        <v>50</v>
      </c>
      <c r="L205" s="12"/>
      <c r="M205" s="11">
        <f t="shared" si="1"/>
        <v>1</v>
      </c>
      <c r="N205" s="11"/>
      <c r="O205" s="11"/>
      <c r="P205" s="11"/>
      <c r="Q205" s="11"/>
      <c r="R205" s="11"/>
      <c r="S205" s="11"/>
      <c r="T205" s="11"/>
      <c r="U205" s="11"/>
      <c r="V205" s="31">
        <v>1.0</v>
      </c>
      <c r="W205" s="18">
        <v>1.0</v>
      </c>
      <c r="X205" s="11"/>
      <c r="Y205" s="11"/>
      <c r="Z205" s="14">
        <f t="shared" si="2"/>
        <v>2</v>
      </c>
      <c r="AA205" s="15" t="s">
        <v>52</v>
      </c>
      <c r="AB205" s="14">
        <v>0.3125178665680497</v>
      </c>
    </row>
    <row r="206" ht="14.25" customHeight="1">
      <c r="A206" s="11" t="s">
        <v>776</v>
      </c>
      <c r="B206" s="11" t="s">
        <v>777</v>
      </c>
      <c r="C206" s="37" t="s">
        <v>778</v>
      </c>
      <c r="D206" s="11"/>
      <c r="E206" s="11"/>
      <c r="F206" s="27" t="s">
        <v>77</v>
      </c>
      <c r="G206" s="11" t="s">
        <v>628</v>
      </c>
      <c r="H206" s="28" t="s">
        <v>779</v>
      </c>
      <c r="I206" s="11"/>
      <c r="J206" s="11"/>
      <c r="K206" s="29" t="s">
        <v>58</v>
      </c>
      <c r="L206" s="11"/>
      <c r="M206" s="11">
        <f t="shared" si="1"/>
        <v>1</v>
      </c>
      <c r="N206" s="11"/>
      <c r="O206" s="11"/>
      <c r="P206" s="18"/>
      <c r="Q206" s="18"/>
      <c r="R206" s="18"/>
      <c r="S206" s="18"/>
      <c r="T206" s="18"/>
      <c r="U206" s="18"/>
      <c r="V206" s="11"/>
      <c r="W206" s="11"/>
      <c r="X206" s="18"/>
      <c r="Y206" s="18">
        <v>1.0</v>
      </c>
      <c r="Z206" s="14">
        <f t="shared" si="2"/>
        <v>1</v>
      </c>
      <c r="AA206" s="15" t="s">
        <v>33</v>
      </c>
      <c r="AB206" s="14">
        <v>0.3177647323302141</v>
      </c>
    </row>
    <row r="207" ht="14.25" hidden="1" customHeight="1">
      <c r="A207" s="19" t="s">
        <v>780</v>
      </c>
      <c r="B207" s="19" t="s">
        <v>781</v>
      </c>
      <c r="C207" s="40" t="s">
        <v>782</v>
      </c>
      <c r="D207" s="21"/>
      <c r="E207" s="21"/>
      <c r="F207" s="21"/>
      <c r="G207" s="19" t="s">
        <v>427</v>
      </c>
      <c r="H207" s="21"/>
      <c r="I207" s="21"/>
      <c r="J207" s="24"/>
      <c r="K207" s="24" t="s">
        <v>31</v>
      </c>
      <c r="L207" s="24" t="s">
        <v>119</v>
      </c>
      <c r="M207" s="11">
        <f t="shared" si="1"/>
        <v>0</v>
      </c>
      <c r="N207" s="21"/>
      <c r="O207" s="21"/>
      <c r="P207" s="21"/>
      <c r="Q207" s="21"/>
      <c r="R207" s="21"/>
      <c r="S207" s="21"/>
      <c r="T207" s="21"/>
      <c r="U207" s="21"/>
      <c r="V207" s="21"/>
      <c r="W207" s="24">
        <v>1.0</v>
      </c>
      <c r="X207" s="21"/>
      <c r="Y207" s="21"/>
      <c r="Z207" s="14">
        <f t="shared" si="2"/>
        <v>1</v>
      </c>
      <c r="AA207" s="15" t="s">
        <v>33</v>
      </c>
    </row>
    <row r="208" ht="14.25" hidden="1" customHeight="1">
      <c r="A208" s="45" t="s">
        <v>783</v>
      </c>
      <c r="B208" s="45" t="s">
        <v>781</v>
      </c>
      <c r="C208" s="16" t="s">
        <v>784</v>
      </c>
      <c r="D208" s="45"/>
      <c r="E208" s="45"/>
      <c r="F208" s="45"/>
      <c r="G208" s="45" t="s">
        <v>427</v>
      </c>
      <c r="H208" s="45"/>
      <c r="I208" s="45"/>
      <c r="J208" s="11"/>
      <c r="K208" s="11" t="s">
        <v>31</v>
      </c>
      <c r="L208" s="11" t="s">
        <v>119</v>
      </c>
      <c r="M208" s="11">
        <f t="shared" si="1"/>
        <v>0</v>
      </c>
      <c r="N208" s="45"/>
      <c r="O208" s="45"/>
      <c r="P208" s="11">
        <v>1.0</v>
      </c>
      <c r="Q208" s="11"/>
      <c r="R208" s="11"/>
      <c r="S208" s="11"/>
      <c r="T208" s="11"/>
      <c r="U208" s="11"/>
      <c r="V208" s="45"/>
      <c r="W208" s="45"/>
      <c r="X208" s="45"/>
      <c r="Y208" s="45"/>
      <c r="Z208" s="14">
        <f t="shared" si="2"/>
        <v>1</v>
      </c>
      <c r="AA208" s="15" t="s">
        <v>33</v>
      </c>
    </row>
    <row r="209" ht="14.25" hidden="1" customHeight="1">
      <c r="A209" s="12" t="s">
        <v>785</v>
      </c>
      <c r="B209" s="12" t="s">
        <v>786</v>
      </c>
      <c r="C209" s="30" t="s">
        <v>787</v>
      </c>
      <c r="D209" s="11"/>
      <c r="E209" s="11"/>
      <c r="F209" s="11"/>
      <c r="G209" s="12" t="s">
        <v>196</v>
      </c>
      <c r="H209" s="11"/>
      <c r="I209" s="11"/>
      <c r="J209" s="12"/>
      <c r="K209" s="12" t="s">
        <v>31</v>
      </c>
      <c r="L209" s="12" t="s">
        <v>69</v>
      </c>
      <c r="M209" s="11">
        <f t="shared" si="1"/>
        <v>0</v>
      </c>
      <c r="N209" s="11"/>
      <c r="O209" s="11"/>
      <c r="P209" s="11"/>
      <c r="Q209" s="11"/>
      <c r="R209" s="11"/>
      <c r="S209" s="11"/>
      <c r="T209" s="11"/>
      <c r="U209" s="11"/>
      <c r="V209" s="31">
        <v>1.0</v>
      </c>
      <c r="W209" s="18"/>
      <c r="X209" s="11"/>
      <c r="Y209" s="11"/>
      <c r="Z209" s="14">
        <f t="shared" si="2"/>
        <v>1</v>
      </c>
      <c r="AA209" s="15" t="s">
        <v>33</v>
      </c>
    </row>
    <row r="210" ht="14.25" customHeight="1">
      <c r="A210" s="12" t="s">
        <v>788</v>
      </c>
      <c r="B210" s="11" t="s">
        <v>789</v>
      </c>
      <c r="C210" s="37" t="s">
        <v>790</v>
      </c>
      <c r="D210" s="11"/>
      <c r="E210" s="11"/>
      <c r="F210" s="27" t="s">
        <v>95</v>
      </c>
      <c r="G210" s="11" t="s">
        <v>196</v>
      </c>
      <c r="H210" s="28" t="s">
        <v>791</v>
      </c>
      <c r="I210" s="11"/>
      <c r="J210" s="12"/>
      <c r="K210" s="29" t="s">
        <v>50</v>
      </c>
      <c r="L210" s="11"/>
      <c r="M210" s="11">
        <f t="shared" si="1"/>
        <v>1</v>
      </c>
      <c r="N210" s="12">
        <v>1.0</v>
      </c>
      <c r="O210" s="11"/>
      <c r="P210" s="11"/>
      <c r="Q210" s="11"/>
      <c r="R210" s="11"/>
      <c r="S210" s="12">
        <v>1.0</v>
      </c>
      <c r="T210" s="12"/>
      <c r="U210" s="12"/>
      <c r="V210" s="31">
        <v>1.0</v>
      </c>
      <c r="W210" s="18">
        <v>1.0</v>
      </c>
      <c r="X210" s="11"/>
      <c r="Y210" s="11"/>
      <c r="Z210" s="14">
        <f t="shared" si="2"/>
        <v>4</v>
      </c>
      <c r="AA210" s="15" t="s">
        <v>106</v>
      </c>
      <c r="AB210" s="14">
        <v>0.3198627314175836</v>
      </c>
    </row>
    <row r="211" ht="14.25" customHeight="1">
      <c r="A211" s="19" t="s">
        <v>792</v>
      </c>
      <c r="B211" s="19" t="s">
        <v>272</v>
      </c>
      <c r="C211" s="20" t="s">
        <v>793</v>
      </c>
      <c r="D211" s="21"/>
      <c r="E211" s="21"/>
      <c r="F211" s="27" t="s">
        <v>56</v>
      </c>
      <c r="G211" s="19" t="s">
        <v>83</v>
      </c>
      <c r="H211" s="23" t="s">
        <v>49</v>
      </c>
      <c r="I211" s="21"/>
      <c r="J211" s="21"/>
      <c r="K211" s="25" t="s">
        <v>58</v>
      </c>
      <c r="L211" s="24" t="s">
        <v>51</v>
      </c>
      <c r="M211" s="11">
        <f t="shared" si="1"/>
        <v>1</v>
      </c>
      <c r="N211" s="21"/>
      <c r="O211" s="21"/>
      <c r="P211" s="21"/>
      <c r="Q211" s="21"/>
      <c r="R211" s="21"/>
      <c r="S211" s="21"/>
      <c r="T211" s="21"/>
      <c r="U211" s="21"/>
      <c r="V211" s="21"/>
      <c r="W211" s="24">
        <v>1.0</v>
      </c>
      <c r="X211" s="21"/>
      <c r="Y211" s="21"/>
      <c r="Z211" s="14">
        <f t="shared" si="2"/>
        <v>1</v>
      </c>
      <c r="AA211" s="15" t="s">
        <v>33</v>
      </c>
      <c r="AB211" s="14">
        <v>0.3202309474618221</v>
      </c>
    </row>
    <row r="212" ht="14.25" customHeight="1">
      <c r="A212" s="11" t="s">
        <v>794</v>
      </c>
      <c r="B212" s="11" t="s">
        <v>318</v>
      </c>
      <c r="C212" s="26" t="s">
        <v>795</v>
      </c>
      <c r="D212" s="11"/>
      <c r="E212" s="11"/>
      <c r="F212" s="27" t="s">
        <v>77</v>
      </c>
      <c r="G212" s="11" t="s">
        <v>48</v>
      </c>
      <c r="H212" s="28" t="s">
        <v>652</v>
      </c>
      <c r="I212" s="11"/>
      <c r="J212" s="11"/>
      <c r="K212" s="29" t="s">
        <v>50</v>
      </c>
      <c r="L212" s="12" t="s">
        <v>796</v>
      </c>
      <c r="M212" s="11">
        <f t="shared" si="1"/>
        <v>1</v>
      </c>
      <c r="N212" s="11"/>
      <c r="O212" s="11"/>
      <c r="P212" s="11"/>
      <c r="Q212" s="11"/>
      <c r="R212" s="11"/>
      <c r="S212" s="11"/>
      <c r="T212" s="11"/>
      <c r="U212" s="11"/>
      <c r="V212" s="18"/>
      <c r="W212" s="18">
        <v>1.0</v>
      </c>
      <c r="X212" s="11"/>
      <c r="Y212" s="11"/>
      <c r="Z212" s="14">
        <f t="shared" si="2"/>
        <v>1</v>
      </c>
      <c r="AA212" s="15" t="s">
        <v>91</v>
      </c>
      <c r="AB212" s="14">
        <v>0.3211417053430383</v>
      </c>
    </row>
    <row r="213" ht="14.25" hidden="1" customHeight="1">
      <c r="A213" s="11" t="s">
        <v>797</v>
      </c>
      <c r="B213" s="11" t="s">
        <v>54</v>
      </c>
      <c r="C213" s="42" t="s">
        <v>798</v>
      </c>
      <c r="D213" s="11"/>
      <c r="E213" s="11"/>
      <c r="F213" s="11"/>
      <c r="G213" s="11" t="s">
        <v>38</v>
      </c>
      <c r="H213" s="11"/>
      <c r="I213" s="11"/>
      <c r="J213" s="11"/>
      <c r="K213" s="11" t="s">
        <v>31</v>
      </c>
      <c r="L213" s="12" t="s">
        <v>252</v>
      </c>
      <c r="M213" s="11">
        <f t="shared" si="1"/>
        <v>0</v>
      </c>
      <c r="N213" s="11"/>
      <c r="O213" s="11"/>
      <c r="P213" s="11"/>
      <c r="Q213" s="11"/>
      <c r="R213" s="11"/>
      <c r="S213" s="11"/>
      <c r="T213" s="11"/>
      <c r="U213" s="11"/>
      <c r="V213" s="18"/>
      <c r="W213" s="18">
        <v>1.0</v>
      </c>
      <c r="X213" s="11"/>
      <c r="Y213" s="11"/>
      <c r="Z213" s="14">
        <f t="shared" si="2"/>
        <v>1</v>
      </c>
      <c r="AA213" s="15" t="s">
        <v>33</v>
      </c>
    </row>
    <row r="214" ht="14.25" hidden="1" customHeight="1">
      <c r="A214" s="19" t="s">
        <v>799</v>
      </c>
      <c r="B214" s="19" t="s">
        <v>54</v>
      </c>
      <c r="C214" s="69" t="s">
        <v>800</v>
      </c>
      <c r="D214" s="21"/>
      <c r="E214" s="21"/>
      <c r="F214" s="21"/>
      <c r="G214" s="19" t="s">
        <v>83</v>
      </c>
      <c r="H214" s="21"/>
      <c r="I214" s="21"/>
      <c r="J214" s="21"/>
      <c r="K214" s="24" t="s">
        <v>31</v>
      </c>
      <c r="L214" s="24" t="s">
        <v>252</v>
      </c>
      <c r="M214" s="11">
        <f t="shared" si="1"/>
        <v>0</v>
      </c>
      <c r="N214" s="21"/>
      <c r="O214" s="21"/>
      <c r="P214" s="21"/>
      <c r="Q214" s="21"/>
      <c r="R214" s="21"/>
      <c r="S214" s="21"/>
      <c r="T214" s="21"/>
      <c r="U214" s="21"/>
      <c r="V214" s="21"/>
      <c r="W214" s="24">
        <v>1.0</v>
      </c>
      <c r="X214" s="21"/>
      <c r="Y214" s="21"/>
      <c r="Z214" s="14">
        <f t="shared" si="2"/>
        <v>1</v>
      </c>
      <c r="AA214" s="15" t="s">
        <v>33</v>
      </c>
    </row>
    <row r="215" ht="14.25" customHeight="1">
      <c r="A215" s="11" t="s">
        <v>801</v>
      </c>
      <c r="B215" s="11" t="s">
        <v>802</v>
      </c>
      <c r="C215" s="37" t="s">
        <v>803</v>
      </c>
      <c r="D215" s="11"/>
      <c r="E215" s="11"/>
      <c r="F215" s="27" t="s">
        <v>804</v>
      </c>
      <c r="G215" s="11" t="s">
        <v>48</v>
      </c>
      <c r="H215" s="28" t="s">
        <v>239</v>
      </c>
      <c r="I215" s="11"/>
      <c r="J215" s="11"/>
      <c r="K215" s="29" t="s">
        <v>50</v>
      </c>
      <c r="L215" s="12" t="s">
        <v>111</v>
      </c>
      <c r="M215" s="11">
        <f t="shared" si="1"/>
        <v>1</v>
      </c>
      <c r="N215" s="18">
        <v>1.0</v>
      </c>
      <c r="O215" s="11"/>
      <c r="P215" s="11"/>
      <c r="Q215" s="11"/>
      <c r="R215" s="11"/>
      <c r="S215" s="11"/>
      <c r="T215" s="11"/>
      <c r="U215" s="11"/>
      <c r="V215" s="31">
        <v>1.0</v>
      </c>
      <c r="W215" s="18">
        <v>1.0</v>
      </c>
      <c r="X215" s="11"/>
      <c r="Y215" s="11"/>
      <c r="Z215" s="14">
        <f t="shared" si="2"/>
        <v>3</v>
      </c>
      <c r="AA215" s="15" t="s">
        <v>52</v>
      </c>
      <c r="AB215" s="14">
        <v>0.3245112012845196</v>
      </c>
    </row>
    <row r="216" ht="14.25" customHeight="1">
      <c r="A216" s="19" t="s">
        <v>805</v>
      </c>
      <c r="B216" s="19" t="s">
        <v>668</v>
      </c>
      <c r="C216" s="35" t="s">
        <v>806</v>
      </c>
      <c r="D216" s="21"/>
      <c r="E216" s="21"/>
      <c r="F216" s="27" t="s">
        <v>56</v>
      </c>
      <c r="G216" s="19" t="s">
        <v>83</v>
      </c>
      <c r="H216" s="23" t="s">
        <v>807</v>
      </c>
      <c r="I216" s="21"/>
      <c r="J216" s="24"/>
      <c r="K216" s="25" t="s">
        <v>58</v>
      </c>
      <c r="L216" s="24" t="s">
        <v>51</v>
      </c>
      <c r="M216" s="11">
        <f t="shared" si="1"/>
        <v>1</v>
      </c>
      <c r="N216" s="21"/>
      <c r="O216" s="21"/>
      <c r="P216" s="21"/>
      <c r="Q216" s="21"/>
      <c r="R216" s="21"/>
      <c r="S216" s="21"/>
      <c r="T216" s="21"/>
      <c r="U216" s="21"/>
      <c r="V216" s="21"/>
      <c r="W216" s="24">
        <v>1.0</v>
      </c>
      <c r="X216" s="21"/>
      <c r="Y216" s="21"/>
      <c r="Z216" s="14">
        <f t="shared" si="2"/>
        <v>1</v>
      </c>
      <c r="AA216" s="15" t="s">
        <v>33</v>
      </c>
      <c r="AB216" s="14">
        <v>0.32809786303850574</v>
      </c>
    </row>
    <row r="217" ht="14.25" customHeight="1">
      <c r="A217" s="11" t="s">
        <v>808</v>
      </c>
      <c r="B217" s="12" t="s">
        <v>809</v>
      </c>
      <c r="C217" s="37" t="s">
        <v>810</v>
      </c>
      <c r="D217" s="11"/>
      <c r="E217" s="11"/>
      <c r="F217" s="27" t="s">
        <v>95</v>
      </c>
      <c r="G217" s="12" t="s">
        <v>78</v>
      </c>
      <c r="H217" s="28" t="s">
        <v>64</v>
      </c>
      <c r="I217" s="11"/>
      <c r="J217" s="11"/>
      <c r="K217" s="29" t="s">
        <v>50</v>
      </c>
      <c r="L217" s="12" t="s">
        <v>51</v>
      </c>
      <c r="M217" s="11">
        <f t="shared" si="1"/>
        <v>1</v>
      </c>
      <c r="N217" s="11"/>
      <c r="O217" s="11"/>
      <c r="P217" s="11"/>
      <c r="Q217" s="11"/>
      <c r="R217" s="11"/>
      <c r="S217" s="11"/>
      <c r="T217" s="11"/>
      <c r="U217" s="11"/>
      <c r="V217" s="11"/>
      <c r="W217" s="11"/>
      <c r="X217" s="11"/>
      <c r="Y217" s="11"/>
      <c r="Z217" s="14">
        <f t="shared" si="2"/>
        <v>0</v>
      </c>
      <c r="AA217" s="15" t="s">
        <v>52</v>
      </c>
      <c r="AB217" s="14">
        <v>0.32978742122996474</v>
      </c>
    </row>
    <row r="218" ht="14.25" hidden="1" customHeight="1">
      <c r="A218" s="11" t="s">
        <v>811</v>
      </c>
      <c r="B218" s="11" t="s">
        <v>812</v>
      </c>
      <c r="C218" s="42" t="s">
        <v>813</v>
      </c>
      <c r="D218" s="11"/>
      <c r="E218" s="11"/>
      <c r="F218" s="11"/>
      <c r="G218" s="11" t="s">
        <v>38</v>
      </c>
      <c r="H218" s="11"/>
      <c r="I218" s="11"/>
      <c r="J218" s="11"/>
      <c r="K218" s="11" t="s">
        <v>31</v>
      </c>
      <c r="L218" s="12" t="s">
        <v>252</v>
      </c>
      <c r="M218" s="11">
        <f t="shared" si="1"/>
        <v>0</v>
      </c>
      <c r="N218" s="11"/>
      <c r="O218" s="11"/>
      <c r="P218" s="11"/>
      <c r="Q218" s="11"/>
      <c r="R218" s="11"/>
      <c r="S218" s="11"/>
      <c r="T218" s="11"/>
      <c r="U218" s="11"/>
      <c r="V218" s="18"/>
      <c r="W218" s="18">
        <v>1.0</v>
      </c>
      <c r="X218" s="11"/>
      <c r="Y218" s="11"/>
      <c r="Z218" s="14">
        <f t="shared" si="2"/>
        <v>1</v>
      </c>
      <c r="AA218" s="15" t="s">
        <v>33</v>
      </c>
    </row>
    <row r="219" ht="14.25" hidden="1" customHeight="1">
      <c r="A219" s="19" t="s">
        <v>814</v>
      </c>
      <c r="B219" s="19" t="s">
        <v>815</v>
      </c>
      <c r="C219" s="40" t="s">
        <v>816</v>
      </c>
      <c r="D219" s="21"/>
      <c r="E219" s="21"/>
      <c r="F219" s="21"/>
      <c r="G219" s="19" t="s">
        <v>83</v>
      </c>
      <c r="H219" s="21"/>
      <c r="I219" s="21"/>
      <c r="J219" s="24"/>
      <c r="K219" s="24" t="s">
        <v>89</v>
      </c>
      <c r="L219" s="24" t="s">
        <v>252</v>
      </c>
      <c r="M219" s="11">
        <f t="shared" si="1"/>
        <v>0</v>
      </c>
      <c r="N219" s="21"/>
      <c r="O219" s="21"/>
      <c r="P219" s="21"/>
      <c r="Q219" s="21"/>
      <c r="R219" s="21"/>
      <c r="S219" s="21"/>
      <c r="T219" s="21"/>
      <c r="U219" s="21"/>
      <c r="V219" s="21"/>
      <c r="W219" s="24">
        <v>1.0</v>
      </c>
      <c r="X219" s="21"/>
      <c r="Y219" s="21"/>
      <c r="Z219" s="14">
        <f t="shared" si="2"/>
        <v>1</v>
      </c>
      <c r="AA219" s="15" t="s">
        <v>91</v>
      </c>
    </row>
    <row r="220" ht="14.25" hidden="1" customHeight="1">
      <c r="A220" s="12" t="s">
        <v>817</v>
      </c>
      <c r="B220" s="12" t="s">
        <v>54</v>
      </c>
      <c r="C220" s="30" t="s">
        <v>818</v>
      </c>
      <c r="D220" s="11"/>
      <c r="E220" s="11"/>
      <c r="F220" s="11"/>
      <c r="G220" s="12" t="s">
        <v>38</v>
      </c>
      <c r="H220" s="11"/>
      <c r="I220" s="11"/>
      <c r="J220" s="12"/>
      <c r="K220" s="12" t="s">
        <v>89</v>
      </c>
      <c r="L220" s="12" t="s">
        <v>638</v>
      </c>
      <c r="M220" s="11">
        <f t="shared" si="1"/>
        <v>0</v>
      </c>
      <c r="N220" s="11"/>
      <c r="O220" s="11"/>
      <c r="P220" s="11"/>
      <c r="Q220" s="11"/>
      <c r="R220" s="11"/>
      <c r="S220" s="11"/>
      <c r="T220" s="11"/>
      <c r="U220" s="11"/>
      <c r="V220" s="31">
        <v>1.0</v>
      </c>
      <c r="W220" s="18"/>
      <c r="X220" s="11"/>
      <c r="Y220" s="11"/>
      <c r="Z220" s="14">
        <f t="shared" si="2"/>
        <v>1</v>
      </c>
      <c r="AA220" s="15" t="s">
        <v>91</v>
      </c>
    </row>
    <row r="221" ht="14.25" customHeight="1">
      <c r="A221" s="11" t="s">
        <v>819</v>
      </c>
      <c r="B221" s="11" t="s">
        <v>820</v>
      </c>
      <c r="C221" s="43" t="s">
        <v>821</v>
      </c>
      <c r="D221" s="11"/>
      <c r="E221" s="11"/>
      <c r="F221" s="27" t="s">
        <v>140</v>
      </c>
      <c r="G221" s="11" t="s">
        <v>822</v>
      </c>
      <c r="H221" s="28" t="s">
        <v>823</v>
      </c>
      <c r="I221" s="11"/>
      <c r="J221" s="11"/>
      <c r="K221" s="29" t="s">
        <v>50</v>
      </c>
      <c r="L221" s="12" t="s">
        <v>124</v>
      </c>
      <c r="M221" s="11">
        <f t="shared" si="1"/>
        <v>1</v>
      </c>
      <c r="N221" s="11"/>
      <c r="O221" s="11"/>
      <c r="P221" s="11"/>
      <c r="Q221" s="11"/>
      <c r="R221" s="11"/>
      <c r="S221" s="11"/>
      <c r="T221" s="11"/>
      <c r="U221" s="11"/>
      <c r="V221" s="31">
        <v>1.0</v>
      </c>
      <c r="W221" s="18">
        <v>1.0</v>
      </c>
      <c r="X221" s="11"/>
      <c r="Y221" s="11"/>
      <c r="Z221" s="14">
        <f t="shared" si="2"/>
        <v>2</v>
      </c>
      <c r="AA221" s="15" t="s">
        <v>106</v>
      </c>
      <c r="AB221" s="14">
        <v>0.33411418233343926</v>
      </c>
    </row>
    <row r="222" ht="14.25" hidden="1" customHeight="1">
      <c r="A222" s="11" t="s">
        <v>824</v>
      </c>
      <c r="B222" s="11" t="s">
        <v>54</v>
      </c>
      <c r="C222" s="42" t="s">
        <v>825</v>
      </c>
      <c r="D222" s="11"/>
      <c r="E222" s="11"/>
      <c r="F222" s="11"/>
      <c r="G222" s="11" t="s">
        <v>38</v>
      </c>
      <c r="H222" s="11"/>
      <c r="I222" s="11"/>
      <c r="J222" s="11"/>
      <c r="K222" s="11" t="s">
        <v>31</v>
      </c>
      <c r="L222" s="12" t="s">
        <v>252</v>
      </c>
      <c r="M222" s="11">
        <f t="shared" si="1"/>
        <v>0</v>
      </c>
      <c r="N222" s="11"/>
      <c r="O222" s="11"/>
      <c r="P222" s="11"/>
      <c r="Q222" s="11"/>
      <c r="R222" s="11"/>
      <c r="S222" s="11"/>
      <c r="T222" s="11"/>
      <c r="U222" s="11"/>
      <c r="V222" s="18"/>
      <c r="W222" s="18">
        <v>1.0</v>
      </c>
      <c r="X222" s="11"/>
      <c r="Y222" s="11"/>
      <c r="Z222" s="14">
        <f t="shared" si="2"/>
        <v>1</v>
      </c>
      <c r="AA222" s="15" t="s">
        <v>33</v>
      </c>
    </row>
    <row r="223" ht="14.25" customHeight="1">
      <c r="A223" s="19" t="s">
        <v>826</v>
      </c>
      <c r="B223" s="19" t="s">
        <v>272</v>
      </c>
      <c r="C223" s="20" t="s">
        <v>582</v>
      </c>
      <c r="D223" s="21"/>
      <c r="E223" s="21"/>
      <c r="F223" s="27" t="s">
        <v>56</v>
      </c>
      <c r="G223" s="19" t="s">
        <v>83</v>
      </c>
      <c r="H223" s="23" t="s">
        <v>64</v>
      </c>
      <c r="I223" s="21"/>
      <c r="J223" s="24"/>
      <c r="K223" s="25" t="s">
        <v>50</v>
      </c>
      <c r="L223" s="24" t="s">
        <v>51</v>
      </c>
      <c r="M223" s="11">
        <f t="shared" si="1"/>
        <v>1</v>
      </c>
      <c r="N223" s="21"/>
      <c r="O223" s="21"/>
      <c r="P223" s="21"/>
      <c r="Q223" s="21"/>
      <c r="R223" s="21"/>
      <c r="S223" s="21"/>
      <c r="T223" s="21"/>
      <c r="U223" s="21"/>
      <c r="V223" s="21"/>
      <c r="W223" s="24">
        <v>1.0</v>
      </c>
      <c r="X223" s="21"/>
      <c r="Y223" s="21"/>
      <c r="Z223" s="14">
        <f t="shared" si="2"/>
        <v>1</v>
      </c>
      <c r="AA223" s="15" t="s">
        <v>91</v>
      </c>
      <c r="AB223" s="14">
        <v>0.3341351170915239</v>
      </c>
    </row>
    <row r="224" ht="14.25" customHeight="1">
      <c r="A224" s="11" t="s">
        <v>827</v>
      </c>
      <c r="B224" s="11" t="s">
        <v>828</v>
      </c>
      <c r="C224" s="26" t="s">
        <v>829</v>
      </c>
      <c r="D224" s="11"/>
      <c r="E224" s="11"/>
      <c r="F224" s="27" t="s">
        <v>77</v>
      </c>
      <c r="G224" s="11" t="s">
        <v>63</v>
      </c>
      <c r="H224" s="28" t="s">
        <v>185</v>
      </c>
      <c r="I224" s="11"/>
      <c r="J224" s="11"/>
      <c r="K224" s="29" t="s">
        <v>50</v>
      </c>
      <c r="L224" s="12" t="s">
        <v>51</v>
      </c>
      <c r="M224" s="11">
        <f t="shared" si="1"/>
        <v>1</v>
      </c>
      <c r="N224" s="11"/>
      <c r="O224" s="11"/>
      <c r="P224" s="11"/>
      <c r="Q224" s="11"/>
      <c r="R224" s="11"/>
      <c r="S224" s="11"/>
      <c r="T224" s="11"/>
      <c r="U224" s="11"/>
      <c r="V224" s="18"/>
      <c r="W224" s="18">
        <v>1.0</v>
      </c>
      <c r="X224" s="11"/>
      <c r="Y224" s="11"/>
      <c r="Z224" s="14">
        <f t="shared" si="2"/>
        <v>1</v>
      </c>
      <c r="AA224" s="15" t="s">
        <v>91</v>
      </c>
      <c r="AB224" s="14">
        <v>0.33483478093559527</v>
      </c>
    </row>
    <row r="225" ht="14.25" hidden="1" customHeight="1">
      <c r="A225" s="11" t="s">
        <v>830</v>
      </c>
      <c r="B225" s="11" t="s">
        <v>54</v>
      </c>
      <c r="C225" s="34" t="s">
        <v>831</v>
      </c>
      <c r="D225" s="11"/>
      <c r="E225" s="11"/>
      <c r="F225" s="11"/>
      <c r="G225" s="11" t="s">
        <v>38</v>
      </c>
      <c r="H225" s="11"/>
      <c r="I225" s="11"/>
      <c r="J225" s="11"/>
      <c r="K225" s="12" t="s">
        <v>89</v>
      </c>
      <c r="L225" s="12" t="s">
        <v>43</v>
      </c>
      <c r="M225" s="11">
        <f t="shared" si="1"/>
        <v>0</v>
      </c>
      <c r="N225" s="11"/>
      <c r="O225" s="11"/>
      <c r="P225" s="11"/>
      <c r="Q225" s="11"/>
      <c r="R225" s="11"/>
      <c r="S225" s="11"/>
      <c r="T225" s="11"/>
      <c r="U225" s="11"/>
      <c r="V225" s="18"/>
      <c r="W225" s="18">
        <v>1.0</v>
      </c>
      <c r="X225" s="11"/>
      <c r="Y225" s="11"/>
      <c r="Z225" s="14">
        <f t="shared" si="2"/>
        <v>1</v>
      </c>
      <c r="AA225" s="15" t="s">
        <v>91</v>
      </c>
    </row>
    <row r="226" ht="14.25" hidden="1" customHeight="1">
      <c r="A226" s="19" t="s">
        <v>832</v>
      </c>
      <c r="B226" s="19" t="s">
        <v>54</v>
      </c>
      <c r="C226" s="44" t="s">
        <v>833</v>
      </c>
      <c r="D226" s="21"/>
      <c r="E226" s="21"/>
      <c r="F226" s="21"/>
      <c r="G226" s="19" t="s">
        <v>83</v>
      </c>
      <c r="H226" s="21"/>
      <c r="I226" s="21"/>
      <c r="J226" s="24"/>
      <c r="K226" s="24" t="s">
        <v>89</v>
      </c>
      <c r="L226" s="24" t="s">
        <v>589</v>
      </c>
      <c r="M226" s="11">
        <f t="shared" si="1"/>
        <v>0</v>
      </c>
      <c r="N226" s="21"/>
      <c r="O226" s="21"/>
      <c r="P226" s="21"/>
      <c r="Q226" s="21"/>
      <c r="R226" s="21"/>
      <c r="S226" s="21"/>
      <c r="T226" s="21"/>
      <c r="U226" s="21"/>
      <c r="V226" s="21"/>
      <c r="W226" s="24">
        <v>1.0</v>
      </c>
      <c r="X226" s="21"/>
      <c r="Y226" s="21"/>
      <c r="Z226" s="14">
        <f t="shared" si="2"/>
        <v>1</v>
      </c>
      <c r="AA226" s="15" t="s">
        <v>91</v>
      </c>
    </row>
    <row r="227" ht="14.25" hidden="1" customHeight="1">
      <c r="A227" s="11" t="s">
        <v>834</v>
      </c>
      <c r="B227" s="11" t="s">
        <v>54</v>
      </c>
      <c r="C227" s="42" t="s">
        <v>835</v>
      </c>
      <c r="D227" s="11"/>
      <c r="E227" s="11"/>
      <c r="F227" s="11"/>
      <c r="G227" s="11" t="s">
        <v>38</v>
      </c>
      <c r="H227" s="11"/>
      <c r="I227" s="11"/>
      <c r="J227" s="11"/>
      <c r="K227" s="12" t="s">
        <v>89</v>
      </c>
      <c r="L227" s="12" t="s">
        <v>589</v>
      </c>
      <c r="M227" s="11">
        <f t="shared" si="1"/>
        <v>0</v>
      </c>
      <c r="N227" s="11"/>
      <c r="O227" s="11"/>
      <c r="P227" s="11"/>
      <c r="Q227" s="11"/>
      <c r="R227" s="11"/>
      <c r="S227" s="11"/>
      <c r="T227" s="11"/>
      <c r="U227" s="11"/>
      <c r="V227" s="18"/>
      <c r="W227" s="18">
        <v>1.0</v>
      </c>
      <c r="X227" s="11"/>
      <c r="Y227" s="11"/>
      <c r="Z227" s="14">
        <f t="shared" si="2"/>
        <v>1</v>
      </c>
      <c r="AA227" s="15" t="s">
        <v>91</v>
      </c>
    </row>
    <row r="228" ht="14.25" hidden="1" customHeight="1">
      <c r="A228" s="11" t="s">
        <v>836</v>
      </c>
      <c r="B228" s="11" t="s">
        <v>54</v>
      </c>
      <c r="C228" s="42" t="s">
        <v>837</v>
      </c>
      <c r="D228" s="11"/>
      <c r="E228" s="11"/>
      <c r="F228" s="11"/>
      <c r="G228" s="11" t="s">
        <v>38</v>
      </c>
      <c r="H228" s="11"/>
      <c r="I228" s="11"/>
      <c r="J228" s="11"/>
      <c r="K228" s="12" t="s">
        <v>89</v>
      </c>
      <c r="L228" s="12" t="s">
        <v>589</v>
      </c>
      <c r="M228" s="11">
        <f t="shared" si="1"/>
        <v>0</v>
      </c>
      <c r="N228" s="11"/>
      <c r="O228" s="11"/>
      <c r="P228" s="11"/>
      <c r="Q228" s="11"/>
      <c r="R228" s="11"/>
      <c r="S228" s="11"/>
      <c r="T228" s="11"/>
      <c r="U228" s="11"/>
      <c r="V228" s="18"/>
      <c r="W228" s="18">
        <v>1.0</v>
      </c>
      <c r="X228" s="11"/>
      <c r="Y228" s="11"/>
      <c r="Z228" s="14">
        <f t="shared" si="2"/>
        <v>1</v>
      </c>
      <c r="AA228" s="15" t="s">
        <v>91</v>
      </c>
    </row>
    <row r="229" ht="14.25" hidden="1" customHeight="1">
      <c r="A229" s="11" t="s">
        <v>838</v>
      </c>
      <c r="B229" s="11" t="s">
        <v>54</v>
      </c>
      <c r="C229" s="42" t="s">
        <v>839</v>
      </c>
      <c r="D229" s="11"/>
      <c r="E229" s="11"/>
      <c r="F229" s="11"/>
      <c r="G229" s="11" t="s">
        <v>38</v>
      </c>
      <c r="H229" s="11"/>
      <c r="I229" s="11"/>
      <c r="J229" s="11"/>
      <c r="K229" s="12" t="s">
        <v>89</v>
      </c>
      <c r="L229" s="11" t="s">
        <v>840</v>
      </c>
      <c r="M229" s="11">
        <f t="shared" si="1"/>
        <v>0</v>
      </c>
      <c r="N229" s="11"/>
      <c r="O229" s="11"/>
      <c r="P229" s="11"/>
      <c r="Q229" s="11"/>
      <c r="R229" s="11"/>
      <c r="S229" s="11"/>
      <c r="T229" s="11"/>
      <c r="U229" s="11"/>
      <c r="V229" s="18"/>
      <c r="W229" s="18">
        <v>1.0</v>
      </c>
      <c r="X229" s="11"/>
      <c r="Y229" s="11"/>
      <c r="Z229" s="14">
        <f t="shared" si="2"/>
        <v>1</v>
      </c>
      <c r="AA229" s="15" t="s">
        <v>91</v>
      </c>
    </row>
    <row r="230" ht="14.25" customHeight="1">
      <c r="A230" s="11" t="s">
        <v>841</v>
      </c>
      <c r="B230" s="11" t="s">
        <v>842</v>
      </c>
      <c r="C230" s="38" t="s">
        <v>843</v>
      </c>
      <c r="D230" s="11"/>
      <c r="E230" s="11"/>
      <c r="F230" s="27" t="s">
        <v>103</v>
      </c>
      <c r="G230" s="11" t="s">
        <v>38</v>
      </c>
      <c r="H230" s="28" t="s">
        <v>844</v>
      </c>
      <c r="I230" s="11"/>
      <c r="J230" s="11"/>
      <c r="K230" s="29" t="s">
        <v>50</v>
      </c>
      <c r="L230" s="12" t="s">
        <v>124</v>
      </c>
      <c r="M230" s="11">
        <f t="shared" si="1"/>
        <v>1</v>
      </c>
      <c r="N230" s="18">
        <v>1.0</v>
      </c>
      <c r="O230" s="11"/>
      <c r="P230" s="11"/>
      <c r="Q230" s="11"/>
      <c r="R230" s="11"/>
      <c r="S230" s="11"/>
      <c r="T230" s="11"/>
      <c r="U230" s="11"/>
      <c r="V230" s="12">
        <v>1.0</v>
      </c>
      <c r="W230" s="11"/>
      <c r="X230" s="11"/>
      <c r="Y230" s="11"/>
      <c r="Z230" s="14">
        <f t="shared" si="2"/>
        <v>2</v>
      </c>
      <c r="AA230" s="15" t="s">
        <v>106</v>
      </c>
      <c r="AB230" s="14">
        <v>0.3365368678321997</v>
      </c>
    </row>
    <row r="231" ht="14.25" customHeight="1">
      <c r="A231" s="11" t="s">
        <v>845</v>
      </c>
      <c r="B231" s="11" t="s">
        <v>846</v>
      </c>
      <c r="C231" s="43" t="s">
        <v>847</v>
      </c>
      <c r="D231" s="11"/>
      <c r="E231" s="11"/>
      <c r="F231" s="27" t="s">
        <v>62</v>
      </c>
      <c r="G231" s="11" t="s">
        <v>78</v>
      </c>
      <c r="H231" s="28" t="s">
        <v>848</v>
      </c>
      <c r="I231" s="11"/>
      <c r="J231" s="11"/>
      <c r="K231" s="29" t="s">
        <v>50</v>
      </c>
      <c r="L231" s="11"/>
      <c r="M231" s="11">
        <f t="shared" si="1"/>
        <v>1</v>
      </c>
      <c r="N231" s="11"/>
      <c r="O231" s="11"/>
      <c r="P231" s="11"/>
      <c r="Q231" s="11"/>
      <c r="R231" s="11"/>
      <c r="S231" s="11"/>
      <c r="T231" s="11"/>
      <c r="U231" s="11"/>
      <c r="V231" s="18"/>
      <c r="W231" s="18">
        <v>1.0</v>
      </c>
      <c r="X231" s="11"/>
      <c r="Y231" s="11"/>
      <c r="Z231" s="14">
        <f t="shared" si="2"/>
        <v>1</v>
      </c>
      <c r="AA231" s="15" t="s">
        <v>52</v>
      </c>
      <c r="AB231" s="14">
        <v>0.3387215974618215</v>
      </c>
    </row>
    <row r="232" ht="14.25" customHeight="1">
      <c r="A232" s="11" t="s">
        <v>849</v>
      </c>
      <c r="B232" s="11" t="s">
        <v>850</v>
      </c>
      <c r="C232" s="37" t="s">
        <v>188</v>
      </c>
      <c r="D232" s="11"/>
      <c r="E232" s="11"/>
      <c r="F232" s="27" t="s">
        <v>77</v>
      </c>
      <c r="G232" s="11" t="s">
        <v>48</v>
      </c>
      <c r="H232" s="28" t="s">
        <v>189</v>
      </c>
      <c r="I232" s="11"/>
      <c r="J232" s="12"/>
      <c r="K232" s="29" t="s">
        <v>50</v>
      </c>
      <c r="L232" s="12" t="s">
        <v>51</v>
      </c>
      <c r="M232" s="11">
        <f t="shared" si="1"/>
        <v>1</v>
      </c>
      <c r="N232" s="18">
        <v>1.0</v>
      </c>
      <c r="O232" s="18">
        <v>1.0</v>
      </c>
      <c r="P232" s="11"/>
      <c r="Q232" s="12">
        <v>1.0</v>
      </c>
      <c r="R232" s="11"/>
      <c r="S232" s="11"/>
      <c r="T232" s="12">
        <v>1.0</v>
      </c>
      <c r="U232" s="12"/>
      <c r="V232" s="12">
        <v>1.0</v>
      </c>
      <c r="W232" s="11"/>
      <c r="X232" s="11"/>
      <c r="Y232" s="11"/>
      <c r="Z232" s="14">
        <f t="shared" si="2"/>
        <v>5</v>
      </c>
      <c r="AA232" s="15" t="s">
        <v>106</v>
      </c>
      <c r="AB232" s="14">
        <v>0.3415369058155239</v>
      </c>
    </row>
    <row r="233" ht="14.25" customHeight="1">
      <c r="A233" s="11" t="s">
        <v>851</v>
      </c>
      <c r="B233" s="11" t="s">
        <v>310</v>
      </c>
      <c r="C233" s="26" t="s">
        <v>852</v>
      </c>
      <c r="D233" s="11"/>
      <c r="E233" s="11"/>
      <c r="F233" s="27" t="s">
        <v>56</v>
      </c>
      <c r="G233" s="11" t="s">
        <v>38</v>
      </c>
      <c r="H233" s="28" t="s">
        <v>853</v>
      </c>
      <c r="I233" s="11"/>
      <c r="J233" s="11"/>
      <c r="K233" s="29" t="s">
        <v>50</v>
      </c>
      <c r="L233" s="12" t="s">
        <v>51</v>
      </c>
      <c r="M233" s="11">
        <f t="shared" si="1"/>
        <v>1</v>
      </c>
      <c r="N233" s="11"/>
      <c r="O233" s="11"/>
      <c r="P233" s="11"/>
      <c r="Q233" s="11"/>
      <c r="R233" s="11"/>
      <c r="S233" s="11"/>
      <c r="T233" s="11"/>
      <c r="U233" s="11"/>
      <c r="V233" s="18"/>
      <c r="W233" s="18">
        <v>1.0</v>
      </c>
      <c r="X233" s="11"/>
      <c r="Y233" s="11"/>
      <c r="Z233" s="14">
        <f t="shared" si="2"/>
        <v>1</v>
      </c>
      <c r="AA233" s="15" t="s">
        <v>106</v>
      </c>
      <c r="AB233" s="14">
        <v>0.34314512473534065</v>
      </c>
    </row>
    <row r="234" ht="14.25" customHeight="1">
      <c r="A234" s="12" t="s">
        <v>854</v>
      </c>
      <c r="B234" s="12" t="s">
        <v>855</v>
      </c>
      <c r="C234" s="38" t="s">
        <v>856</v>
      </c>
      <c r="D234" s="11"/>
      <c r="E234" s="11"/>
      <c r="F234" s="27" t="s">
        <v>171</v>
      </c>
      <c r="G234" s="12" t="s">
        <v>857</v>
      </c>
      <c r="H234" s="28" t="s">
        <v>858</v>
      </c>
      <c r="I234" s="11"/>
      <c r="J234" s="12"/>
      <c r="K234" s="29" t="s">
        <v>50</v>
      </c>
      <c r="L234" s="12"/>
      <c r="M234" s="11">
        <f t="shared" si="1"/>
        <v>1</v>
      </c>
      <c r="N234" s="18"/>
      <c r="O234" s="11"/>
      <c r="P234" s="11"/>
      <c r="Q234" s="11"/>
      <c r="R234" s="11"/>
      <c r="S234" s="12">
        <v>1.0</v>
      </c>
      <c r="T234" s="12"/>
      <c r="U234" s="12"/>
      <c r="V234" s="31">
        <v>1.0</v>
      </c>
      <c r="W234" s="18"/>
      <c r="X234" s="11"/>
      <c r="Y234" s="11"/>
      <c r="Z234" s="14">
        <f t="shared" si="2"/>
        <v>2</v>
      </c>
      <c r="AA234" s="15" t="s">
        <v>52</v>
      </c>
      <c r="AB234" s="14">
        <v>0.3453114172627395</v>
      </c>
    </row>
    <row r="235" ht="14.25" customHeight="1">
      <c r="A235" s="11" t="s">
        <v>859</v>
      </c>
      <c r="B235" s="11" t="s">
        <v>860</v>
      </c>
      <c r="C235" s="37" t="s">
        <v>861</v>
      </c>
      <c r="D235" s="11"/>
      <c r="E235" s="11"/>
      <c r="F235" s="27" t="s">
        <v>77</v>
      </c>
      <c r="G235" s="11" t="s">
        <v>78</v>
      </c>
      <c r="H235" s="28" t="s">
        <v>593</v>
      </c>
      <c r="I235" s="11"/>
      <c r="J235" s="12"/>
      <c r="K235" s="29" t="s">
        <v>50</v>
      </c>
      <c r="L235" s="12" t="s">
        <v>51</v>
      </c>
      <c r="M235" s="11">
        <f t="shared" si="1"/>
        <v>1</v>
      </c>
      <c r="N235" s="11"/>
      <c r="O235" s="18">
        <v>1.0</v>
      </c>
      <c r="P235" s="11"/>
      <c r="Q235" s="11"/>
      <c r="R235" s="11"/>
      <c r="S235" s="11"/>
      <c r="T235" s="12">
        <v>1.0</v>
      </c>
      <c r="U235" s="12"/>
      <c r="V235" s="18"/>
      <c r="W235" s="18">
        <v>1.0</v>
      </c>
      <c r="X235" s="11"/>
      <c r="Y235" s="11"/>
      <c r="Z235" s="14">
        <f t="shared" si="2"/>
        <v>3</v>
      </c>
      <c r="AA235" s="15" t="s">
        <v>106</v>
      </c>
      <c r="AB235" s="14">
        <v>0.34624299044121765</v>
      </c>
    </row>
    <row r="236" ht="14.25" customHeight="1">
      <c r="A236" s="11" t="s">
        <v>862</v>
      </c>
      <c r="B236" s="11" t="s">
        <v>863</v>
      </c>
      <c r="C236" s="26" t="s">
        <v>864</v>
      </c>
      <c r="D236" s="11"/>
      <c r="E236" s="11"/>
      <c r="F236" s="27" t="s">
        <v>351</v>
      </c>
      <c r="G236" s="11" t="s">
        <v>361</v>
      </c>
      <c r="H236" s="28" t="s">
        <v>172</v>
      </c>
      <c r="I236" s="11"/>
      <c r="J236" s="11"/>
      <c r="K236" s="29" t="s">
        <v>50</v>
      </c>
      <c r="L236" s="12" t="s">
        <v>248</v>
      </c>
      <c r="M236" s="11">
        <f t="shared" si="1"/>
        <v>1</v>
      </c>
      <c r="N236" s="11"/>
      <c r="O236" s="11"/>
      <c r="P236" s="11"/>
      <c r="Q236" s="11"/>
      <c r="R236" s="11"/>
      <c r="S236" s="11"/>
      <c r="T236" s="11"/>
      <c r="U236" s="11"/>
      <c r="V236" s="18"/>
      <c r="W236" s="18">
        <v>1.0</v>
      </c>
      <c r="X236" s="11"/>
      <c r="Y236" s="11"/>
      <c r="Z236" s="14">
        <f t="shared" si="2"/>
        <v>1</v>
      </c>
      <c r="AA236" s="15" t="s">
        <v>52</v>
      </c>
      <c r="AB236" s="14">
        <v>0.34828296884735177</v>
      </c>
    </row>
    <row r="237" ht="14.25" customHeight="1">
      <c r="A237" s="11" t="s">
        <v>865</v>
      </c>
      <c r="B237" s="11" t="s">
        <v>866</v>
      </c>
      <c r="C237" s="37" t="s">
        <v>867</v>
      </c>
      <c r="D237" s="11"/>
      <c r="E237" s="11"/>
      <c r="F237" s="27" t="s">
        <v>77</v>
      </c>
      <c r="G237" s="11" t="s">
        <v>264</v>
      </c>
      <c r="H237" s="28" t="s">
        <v>172</v>
      </c>
      <c r="I237" s="11"/>
      <c r="J237" s="11"/>
      <c r="K237" s="29" t="s">
        <v>58</v>
      </c>
      <c r="L237" s="12" t="s">
        <v>51</v>
      </c>
      <c r="M237" s="11">
        <f t="shared" si="1"/>
        <v>1</v>
      </c>
      <c r="N237" s="11"/>
      <c r="O237" s="11"/>
      <c r="P237" s="11"/>
      <c r="Q237" s="11"/>
      <c r="R237" s="11"/>
      <c r="S237" s="11"/>
      <c r="T237" s="11"/>
      <c r="U237" s="11"/>
      <c r="V237" s="31">
        <v>1.0</v>
      </c>
      <c r="W237" s="31">
        <v>0.0</v>
      </c>
      <c r="X237" s="11"/>
      <c r="Y237" s="11"/>
      <c r="Z237" s="14">
        <f t="shared" si="2"/>
        <v>1</v>
      </c>
      <c r="AA237" s="15" t="s">
        <v>33</v>
      </c>
      <c r="AB237" s="14">
        <v>0.34867438920852023</v>
      </c>
    </row>
    <row r="238" ht="14.25" customHeight="1">
      <c r="A238" s="11" t="s">
        <v>868</v>
      </c>
      <c r="B238" s="11" t="s">
        <v>869</v>
      </c>
      <c r="C238" s="37" t="s">
        <v>870</v>
      </c>
      <c r="D238" s="12" t="s">
        <v>871</v>
      </c>
      <c r="E238" s="11"/>
      <c r="F238" s="27" t="s">
        <v>95</v>
      </c>
      <c r="G238" s="11" t="s">
        <v>48</v>
      </c>
      <c r="H238" s="28" t="s">
        <v>49</v>
      </c>
      <c r="I238" s="11"/>
      <c r="J238" s="11"/>
      <c r="K238" s="29" t="s">
        <v>50</v>
      </c>
      <c r="L238" s="11"/>
      <c r="M238" s="11">
        <f t="shared" si="1"/>
        <v>1</v>
      </c>
      <c r="N238" s="18">
        <v>1.0</v>
      </c>
      <c r="O238" s="18">
        <v>1.0</v>
      </c>
      <c r="P238" s="11"/>
      <c r="Q238" s="12">
        <v>1.0</v>
      </c>
      <c r="R238" s="11"/>
      <c r="S238" s="12">
        <v>1.0</v>
      </c>
      <c r="T238" s="12">
        <v>1.0</v>
      </c>
      <c r="U238" s="12"/>
      <c r="V238" s="31">
        <v>1.0</v>
      </c>
      <c r="W238" s="18">
        <v>1.0</v>
      </c>
      <c r="X238" s="12">
        <v>1.0</v>
      </c>
      <c r="Y238" s="11"/>
      <c r="Z238" s="14">
        <f t="shared" si="2"/>
        <v>8</v>
      </c>
      <c r="AA238" s="15" t="s">
        <v>106</v>
      </c>
      <c r="AB238" s="14">
        <v>0.35132108333529544</v>
      </c>
    </row>
    <row r="239" ht="14.25" hidden="1" customHeight="1">
      <c r="A239" s="19" t="s">
        <v>872</v>
      </c>
      <c r="B239" s="19" t="s">
        <v>272</v>
      </c>
      <c r="C239" s="52" t="s">
        <v>873</v>
      </c>
      <c r="D239" s="21"/>
      <c r="E239" s="21"/>
      <c r="F239" s="21"/>
      <c r="G239" s="19" t="s">
        <v>83</v>
      </c>
      <c r="H239" s="21"/>
      <c r="I239" s="21"/>
      <c r="J239" s="24"/>
      <c r="K239" s="24" t="s">
        <v>89</v>
      </c>
      <c r="L239" s="24" t="s">
        <v>119</v>
      </c>
      <c r="M239" s="11">
        <f t="shared" si="1"/>
        <v>0</v>
      </c>
      <c r="N239" s="21"/>
      <c r="O239" s="21"/>
      <c r="P239" s="21"/>
      <c r="Q239" s="21"/>
      <c r="R239" s="21"/>
      <c r="S239" s="21"/>
      <c r="T239" s="21"/>
      <c r="U239" s="21"/>
      <c r="V239" s="21"/>
      <c r="W239" s="24">
        <v>1.0</v>
      </c>
      <c r="X239" s="21"/>
      <c r="Y239" s="21"/>
      <c r="Z239" s="14">
        <f t="shared" si="2"/>
        <v>1</v>
      </c>
      <c r="AA239" s="15" t="s">
        <v>91</v>
      </c>
    </row>
    <row r="240" ht="14.25" customHeight="1">
      <c r="A240" s="19" t="s">
        <v>874</v>
      </c>
      <c r="B240" s="19" t="s">
        <v>875</v>
      </c>
      <c r="C240" s="35" t="s">
        <v>612</v>
      </c>
      <c r="D240" s="21"/>
      <c r="E240" s="21"/>
      <c r="F240" s="22" t="s">
        <v>77</v>
      </c>
      <c r="G240" s="19" t="s">
        <v>78</v>
      </c>
      <c r="H240" s="23" t="s">
        <v>613</v>
      </c>
      <c r="I240" s="21"/>
      <c r="J240" s="21"/>
      <c r="K240" s="25" t="s">
        <v>58</v>
      </c>
      <c r="L240" s="24" t="s">
        <v>65</v>
      </c>
      <c r="M240" s="11">
        <f t="shared" si="1"/>
        <v>1</v>
      </c>
      <c r="N240" s="21"/>
      <c r="O240" s="21"/>
      <c r="P240" s="21"/>
      <c r="Q240" s="21"/>
      <c r="R240" s="21"/>
      <c r="S240" s="21"/>
      <c r="T240" s="21"/>
      <c r="U240" s="21"/>
      <c r="V240" s="21"/>
      <c r="W240" s="24">
        <v>1.0</v>
      </c>
      <c r="X240" s="21"/>
      <c r="Y240" s="21"/>
      <c r="Z240" s="14">
        <f t="shared" si="2"/>
        <v>1</v>
      </c>
      <c r="AA240" s="15" t="s">
        <v>33</v>
      </c>
      <c r="AB240" s="14">
        <v>0.3554858378761452</v>
      </c>
    </row>
    <row r="241" ht="14.25" customHeight="1">
      <c r="A241" s="19" t="s">
        <v>876</v>
      </c>
      <c r="B241" s="19" t="s">
        <v>54</v>
      </c>
      <c r="C241" s="33" t="s">
        <v>877</v>
      </c>
      <c r="D241" s="21"/>
      <c r="E241" s="21"/>
      <c r="F241" s="27" t="s">
        <v>56</v>
      </c>
      <c r="G241" s="19" t="s">
        <v>83</v>
      </c>
      <c r="H241" s="23" t="s">
        <v>878</v>
      </c>
      <c r="I241" s="21"/>
      <c r="J241" s="21"/>
      <c r="K241" s="25" t="s">
        <v>58</v>
      </c>
      <c r="L241" s="24" t="s">
        <v>65</v>
      </c>
      <c r="M241" s="11">
        <f t="shared" si="1"/>
        <v>1</v>
      </c>
      <c r="N241" s="21"/>
      <c r="O241" s="21"/>
      <c r="P241" s="21"/>
      <c r="Q241" s="21"/>
      <c r="R241" s="21"/>
      <c r="S241" s="21"/>
      <c r="T241" s="21"/>
      <c r="U241" s="21"/>
      <c r="V241" s="21"/>
      <c r="W241" s="24">
        <v>1.0</v>
      </c>
      <c r="X241" s="21"/>
      <c r="Y241" s="21"/>
      <c r="Z241" s="14">
        <f t="shared" si="2"/>
        <v>1</v>
      </c>
      <c r="AA241" s="15" t="s">
        <v>33</v>
      </c>
      <c r="AB241" s="14">
        <v>0.35660683448821395</v>
      </c>
    </row>
    <row r="242" ht="14.25" customHeight="1">
      <c r="A242" s="19" t="s">
        <v>879</v>
      </c>
      <c r="B242" s="19" t="s">
        <v>237</v>
      </c>
      <c r="C242" s="20" t="s">
        <v>880</v>
      </c>
      <c r="D242" s="21"/>
      <c r="E242" s="21"/>
      <c r="F242" s="27" t="s">
        <v>95</v>
      </c>
      <c r="G242" s="19" t="s">
        <v>48</v>
      </c>
      <c r="H242" s="23" t="s">
        <v>49</v>
      </c>
      <c r="I242" s="21"/>
      <c r="J242" s="24"/>
      <c r="K242" s="25" t="s">
        <v>50</v>
      </c>
      <c r="L242" s="24" t="s">
        <v>51</v>
      </c>
      <c r="M242" s="11">
        <f t="shared" si="1"/>
        <v>1</v>
      </c>
      <c r="N242" s="21"/>
      <c r="O242" s="21"/>
      <c r="P242" s="21"/>
      <c r="Q242" s="21"/>
      <c r="R242" s="21"/>
      <c r="S242" s="21"/>
      <c r="T242" s="21"/>
      <c r="U242" s="21"/>
      <c r="V242" s="21"/>
      <c r="W242" s="24">
        <v>1.0</v>
      </c>
      <c r="X242" s="21"/>
      <c r="Y242" s="21"/>
      <c r="Z242" s="14">
        <f t="shared" si="2"/>
        <v>1</v>
      </c>
      <c r="AA242" s="15" t="s">
        <v>106</v>
      </c>
      <c r="AB242" s="14">
        <v>0.36068846343489236</v>
      </c>
    </row>
    <row r="243" ht="14.25" customHeight="1">
      <c r="A243" s="11" t="s">
        <v>881</v>
      </c>
      <c r="B243" s="11" t="s">
        <v>882</v>
      </c>
      <c r="C243" s="37" t="s">
        <v>883</v>
      </c>
      <c r="D243" s="11"/>
      <c r="E243" s="11"/>
      <c r="F243" s="27" t="s">
        <v>140</v>
      </c>
      <c r="G243" s="11" t="s">
        <v>48</v>
      </c>
      <c r="H243" s="28" t="s">
        <v>884</v>
      </c>
      <c r="I243" s="11"/>
      <c r="J243" s="11"/>
      <c r="K243" s="29" t="s">
        <v>50</v>
      </c>
      <c r="L243" s="12" t="s">
        <v>111</v>
      </c>
      <c r="M243" s="11">
        <f t="shared" si="1"/>
        <v>1</v>
      </c>
      <c r="N243" s="11"/>
      <c r="O243" s="11"/>
      <c r="P243" s="11"/>
      <c r="Q243" s="11"/>
      <c r="R243" s="11"/>
      <c r="S243" s="11"/>
      <c r="T243" s="11"/>
      <c r="U243" s="11"/>
      <c r="V243" s="18"/>
      <c r="W243" s="18">
        <v>1.0</v>
      </c>
      <c r="X243" s="11"/>
      <c r="Y243" s="11"/>
      <c r="Z243" s="14">
        <f t="shared" si="2"/>
        <v>1</v>
      </c>
      <c r="AA243" s="15" t="s">
        <v>106</v>
      </c>
      <c r="AB243" s="14">
        <v>0.3631546785665004</v>
      </c>
    </row>
    <row r="244" ht="14.25" customHeight="1">
      <c r="A244" s="19" t="s">
        <v>885</v>
      </c>
      <c r="B244" s="19" t="s">
        <v>886</v>
      </c>
      <c r="C244" s="20" t="s">
        <v>887</v>
      </c>
      <c r="D244" s="21"/>
      <c r="E244" s="21"/>
      <c r="F244" s="27" t="s">
        <v>351</v>
      </c>
      <c r="G244" s="19" t="s">
        <v>78</v>
      </c>
      <c r="H244" s="23" t="s">
        <v>888</v>
      </c>
      <c r="I244" s="21"/>
      <c r="J244" s="21"/>
      <c r="K244" s="25" t="s">
        <v>58</v>
      </c>
      <c r="L244" s="24" t="s">
        <v>313</v>
      </c>
      <c r="M244" s="11">
        <f t="shared" si="1"/>
        <v>1</v>
      </c>
      <c r="N244" s="21"/>
      <c r="O244" s="21"/>
      <c r="P244" s="21"/>
      <c r="Q244" s="21"/>
      <c r="R244" s="21"/>
      <c r="S244" s="21"/>
      <c r="T244" s="21"/>
      <c r="U244" s="21"/>
      <c r="V244" s="21"/>
      <c r="W244" s="24">
        <v>1.0</v>
      </c>
      <c r="X244" s="21"/>
      <c r="Y244" s="21"/>
      <c r="Z244" s="14">
        <f t="shared" si="2"/>
        <v>1</v>
      </c>
      <c r="AA244" s="15" t="s">
        <v>33</v>
      </c>
      <c r="AB244" s="14">
        <v>0.3675677967627079</v>
      </c>
    </row>
    <row r="245" ht="14.25" customHeight="1">
      <c r="A245" s="11" t="s">
        <v>889</v>
      </c>
      <c r="B245" s="11" t="s">
        <v>890</v>
      </c>
      <c r="C245" s="38" t="s">
        <v>891</v>
      </c>
      <c r="D245" s="11"/>
      <c r="E245" s="11"/>
      <c r="F245" s="27" t="s">
        <v>77</v>
      </c>
      <c r="G245" s="11" t="s">
        <v>361</v>
      </c>
      <c r="H245" s="28" t="s">
        <v>564</v>
      </c>
      <c r="I245" s="11"/>
      <c r="J245" s="12"/>
      <c r="K245" s="29" t="s">
        <v>50</v>
      </c>
      <c r="L245" s="12" t="s">
        <v>892</v>
      </c>
      <c r="M245" s="11">
        <f t="shared" si="1"/>
        <v>1</v>
      </c>
      <c r="N245" s="11"/>
      <c r="O245" s="18"/>
      <c r="P245" s="11"/>
      <c r="Q245" s="11"/>
      <c r="R245" s="11"/>
      <c r="S245" s="11"/>
      <c r="T245" s="11"/>
      <c r="U245" s="11"/>
      <c r="V245" s="31">
        <v>1.0</v>
      </c>
      <c r="W245" s="18"/>
      <c r="X245" s="11"/>
      <c r="Y245" s="11"/>
      <c r="Z245" s="14">
        <f t="shared" si="2"/>
        <v>1</v>
      </c>
      <c r="AA245" s="15" t="s">
        <v>52</v>
      </c>
      <c r="AB245" s="14">
        <v>0.3678735557005517</v>
      </c>
    </row>
    <row r="246" ht="14.25" customHeight="1">
      <c r="A246" s="19" t="s">
        <v>893</v>
      </c>
      <c r="B246" s="19" t="s">
        <v>403</v>
      </c>
      <c r="C246" s="20" t="s">
        <v>894</v>
      </c>
      <c r="D246" s="21"/>
      <c r="E246" s="21"/>
      <c r="F246" s="22" t="s">
        <v>405</v>
      </c>
      <c r="G246" s="19" t="s">
        <v>83</v>
      </c>
      <c r="H246" s="23" t="s">
        <v>895</v>
      </c>
      <c r="I246" s="21"/>
      <c r="J246" s="24"/>
      <c r="K246" s="25" t="s">
        <v>50</v>
      </c>
      <c r="L246" s="24" t="s">
        <v>105</v>
      </c>
      <c r="M246" s="11">
        <f t="shared" si="1"/>
        <v>1</v>
      </c>
      <c r="N246" s="21"/>
      <c r="O246" s="21"/>
      <c r="P246" s="21"/>
      <c r="Q246" s="21"/>
      <c r="R246" s="21"/>
      <c r="S246" s="21"/>
      <c r="T246" s="21"/>
      <c r="U246" s="21"/>
      <c r="V246" s="21"/>
      <c r="W246" s="24">
        <v>1.0</v>
      </c>
      <c r="X246" s="21"/>
      <c r="Y246" s="21"/>
      <c r="Z246" s="14">
        <f t="shared" si="2"/>
        <v>1</v>
      </c>
      <c r="AA246" s="15" t="s">
        <v>106</v>
      </c>
      <c r="AB246" s="14">
        <v>0.36845684353157593</v>
      </c>
    </row>
    <row r="247" ht="14.25" customHeight="1">
      <c r="A247" s="19" t="s">
        <v>896</v>
      </c>
      <c r="B247" s="19" t="s">
        <v>310</v>
      </c>
      <c r="C247" s="20" t="s">
        <v>897</v>
      </c>
      <c r="D247" s="21"/>
      <c r="E247" s="21"/>
      <c r="F247" s="27" t="s">
        <v>56</v>
      </c>
      <c r="G247" s="19" t="s">
        <v>83</v>
      </c>
      <c r="H247" s="23" t="s">
        <v>898</v>
      </c>
      <c r="I247" s="21"/>
      <c r="J247" s="24"/>
      <c r="K247" s="25" t="s">
        <v>58</v>
      </c>
      <c r="L247" s="24" t="s">
        <v>313</v>
      </c>
      <c r="M247" s="11">
        <f t="shared" si="1"/>
        <v>1</v>
      </c>
      <c r="N247" s="21"/>
      <c r="O247" s="21"/>
      <c r="P247" s="21"/>
      <c r="Q247" s="21"/>
      <c r="R247" s="21"/>
      <c r="S247" s="21"/>
      <c r="T247" s="21"/>
      <c r="U247" s="21"/>
      <c r="V247" s="21"/>
      <c r="W247" s="24">
        <v>1.0</v>
      </c>
      <c r="X247" s="21"/>
      <c r="Y247" s="21"/>
      <c r="Z247" s="14">
        <f t="shared" si="2"/>
        <v>1</v>
      </c>
      <c r="AA247" s="15" t="s">
        <v>33</v>
      </c>
      <c r="AB247" s="14">
        <v>0.3696780189689388</v>
      </c>
    </row>
    <row r="248" ht="14.25" customHeight="1">
      <c r="A248" s="19" t="s">
        <v>899</v>
      </c>
      <c r="B248" s="19" t="s">
        <v>900</v>
      </c>
      <c r="C248" s="35" t="s">
        <v>901</v>
      </c>
      <c r="D248" s="21"/>
      <c r="E248" s="21"/>
      <c r="F248" s="27" t="s">
        <v>56</v>
      </c>
      <c r="G248" s="19" t="s">
        <v>83</v>
      </c>
      <c r="H248" s="23" t="s">
        <v>99</v>
      </c>
      <c r="I248" s="21"/>
      <c r="J248" s="21"/>
      <c r="K248" s="25" t="s">
        <v>58</v>
      </c>
      <c r="L248" s="24" t="s">
        <v>85</v>
      </c>
      <c r="M248" s="11">
        <f t="shared" si="1"/>
        <v>1</v>
      </c>
      <c r="N248" s="21"/>
      <c r="O248" s="21"/>
      <c r="P248" s="21"/>
      <c r="Q248" s="21"/>
      <c r="R248" s="21"/>
      <c r="S248" s="21"/>
      <c r="T248" s="21"/>
      <c r="U248" s="21"/>
      <c r="V248" s="21"/>
      <c r="W248" s="24">
        <v>1.0</v>
      </c>
      <c r="X248" s="21"/>
      <c r="Y248" s="21"/>
      <c r="Z248" s="14">
        <f t="shared" si="2"/>
        <v>1</v>
      </c>
      <c r="AA248" s="15" t="s">
        <v>33</v>
      </c>
      <c r="AB248" s="14">
        <v>0.3770874348988327</v>
      </c>
    </row>
    <row r="249" ht="14.25" hidden="1" customHeight="1">
      <c r="A249" s="19" t="s">
        <v>902</v>
      </c>
      <c r="B249" s="19" t="s">
        <v>668</v>
      </c>
      <c r="C249" s="52" t="s">
        <v>903</v>
      </c>
      <c r="D249" s="21"/>
      <c r="E249" s="21"/>
      <c r="F249" s="21"/>
      <c r="G249" s="19" t="s">
        <v>83</v>
      </c>
      <c r="H249" s="21"/>
      <c r="I249" s="21"/>
      <c r="J249" s="24"/>
      <c r="K249" s="24" t="s">
        <v>89</v>
      </c>
      <c r="L249" s="24" t="s">
        <v>904</v>
      </c>
      <c r="M249" s="11">
        <f t="shared" si="1"/>
        <v>0</v>
      </c>
      <c r="N249" s="21"/>
      <c r="O249" s="21"/>
      <c r="P249" s="21"/>
      <c r="Q249" s="21"/>
      <c r="R249" s="21"/>
      <c r="S249" s="21"/>
      <c r="T249" s="21"/>
      <c r="U249" s="21"/>
      <c r="V249" s="21"/>
      <c r="W249" s="24">
        <v>1.0</v>
      </c>
      <c r="X249" s="21"/>
      <c r="Y249" s="21"/>
      <c r="Z249" s="14">
        <f t="shared" si="2"/>
        <v>1</v>
      </c>
      <c r="AA249" s="15" t="s">
        <v>91</v>
      </c>
    </row>
    <row r="250" ht="14.25" customHeight="1">
      <c r="A250" s="12" t="s">
        <v>905</v>
      </c>
      <c r="B250" s="12" t="s">
        <v>906</v>
      </c>
      <c r="C250" s="43" t="s">
        <v>907</v>
      </c>
      <c r="D250" s="11"/>
      <c r="E250" s="11"/>
      <c r="F250" s="27" t="s">
        <v>95</v>
      </c>
      <c r="G250" s="12" t="s">
        <v>48</v>
      </c>
      <c r="H250" s="23"/>
      <c r="I250" s="11"/>
      <c r="J250" s="11"/>
      <c r="K250" s="29" t="s">
        <v>50</v>
      </c>
      <c r="L250" s="11"/>
      <c r="M250" s="11">
        <f t="shared" si="1"/>
        <v>1</v>
      </c>
      <c r="N250" s="11"/>
      <c r="O250" s="11"/>
      <c r="P250" s="11"/>
      <c r="Q250" s="11"/>
      <c r="R250" s="11"/>
      <c r="S250" s="12">
        <v>1.0</v>
      </c>
      <c r="T250" s="12"/>
      <c r="U250" s="12"/>
      <c r="V250" s="18"/>
      <c r="W250" s="18"/>
      <c r="X250" s="11"/>
      <c r="Y250" s="11"/>
      <c r="Z250" s="14">
        <f t="shared" si="2"/>
        <v>1</v>
      </c>
      <c r="AA250" s="15" t="s">
        <v>91</v>
      </c>
      <c r="AB250" s="14">
        <v>0.3775114266406483</v>
      </c>
    </row>
    <row r="251" ht="14.25" customHeight="1">
      <c r="A251" s="11" t="s">
        <v>908</v>
      </c>
      <c r="B251" s="11" t="s">
        <v>909</v>
      </c>
      <c r="C251" s="37" t="s">
        <v>910</v>
      </c>
      <c r="D251" s="11"/>
      <c r="E251" s="11"/>
      <c r="F251" s="27" t="s">
        <v>77</v>
      </c>
      <c r="G251" s="11" t="s">
        <v>204</v>
      </c>
      <c r="H251" s="23" t="s">
        <v>911</v>
      </c>
      <c r="I251" s="11"/>
      <c r="J251" s="11"/>
      <c r="K251" s="29" t="s">
        <v>50</v>
      </c>
      <c r="L251" s="12" t="s">
        <v>51</v>
      </c>
      <c r="M251" s="11">
        <f t="shared" si="1"/>
        <v>1</v>
      </c>
      <c r="N251" s="18">
        <v>1.0</v>
      </c>
      <c r="O251" s="11"/>
      <c r="P251" s="11"/>
      <c r="Q251" s="11"/>
      <c r="R251" s="11"/>
      <c r="S251" s="11"/>
      <c r="T251" s="11"/>
      <c r="U251" s="11"/>
      <c r="V251" s="12">
        <v>1.0</v>
      </c>
      <c r="W251" s="12">
        <v>1.0</v>
      </c>
      <c r="X251" s="11"/>
      <c r="Y251" s="11"/>
      <c r="Z251" s="14">
        <f t="shared" si="2"/>
        <v>3</v>
      </c>
      <c r="AA251" s="15" t="s">
        <v>91</v>
      </c>
      <c r="AB251" s="14">
        <v>0.378166389729115</v>
      </c>
    </row>
    <row r="252" ht="14.25" customHeight="1">
      <c r="A252" s="19" t="s">
        <v>912</v>
      </c>
      <c r="B252" s="19" t="s">
        <v>913</v>
      </c>
      <c r="C252" s="20" t="s">
        <v>914</v>
      </c>
      <c r="D252" s="21"/>
      <c r="E252" s="21"/>
      <c r="F252" s="27" t="s">
        <v>915</v>
      </c>
      <c r="G252" s="19" t="s">
        <v>38</v>
      </c>
      <c r="H252" s="23" t="s">
        <v>49</v>
      </c>
      <c r="I252" s="21"/>
      <c r="J252" s="21"/>
      <c r="K252" s="25" t="s">
        <v>50</v>
      </c>
      <c r="L252" s="24" t="s">
        <v>105</v>
      </c>
      <c r="M252" s="11">
        <f t="shared" si="1"/>
        <v>1</v>
      </c>
      <c r="N252" s="21"/>
      <c r="O252" s="21"/>
      <c r="P252" s="21"/>
      <c r="Q252" s="21"/>
      <c r="R252" s="21"/>
      <c r="S252" s="21"/>
      <c r="T252" s="21"/>
      <c r="U252" s="21"/>
      <c r="V252" s="21"/>
      <c r="W252" s="24">
        <v>1.0</v>
      </c>
      <c r="X252" s="21"/>
      <c r="Y252" s="21"/>
      <c r="Z252" s="14">
        <f t="shared" si="2"/>
        <v>1</v>
      </c>
      <c r="AA252" s="15" t="s">
        <v>52</v>
      </c>
      <c r="AB252" s="14">
        <v>0.3802079656870815</v>
      </c>
      <c r="AD252" s="15" t="s">
        <v>916</v>
      </c>
    </row>
    <row r="253" ht="14.25" customHeight="1">
      <c r="A253" s="11" t="s">
        <v>917</v>
      </c>
      <c r="B253" s="11" t="s">
        <v>918</v>
      </c>
      <c r="C253" s="37" t="s">
        <v>919</v>
      </c>
      <c r="D253" s="11"/>
      <c r="E253" s="11"/>
      <c r="F253" s="22" t="s">
        <v>77</v>
      </c>
      <c r="G253" s="11" t="s">
        <v>284</v>
      </c>
      <c r="H253" s="28" t="s">
        <v>104</v>
      </c>
      <c r="I253" s="11"/>
      <c r="J253" s="11"/>
      <c r="K253" s="29" t="s">
        <v>50</v>
      </c>
      <c r="L253" s="12" t="s">
        <v>65</v>
      </c>
      <c r="M253" s="11">
        <f t="shared" si="1"/>
        <v>1</v>
      </c>
      <c r="N253" s="11"/>
      <c r="O253" s="11"/>
      <c r="P253" s="11"/>
      <c r="Q253" s="11"/>
      <c r="R253" s="11"/>
      <c r="S253" s="11"/>
      <c r="T253" s="11"/>
      <c r="U253" s="11"/>
      <c r="V253" s="18"/>
      <c r="W253" s="31">
        <v>0.0</v>
      </c>
      <c r="X253" s="11"/>
      <c r="Y253" s="11"/>
      <c r="Z253" s="14">
        <f t="shared" si="2"/>
        <v>0</v>
      </c>
      <c r="AA253" s="15" t="s">
        <v>106</v>
      </c>
      <c r="AB253" s="14">
        <v>0.3847788668407337</v>
      </c>
    </row>
    <row r="254" ht="14.25" hidden="1" customHeight="1">
      <c r="A254" s="11" t="s">
        <v>920</v>
      </c>
      <c r="B254" s="11" t="s">
        <v>812</v>
      </c>
      <c r="C254" s="42" t="s">
        <v>921</v>
      </c>
      <c r="D254" s="11"/>
      <c r="E254" s="11"/>
      <c r="F254" s="11"/>
      <c r="G254" s="11" t="s">
        <v>38</v>
      </c>
      <c r="H254" s="11"/>
      <c r="I254" s="11"/>
      <c r="J254" s="11"/>
      <c r="K254" s="12" t="s">
        <v>89</v>
      </c>
      <c r="L254" s="11" t="s">
        <v>922</v>
      </c>
      <c r="M254" s="11">
        <f t="shared" si="1"/>
        <v>0</v>
      </c>
      <c r="N254" s="11"/>
      <c r="O254" s="11"/>
      <c r="P254" s="11"/>
      <c r="Q254" s="11"/>
      <c r="R254" s="11"/>
      <c r="S254" s="11"/>
      <c r="T254" s="11"/>
      <c r="U254" s="11"/>
      <c r="V254" s="18"/>
      <c r="W254" s="18">
        <v>1.0</v>
      </c>
      <c r="X254" s="11"/>
      <c r="Y254" s="11"/>
      <c r="Z254" s="14">
        <f t="shared" si="2"/>
        <v>1</v>
      </c>
      <c r="AA254" s="15" t="s">
        <v>91</v>
      </c>
    </row>
    <row r="255" ht="14.25" customHeight="1">
      <c r="A255" s="70" t="s">
        <v>923</v>
      </c>
      <c r="B255" s="11" t="s">
        <v>924</v>
      </c>
      <c r="C255" s="37" t="s">
        <v>925</v>
      </c>
      <c r="D255" s="11"/>
      <c r="E255" s="11"/>
      <c r="F255" s="27" t="s">
        <v>95</v>
      </c>
      <c r="G255" s="11" t="s">
        <v>132</v>
      </c>
      <c r="H255" s="28" t="s">
        <v>104</v>
      </c>
      <c r="I255" s="11"/>
      <c r="J255" s="11"/>
      <c r="K255" s="29" t="s">
        <v>50</v>
      </c>
      <c r="L255" s="11"/>
      <c r="M255" s="11">
        <f t="shared" si="1"/>
        <v>1</v>
      </c>
      <c r="N255" s="11"/>
      <c r="O255" s="11"/>
      <c r="P255" s="11"/>
      <c r="Q255" s="11"/>
      <c r="R255" s="11"/>
      <c r="S255" s="11"/>
      <c r="T255" s="11"/>
      <c r="U255" s="11"/>
      <c r="V255" s="18"/>
      <c r="W255" s="18">
        <v>1.0</v>
      </c>
      <c r="X255" s="11"/>
      <c r="Y255" s="11"/>
      <c r="Z255" s="14">
        <f t="shared" si="2"/>
        <v>1</v>
      </c>
      <c r="AA255" s="15" t="s">
        <v>106</v>
      </c>
      <c r="AB255" s="14">
        <v>0.38590212793358813</v>
      </c>
    </row>
    <row r="256" ht="14.25" hidden="1" customHeight="1">
      <c r="A256" s="11" t="s">
        <v>926</v>
      </c>
      <c r="B256" s="11" t="s">
        <v>217</v>
      </c>
      <c r="C256" s="42" t="s">
        <v>927</v>
      </c>
      <c r="D256" s="11"/>
      <c r="E256" s="11"/>
      <c r="F256" s="11"/>
      <c r="G256" s="11" t="s">
        <v>38</v>
      </c>
      <c r="H256" s="11"/>
      <c r="I256" s="11"/>
      <c r="J256" s="11"/>
      <c r="K256" s="12" t="s">
        <v>89</v>
      </c>
      <c r="L256" s="11" t="s">
        <v>922</v>
      </c>
      <c r="M256" s="11">
        <f t="shared" si="1"/>
        <v>0</v>
      </c>
      <c r="N256" s="11"/>
      <c r="O256" s="11"/>
      <c r="P256" s="11"/>
      <c r="Q256" s="11"/>
      <c r="R256" s="11"/>
      <c r="S256" s="11"/>
      <c r="T256" s="11"/>
      <c r="U256" s="11"/>
      <c r="V256" s="18"/>
      <c r="W256" s="18">
        <v>1.0</v>
      </c>
      <c r="X256" s="11"/>
      <c r="Y256" s="11"/>
      <c r="Z256" s="14">
        <f t="shared" si="2"/>
        <v>1</v>
      </c>
      <c r="AA256" s="15" t="s">
        <v>91</v>
      </c>
    </row>
    <row r="257" ht="14.25" hidden="1" customHeight="1">
      <c r="A257" s="11" t="s">
        <v>928</v>
      </c>
      <c r="B257" s="11" t="s">
        <v>217</v>
      </c>
      <c r="C257" s="42" t="s">
        <v>929</v>
      </c>
      <c r="D257" s="11"/>
      <c r="E257" s="11"/>
      <c r="F257" s="11"/>
      <c r="G257" s="11" t="s">
        <v>38</v>
      </c>
      <c r="H257" s="11"/>
      <c r="I257" s="11"/>
      <c r="J257" s="11"/>
      <c r="K257" s="12" t="s">
        <v>89</v>
      </c>
      <c r="L257" s="12" t="s">
        <v>43</v>
      </c>
      <c r="M257" s="11">
        <f t="shared" si="1"/>
        <v>0</v>
      </c>
      <c r="N257" s="11"/>
      <c r="O257" s="11"/>
      <c r="P257" s="11"/>
      <c r="Q257" s="11"/>
      <c r="R257" s="11"/>
      <c r="S257" s="11"/>
      <c r="T257" s="11"/>
      <c r="U257" s="11"/>
      <c r="V257" s="18"/>
      <c r="W257" s="18">
        <v>1.0</v>
      </c>
      <c r="X257" s="11"/>
      <c r="Y257" s="11"/>
      <c r="Z257" s="14">
        <f t="shared" si="2"/>
        <v>1</v>
      </c>
      <c r="AA257" s="15" t="s">
        <v>91</v>
      </c>
    </row>
    <row r="258" ht="14.25" customHeight="1">
      <c r="A258" s="11" t="s">
        <v>930</v>
      </c>
      <c r="B258" s="11" t="s">
        <v>931</v>
      </c>
      <c r="C258" s="37" t="s">
        <v>932</v>
      </c>
      <c r="D258" s="12" t="s">
        <v>29</v>
      </c>
      <c r="E258" s="12" t="s">
        <v>29</v>
      </c>
      <c r="F258" s="27" t="s">
        <v>95</v>
      </c>
      <c r="G258" s="11" t="s">
        <v>48</v>
      </c>
      <c r="H258" s="28" t="s">
        <v>933</v>
      </c>
      <c r="I258" s="11"/>
      <c r="J258" s="11"/>
      <c r="K258" s="29" t="s">
        <v>50</v>
      </c>
      <c r="L258" s="11"/>
      <c r="M258" s="11">
        <f t="shared" si="1"/>
        <v>1</v>
      </c>
      <c r="N258" s="18">
        <v>1.0</v>
      </c>
      <c r="O258" s="11"/>
      <c r="P258" s="11"/>
      <c r="Q258" s="12">
        <v>1.0</v>
      </c>
      <c r="R258" s="11"/>
      <c r="S258" s="12">
        <v>1.0</v>
      </c>
      <c r="T258" s="12">
        <v>1.0</v>
      </c>
      <c r="U258" s="12"/>
      <c r="V258" s="31">
        <v>1.0</v>
      </c>
      <c r="W258" s="18">
        <v>1.0</v>
      </c>
      <c r="X258" s="11"/>
      <c r="Y258" s="11"/>
      <c r="Z258" s="14">
        <f t="shared" si="2"/>
        <v>6</v>
      </c>
      <c r="AA258" s="15" t="s">
        <v>106</v>
      </c>
      <c r="AB258" s="14">
        <v>0.3866835882822266</v>
      </c>
    </row>
    <row r="259" ht="14.25" customHeight="1">
      <c r="A259" s="11" t="s">
        <v>934</v>
      </c>
      <c r="B259" s="11" t="s">
        <v>935</v>
      </c>
      <c r="C259" s="59" t="s">
        <v>936</v>
      </c>
      <c r="D259" s="11"/>
      <c r="E259" s="11"/>
      <c r="F259" s="27" t="s">
        <v>351</v>
      </c>
      <c r="G259" s="11" t="s">
        <v>132</v>
      </c>
      <c r="H259" s="28" t="s">
        <v>937</v>
      </c>
      <c r="I259" s="11"/>
      <c r="J259" s="11"/>
      <c r="K259" s="29" t="s">
        <v>50</v>
      </c>
      <c r="L259" s="12" t="s">
        <v>65</v>
      </c>
      <c r="M259" s="11">
        <f t="shared" si="1"/>
        <v>1</v>
      </c>
      <c r="N259" s="11"/>
      <c r="O259" s="11"/>
      <c r="P259" s="11"/>
      <c r="Q259" s="11"/>
      <c r="R259" s="11"/>
      <c r="S259" s="11"/>
      <c r="T259" s="11"/>
      <c r="U259" s="11"/>
      <c r="V259" s="18"/>
      <c r="W259" s="18">
        <v>1.0</v>
      </c>
      <c r="X259" s="11"/>
      <c r="Y259" s="11"/>
      <c r="Z259" s="14">
        <f t="shared" si="2"/>
        <v>1</v>
      </c>
      <c r="AA259" s="15" t="s">
        <v>106</v>
      </c>
      <c r="AB259" s="14">
        <v>0.38718060268024845</v>
      </c>
    </row>
    <row r="260" ht="14.25" hidden="1" customHeight="1">
      <c r="A260" s="19" t="s">
        <v>938</v>
      </c>
      <c r="B260" s="19" t="s">
        <v>939</v>
      </c>
      <c r="C260" s="52" t="s">
        <v>940</v>
      </c>
      <c r="D260" s="21"/>
      <c r="E260" s="21"/>
      <c r="F260" s="21"/>
      <c r="G260" s="19" t="s">
        <v>83</v>
      </c>
      <c r="H260" s="21"/>
      <c r="I260" s="21"/>
      <c r="J260" s="21"/>
      <c r="K260" s="24" t="s">
        <v>89</v>
      </c>
      <c r="L260" s="24" t="s">
        <v>90</v>
      </c>
      <c r="M260" s="11">
        <f t="shared" si="1"/>
        <v>0</v>
      </c>
      <c r="N260" s="21"/>
      <c r="O260" s="21"/>
      <c r="P260" s="21"/>
      <c r="Q260" s="21"/>
      <c r="R260" s="21"/>
      <c r="S260" s="21"/>
      <c r="T260" s="21"/>
      <c r="U260" s="21"/>
      <c r="V260" s="21"/>
      <c r="W260" s="24">
        <v>1.0</v>
      </c>
      <c r="X260" s="21"/>
      <c r="Y260" s="21"/>
      <c r="Z260" s="14">
        <f t="shared" si="2"/>
        <v>1</v>
      </c>
      <c r="AA260" s="15" t="s">
        <v>91</v>
      </c>
    </row>
    <row r="261" ht="14.25" customHeight="1">
      <c r="A261" s="11" t="s">
        <v>941</v>
      </c>
      <c r="B261" s="11" t="s">
        <v>942</v>
      </c>
      <c r="C261" s="26" t="s">
        <v>943</v>
      </c>
      <c r="D261" s="11"/>
      <c r="E261" s="11"/>
      <c r="F261" s="27" t="s">
        <v>103</v>
      </c>
      <c r="G261" s="19" t="s">
        <v>83</v>
      </c>
      <c r="H261" s="28" t="s">
        <v>944</v>
      </c>
      <c r="I261" s="11"/>
      <c r="J261" s="11"/>
      <c r="K261" s="29" t="s">
        <v>50</v>
      </c>
      <c r="L261" s="12" t="s">
        <v>51</v>
      </c>
      <c r="M261" s="11">
        <f t="shared" si="1"/>
        <v>1</v>
      </c>
      <c r="N261" s="11"/>
      <c r="O261" s="11"/>
      <c r="P261" s="11"/>
      <c r="Q261" s="11"/>
      <c r="R261" s="11"/>
      <c r="S261" s="11"/>
      <c r="T261" s="11"/>
      <c r="U261" s="11"/>
      <c r="V261" s="18"/>
      <c r="W261" s="18">
        <v>1.0</v>
      </c>
      <c r="X261" s="11"/>
      <c r="Y261" s="11"/>
      <c r="Z261" s="14">
        <f t="shared" si="2"/>
        <v>1</v>
      </c>
      <c r="AA261" s="15" t="s">
        <v>106</v>
      </c>
      <c r="AB261" s="14">
        <v>0.3879334801132235</v>
      </c>
    </row>
    <row r="262" ht="14.25" customHeight="1">
      <c r="A262" s="19" t="s">
        <v>945</v>
      </c>
      <c r="B262" s="19" t="s">
        <v>946</v>
      </c>
      <c r="C262" s="35" t="s">
        <v>947</v>
      </c>
      <c r="D262" s="21"/>
      <c r="E262" s="21"/>
      <c r="F262" s="22" t="s">
        <v>103</v>
      </c>
      <c r="G262" s="19" t="s">
        <v>38</v>
      </c>
      <c r="H262" s="23" t="s">
        <v>99</v>
      </c>
      <c r="I262" s="21"/>
      <c r="J262" s="21"/>
      <c r="K262" s="25" t="s">
        <v>50</v>
      </c>
      <c r="L262" s="24" t="s">
        <v>111</v>
      </c>
      <c r="M262" s="11">
        <f t="shared" si="1"/>
        <v>1</v>
      </c>
      <c r="N262" s="21"/>
      <c r="O262" s="21"/>
      <c r="P262" s="21"/>
      <c r="Q262" s="21"/>
      <c r="R262" s="21"/>
      <c r="S262" s="21"/>
      <c r="T262" s="21"/>
      <c r="U262" s="21"/>
      <c r="V262" s="21"/>
      <c r="W262" s="24">
        <v>1.0</v>
      </c>
      <c r="X262" s="21"/>
      <c r="Y262" s="21"/>
      <c r="Z262" s="14">
        <f t="shared" si="2"/>
        <v>1</v>
      </c>
      <c r="AA262" s="15" t="s">
        <v>52</v>
      </c>
      <c r="AB262" s="14">
        <v>0.38809109444265744</v>
      </c>
    </row>
    <row r="263" ht="14.25" customHeight="1">
      <c r="A263" s="12" t="s">
        <v>948</v>
      </c>
      <c r="B263" s="12" t="s">
        <v>949</v>
      </c>
      <c r="C263" s="38" t="s">
        <v>950</v>
      </c>
      <c r="D263" s="11"/>
      <c r="E263" s="11"/>
      <c r="F263" s="27" t="s">
        <v>95</v>
      </c>
      <c r="G263" s="12" t="s">
        <v>68</v>
      </c>
      <c r="H263" s="28" t="s">
        <v>951</v>
      </c>
      <c r="I263" s="11"/>
      <c r="J263" s="12"/>
      <c r="K263" s="29" t="s">
        <v>50</v>
      </c>
      <c r="L263" s="12"/>
      <c r="M263" s="11">
        <f t="shared" si="1"/>
        <v>1</v>
      </c>
      <c r="N263" s="11"/>
      <c r="O263" s="11"/>
      <c r="P263" s="11"/>
      <c r="Q263" s="11"/>
      <c r="R263" s="11"/>
      <c r="S263" s="12">
        <v>1.0</v>
      </c>
      <c r="T263" s="12"/>
      <c r="U263" s="12"/>
      <c r="V263" s="31"/>
      <c r="W263" s="18"/>
      <c r="X263" s="11"/>
      <c r="Y263" s="11"/>
      <c r="Z263" s="14">
        <f t="shared" si="2"/>
        <v>1</v>
      </c>
      <c r="AA263" s="15" t="s">
        <v>52</v>
      </c>
      <c r="AB263" s="14">
        <v>0.39449138133601347</v>
      </c>
    </row>
    <row r="264" ht="14.25" customHeight="1">
      <c r="A264" s="11" t="s">
        <v>952</v>
      </c>
      <c r="B264" s="11" t="s">
        <v>953</v>
      </c>
      <c r="C264" s="37" t="s">
        <v>954</v>
      </c>
      <c r="D264" s="11"/>
      <c r="E264" s="11"/>
      <c r="F264" s="22" t="s">
        <v>95</v>
      </c>
      <c r="G264" s="11" t="s">
        <v>38</v>
      </c>
      <c r="H264" s="28" t="s">
        <v>104</v>
      </c>
      <c r="I264" s="11"/>
      <c r="J264" s="11"/>
      <c r="K264" s="29" t="s">
        <v>50</v>
      </c>
      <c r="L264" s="11"/>
      <c r="M264" s="11">
        <f t="shared" si="1"/>
        <v>1</v>
      </c>
      <c r="N264" s="11"/>
      <c r="O264" s="11"/>
      <c r="P264" s="11"/>
      <c r="Q264" s="11"/>
      <c r="R264" s="11"/>
      <c r="S264" s="11"/>
      <c r="T264" s="11"/>
      <c r="U264" s="11"/>
      <c r="V264" s="11"/>
      <c r="W264" s="11"/>
      <c r="X264" s="11"/>
      <c r="Y264" s="11"/>
      <c r="Z264" s="14">
        <f t="shared" si="2"/>
        <v>0</v>
      </c>
      <c r="AA264" s="15" t="s">
        <v>91</v>
      </c>
      <c r="AB264" s="14">
        <v>0.39826597228898797</v>
      </c>
    </row>
    <row r="265" ht="14.25" customHeight="1">
      <c r="A265" s="11" t="s">
        <v>955</v>
      </c>
      <c r="B265" s="11" t="s">
        <v>956</v>
      </c>
      <c r="C265" s="26" t="s">
        <v>957</v>
      </c>
      <c r="D265" s="11"/>
      <c r="E265" s="11"/>
      <c r="F265" s="27" t="s">
        <v>77</v>
      </c>
      <c r="G265" s="11" t="s">
        <v>264</v>
      </c>
      <c r="H265" s="28" t="s">
        <v>99</v>
      </c>
      <c r="I265" s="11"/>
      <c r="J265" s="11"/>
      <c r="K265" s="29" t="s">
        <v>50</v>
      </c>
      <c r="L265" s="12"/>
      <c r="M265" s="11">
        <f t="shared" si="1"/>
        <v>1</v>
      </c>
      <c r="N265" s="11"/>
      <c r="O265" s="11"/>
      <c r="P265" s="11"/>
      <c r="Q265" s="11"/>
      <c r="R265" s="11"/>
      <c r="S265" s="12">
        <v>1.0</v>
      </c>
      <c r="T265" s="12"/>
      <c r="U265" s="12"/>
      <c r="V265" s="31">
        <v>1.0</v>
      </c>
      <c r="W265" s="18">
        <v>1.0</v>
      </c>
      <c r="X265" s="11"/>
      <c r="Y265" s="11"/>
      <c r="Z265" s="14">
        <f t="shared" si="2"/>
        <v>3</v>
      </c>
      <c r="AA265" s="15" t="s">
        <v>52</v>
      </c>
      <c r="AB265" s="14">
        <v>0.39906401446653217</v>
      </c>
    </row>
    <row r="266" ht="14.25" customHeight="1">
      <c r="A266" s="19" t="s">
        <v>958</v>
      </c>
      <c r="B266" s="19" t="s">
        <v>310</v>
      </c>
      <c r="C266" s="35" t="s">
        <v>959</v>
      </c>
      <c r="D266" s="21"/>
      <c r="E266" s="21"/>
      <c r="F266" s="27" t="s">
        <v>56</v>
      </c>
      <c r="G266" s="19" t="s">
        <v>83</v>
      </c>
      <c r="H266" s="23" t="s">
        <v>960</v>
      </c>
      <c r="I266" s="21"/>
      <c r="J266" s="21"/>
      <c r="K266" s="25" t="s">
        <v>58</v>
      </c>
      <c r="L266" s="24" t="s">
        <v>961</v>
      </c>
      <c r="M266" s="11">
        <f t="shared" si="1"/>
        <v>1</v>
      </c>
      <c r="N266" s="21"/>
      <c r="O266" s="21"/>
      <c r="P266" s="21"/>
      <c r="Q266" s="21"/>
      <c r="R266" s="21"/>
      <c r="S266" s="21"/>
      <c r="T266" s="21"/>
      <c r="U266" s="21"/>
      <c r="V266" s="21"/>
      <c r="W266" s="24">
        <v>1.0</v>
      </c>
      <c r="X266" s="21"/>
      <c r="Y266" s="21"/>
      <c r="Z266" s="14">
        <f t="shared" si="2"/>
        <v>1</v>
      </c>
      <c r="AA266" s="15" t="s">
        <v>33</v>
      </c>
      <c r="AB266" s="14">
        <v>0.4026909191483887</v>
      </c>
    </row>
    <row r="267" ht="14.25" customHeight="1">
      <c r="A267" s="11" t="s">
        <v>962</v>
      </c>
      <c r="B267" s="11" t="s">
        <v>963</v>
      </c>
      <c r="C267" s="37" t="s">
        <v>964</v>
      </c>
      <c r="D267" s="11"/>
      <c r="E267" s="11"/>
      <c r="F267" s="27" t="s">
        <v>95</v>
      </c>
      <c r="G267" s="11" t="s">
        <v>361</v>
      </c>
      <c r="H267" s="28" t="s">
        <v>965</v>
      </c>
      <c r="I267" s="11"/>
      <c r="J267" s="11"/>
      <c r="K267" s="29" t="s">
        <v>50</v>
      </c>
      <c r="L267" s="12" t="s">
        <v>152</v>
      </c>
      <c r="M267" s="11">
        <f t="shared" si="1"/>
        <v>1</v>
      </c>
      <c r="N267" s="11"/>
      <c r="O267" s="11"/>
      <c r="P267" s="11"/>
      <c r="Q267" s="11"/>
      <c r="R267" s="11"/>
      <c r="S267" s="11"/>
      <c r="T267" s="11"/>
      <c r="U267" s="11"/>
      <c r="V267" s="31">
        <v>1.0</v>
      </c>
      <c r="W267" s="18">
        <v>1.0</v>
      </c>
      <c r="X267" s="11"/>
      <c r="Y267" s="11"/>
      <c r="Z267" s="14">
        <f t="shared" si="2"/>
        <v>2</v>
      </c>
      <c r="AA267" s="15" t="s">
        <v>52</v>
      </c>
      <c r="AB267" s="14">
        <v>0.40497194718651275</v>
      </c>
    </row>
    <row r="268" ht="14.25" customHeight="1">
      <c r="A268" s="12" t="s">
        <v>966</v>
      </c>
      <c r="B268" s="12" t="s">
        <v>967</v>
      </c>
      <c r="C268" s="35" t="s">
        <v>968</v>
      </c>
      <c r="D268" s="11"/>
      <c r="E268" s="11"/>
      <c r="F268" s="27" t="s">
        <v>351</v>
      </c>
      <c r="G268" s="12" t="s">
        <v>78</v>
      </c>
      <c r="H268" s="28" t="s">
        <v>234</v>
      </c>
      <c r="I268" s="11"/>
      <c r="J268" s="12"/>
      <c r="K268" s="29" t="s">
        <v>50</v>
      </c>
      <c r="L268" s="12" t="s">
        <v>969</v>
      </c>
      <c r="M268" s="11">
        <f t="shared" si="1"/>
        <v>1</v>
      </c>
      <c r="N268" s="11"/>
      <c r="O268" s="11"/>
      <c r="P268" s="11"/>
      <c r="Q268" s="11"/>
      <c r="R268" s="11"/>
      <c r="S268" s="11"/>
      <c r="T268" s="11"/>
      <c r="U268" s="11"/>
      <c r="V268" s="18"/>
      <c r="W268" s="18"/>
      <c r="X268" s="12">
        <v>1.0</v>
      </c>
      <c r="Y268" s="11"/>
      <c r="Z268" s="14">
        <f t="shared" si="2"/>
        <v>1</v>
      </c>
      <c r="AA268" s="15" t="s">
        <v>106</v>
      </c>
      <c r="AB268" s="14">
        <v>0.4088626593747213</v>
      </c>
    </row>
    <row r="269" ht="14.25" customHeight="1">
      <c r="A269" s="19" t="s">
        <v>970</v>
      </c>
      <c r="B269" s="19" t="s">
        <v>971</v>
      </c>
      <c r="C269" s="20" t="s">
        <v>972</v>
      </c>
      <c r="D269" s="21"/>
      <c r="E269" s="21"/>
      <c r="F269" s="27" t="s">
        <v>77</v>
      </c>
      <c r="G269" s="19" t="s">
        <v>204</v>
      </c>
      <c r="H269" s="23" t="s">
        <v>973</v>
      </c>
      <c r="I269" s="21"/>
      <c r="J269" s="24"/>
      <c r="K269" s="25" t="s">
        <v>58</v>
      </c>
      <c r="L269" s="24" t="s">
        <v>51</v>
      </c>
      <c r="M269" s="11">
        <f t="shared" si="1"/>
        <v>1</v>
      </c>
      <c r="N269" s="21"/>
      <c r="O269" s="21"/>
      <c r="P269" s="21"/>
      <c r="Q269" s="21"/>
      <c r="R269" s="21"/>
      <c r="S269" s="21"/>
      <c r="T269" s="21"/>
      <c r="U269" s="21"/>
      <c r="V269" s="21"/>
      <c r="W269" s="24">
        <v>1.0</v>
      </c>
      <c r="X269" s="21"/>
      <c r="Y269" s="21"/>
      <c r="Z269" s="14">
        <f t="shared" si="2"/>
        <v>1</v>
      </c>
      <c r="AA269" s="15" t="s">
        <v>33</v>
      </c>
      <c r="AB269" s="14">
        <v>0.40943699708137793</v>
      </c>
    </row>
    <row r="270" ht="14.25" customHeight="1">
      <c r="A270" s="11" t="s">
        <v>974</v>
      </c>
      <c r="B270" s="11" t="s">
        <v>975</v>
      </c>
      <c r="C270" s="37" t="s">
        <v>976</v>
      </c>
      <c r="D270" s="11"/>
      <c r="E270" s="11"/>
      <c r="F270" s="27" t="s">
        <v>140</v>
      </c>
      <c r="G270" s="11" t="s">
        <v>196</v>
      </c>
      <c r="H270" s="28" t="s">
        <v>99</v>
      </c>
      <c r="I270" s="11"/>
      <c r="J270" s="11"/>
      <c r="K270" s="29" t="s">
        <v>50</v>
      </c>
      <c r="L270" s="12" t="s">
        <v>105</v>
      </c>
      <c r="M270" s="11">
        <f t="shared" si="1"/>
        <v>1</v>
      </c>
      <c r="N270" s="11"/>
      <c r="O270" s="11"/>
      <c r="P270" s="11"/>
      <c r="Q270" s="11"/>
      <c r="R270" s="11"/>
      <c r="S270" s="11"/>
      <c r="T270" s="11"/>
      <c r="U270" s="11"/>
      <c r="V270" s="31">
        <v>1.0</v>
      </c>
      <c r="W270" s="18">
        <v>1.0</v>
      </c>
      <c r="X270" s="11"/>
      <c r="Y270" s="11"/>
      <c r="Z270" s="14">
        <f t="shared" si="2"/>
        <v>2</v>
      </c>
      <c r="AA270" s="15" t="s">
        <v>106</v>
      </c>
      <c r="AB270" s="14">
        <v>0.41408215862350073</v>
      </c>
    </row>
    <row r="271" ht="14.25" hidden="1" customHeight="1">
      <c r="A271" s="11" t="s">
        <v>977</v>
      </c>
      <c r="B271" s="11" t="s">
        <v>310</v>
      </c>
      <c r="C271" s="57" t="s">
        <v>978</v>
      </c>
      <c r="D271" s="11"/>
      <c r="E271" s="11"/>
      <c r="F271" s="11"/>
      <c r="G271" s="11" t="s">
        <v>38</v>
      </c>
      <c r="H271" s="11"/>
      <c r="I271" s="11"/>
      <c r="J271" s="11"/>
      <c r="K271" s="12" t="s">
        <v>89</v>
      </c>
      <c r="L271" s="11" t="s">
        <v>646</v>
      </c>
      <c r="M271" s="11">
        <f t="shared" si="1"/>
        <v>0</v>
      </c>
      <c r="N271" s="11"/>
      <c r="O271" s="11"/>
      <c r="P271" s="11"/>
      <c r="Q271" s="11"/>
      <c r="R271" s="11"/>
      <c r="S271" s="11"/>
      <c r="T271" s="11"/>
      <c r="U271" s="11"/>
      <c r="V271" s="18"/>
      <c r="W271" s="18">
        <v>1.0</v>
      </c>
      <c r="X271" s="11"/>
      <c r="Y271" s="11"/>
      <c r="Z271" s="14">
        <f t="shared" si="2"/>
        <v>1</v>
      </c>
      <c r="AA271" s="15" t="s">
        <v>91</v>
      </c>
    </row>
    <row r="272" ht="14.25" customHeight="1">
      <c r="A272" s="12" t="s">
        <v>881</v>
      </c>
      <c r="B272" s="12" t="s">
        <v>979</v>
      </c>
      <c r="C272" s="38" t="s">
        <v>883</v>
      </c>
      <c r="D272" s="11"/>
      <c r="E272" s="11"/>
      <c r="F272" s="27" t="s">
        <v>37</v>
      </c>
      <c r="G272" s="12" t="s">
        <v>48</v>
      </c>
      <c r="H272" s="28" t="s">
        <v>884</v>
      </c>
      <c r="I272" s="11"/>
      <c r="J272" s="12"/>
      <c r="K272" s="29" t="s">
        <v>50</v>
      </c>
      <c r="L272" s="12" t="s">
        <v>330</v>
      </c>
      <c r="M272" s="11">
        <f t="shared" si="1"/>
        <v>1</v>
      </c>
      <c r="N272" s="18"/>
      <c r="O272" s="11"/>
      <c r="P272" s="11"/>
      <c r="Q272" s="11"/>
      <c r="R272" s="11"/>
      <c r="S272" s="11"/>
      <c r="T272" s="11"/>
      <c r="U272" s="11"/>
      <c r="V272" s="12">
        <v>1.0</v>
      </c>
      <c r="W272" s="11"/>
      <c r="X272" s="11"/>
      <c r="Y272" s="11"/>
      <c r="Z272" s="14">
        <f t="shared" si="2"/>
        <v>1</v>
      </c>
      <c r="AA272" s="15" t="s">
        <v>52</v>
      </c>
      <c r="AB272" s="14">
        <v>0.4162799265683579</v>
      </c>
    </row>
    <row r="273" ht="14.25" customHeight="1">
      <c r="A273" s="11" t="s">
        <v>980</v>
      </c>
      <c r="B273" s="11" t="s">
        <v>981</v>
      </c>
      <c r="C273" s="37" t="s">
        <v>982</v>
      </c>
      <c r="D273" s="11"/>
      <c r="E273" s="11"/>
      <c r="F273" s="22" t="s">
        <v>95</v>
      </c>
      <c r="G273" s="11" t="s">
        <v>48</v>
      </c>
      <c r="H273" s="28" t="s">
        <v>696</v>
      </c>
      <c r="I273" s="11"/>
      <c r="J273" s="11"/>
      <c r="K273" s="29" t="s">
        <v>50</v>
      </c>
      <c r="L273" s="11"/>
      <c r="M273" s="11">
        <f t="shared" si="1"/>
        <v>1</v>
      </c>
      <c r="N273" s="11"/>
      <c r="O273" s="11"/>
      <c r="P273" s="11"/>
      <c r="Q273" s="11"/>
      <c r="R273" s="11"/>
      <c r="S273" s="11"/>
      <c r="T273" s="11"/>
      <c r="U273" s="11"/>
      <c r="V273" s="18"/>
      <c r="W273" s="18">
        <v>1.0</v>
      </c>
      <c r="X273" s="11"/>
      <c r="Y273" s="11"/>
      <c r="Z273" s="14">
        <f t="shared" si="2"/>
        <v>1</v>
      </c>
      <c r="AA273" s="15" t="s">
        <v>106</v>
      </c>
      <c r="AB273" s="14">
        <v>0.4190690848023675</v>
      </c>
    </row>
    <row r="274" ht="14.25" customHeight="1">
      <c r="A274" s="11" t="s">
        <v>983</v>
      </c>
      <c r="B274" s="11" t="s">
        <v>984</v>
      </c>
      <c r="C274" s="26" t="s">
        <v>985</v>
      </c>
      <c r="D274" s="11"/>
      <c r="E274" s="11"/>
      <c r="F274" s="27" t="s">
        <v>77</v>
      </c>
      <c r="G274" s="11" t="s">
        <v>986</v>
      </c>
      <c r="H274" s="28" t="s">
        <v>987</v>
      </c>
      <c r="I274" s="11"/>
      <c r="J274" s="11"/>
      <c r="K274" s="29" t="s">
        <v>50</v>
      </c>
      <c r="L274" s="12" t="s">
        <v>288</v>
      </c>
      <c r="M274" s="11">
        <f t="shared" si="1"/>
        <v>1</v>
      </c>
      <c r="N274" s="11"/>
      <c r="O274" s="11"/>
      <c r="P274" s="11"/>
      <c r="Q274" s="11"/>
      <c r="R274" s="11"/>
      <c r="S274" s="11"/>
      <c r="T274" s="11"/>
      <c r="U274" s="11"/>
      <c r="V274" s="18"/>
      <c r="W274" s="18">
        <v>1.0</v>
      </c>
      <c r="X274" s="11"/>
      <c r="Y274" s="11"/>
      <c r="Z274" s="14">
        <f t="shared" si="2"/>
        <v>1</v>
      </c>
      <c r="AA274" s="15" t="s">
        <v>52</v>
      </c>
      <c r="AB274" s="14">
        <v>0.41972981620878014</v>
      </c>
    </row>
    <row r="275" ht="14.25" customHeight="1">
      <c r="A275" s="11" t="s">
        <v>988</v>
      </c>
      <c r="B275" s="11" t="s">
        <v>989</v>
      </c>
      <c r="C275" s="37" t="s">
        <v>458</v>
      </c>
      <c r="D275" s="12" t="s">
        <v>990</v>
      </c>
      <c r="E275" s="12" t="s">
        <v>991</v>
      </c>
      <c r="F275" s="27" t="s">
        <v>77</v>
      </c>
      <c r="G275" s="11" t="s">
        <v>132</v>
      </c>
      <c r="H275" s="28" t="s">
        <v>244</v>
      </c>
      <c r="I275" s="11"/>
      <c r="J275" s="11"/>
      <c r="K275" s="29" t="s">
        <v>50</v>
      </c>
      <c r="L275" s="12" t="s">
        <v>51</v>
      </c>
      <c r="M275" s="11">
        <f t="shared" si="1"/>
        <v>1</v>
      </c>
      <c r="N275" s="18">
        <v>1.0</v>
      </c>
      <c r="O275" s="18">
        <v>1.0</v>
      </c>
      <c r="P275" s="11"/>
      <c r="Q275" s="11"/>
      <c r="R275" s="11"/>
      <c r="S275" s="11"/>
      <c r="T275" s="11"/>
      <c r="U275" s="11"/>
      <c r="V275" s="11"/>
      <c r="W275" s="11"/>
      <c r="X275" s="11"/>
      <c r="Y275" s="11"/>
      <c r="Z275" s="14">
        <f t="shared" si="2"/>
        <v>2</v>
      </c>
      <c r="AA275" s="15" t="s">
        <v>106</v>
      </c>
      <c r="AB275" s="14">
        <v>0.4279355570250093</v>
      </c>
    </row>
    <row r="276" ht="14.25" customHeight="1">
      <c r="A276" s="12" t="s">
        <v>992</v>
      </c>
      <c r="B276" s="12" t="s">
        <v>396</v>
      </c>
      <c r="C276" s="35" t="s">
        <v>993</v>
      </c>
      <c r="D276" s="11"/>
      <c r="E276" s="11"/>
      <c r="F276" s="22" t="s">
        <v>103</v>
      </c>
      <c r="G276" s="12" t="s">
        <v>38</v>
      </c>
      <c r="H276" s="28" t="s">
        <v>666</v>
      </c>
      <c r="I276" s="11"/>
      <c r="J276" s="12"/>
      <c r="K276" s="29" t="s">
        <v>50</v>
      </c>
      <c r="L276" s="12" t="s">
        <v>51</v>
      </c>
      <c r="M276" s="11">
        <f t="shared" si="1"/>
        <v>1</v>
      </c>
      <c r="N276" s="11"/>
      <c r="O276" s="11"/>
      <c r="P276" s="11"/>
      <c r="Q276" s="11"/>
      <c r="R276" s="11"/>
      <c r="S276" s="11"/>
      <c r="T276" s="11"/>
      <c r="U276" s="11"/>
      <c r="V276" s="31">
        <v>1.0</v>
      </c>
      <c r="W276" s="18"/>
      <c r="X276" s="11"/>
      <c r="Y276" s="11"/>
      <c r="Z276" s="14">
        <f t="shared" si="2"/>
        <v>1</v>
      </c>
      <c r="AA276" s="15" t="s">
        <v>52</v>
      </c>
      <c r="AB276" s="14">
        <v>0.4320688752889479</v>
      </c>
      <c r="AD276" s="71" t="s">
        <v>994</v>
      </c>
    </row>
    <row r="277" ht="14.25" customHeight="1">
      <c r="A277" s="19" t="s">
        <v>995</v>
      </c>
      <c r="B277" s="32" t="s">
        <v>996</v>
      </c>
      <c r="C277" s="33" t="s">
        <v>997</v>
      </c>
      <c r="D277" s="21"/>
      <c r="E277" s="21"/>
      <c r="F277" s="27" t="s">
        <v>56</v>
      </c>
      <c r="G277" s="19" t="s">
        <v>83</v>
      </c>
      <c r="H277" s="23" t="s">
        <v>998</v>
      </c>
      <c r="I277" s="21"/>
      <c r="J277" s="21"/>
      <c r="K277" s="25" t="s">
        <v>58</v>
      </c>
      <c r="L277" s="24" t="s">
        <v>51</v>
      </c>
      <c r="M277" s="11">
        <f t="shared" si="1"/>
        <v>1</v>
      </c>
      <c r="N277" s="21"/>
      <c r="O277" s="21"/>
      <c r="P277" s="21"/>
      <c r="Q277" s="21"/>
      <c r="R277" s="21"/>
      <c r="S277" s="21"/>
      <c r="T277" s="21"/>
      <c r="U277" s="21"/>
      <c r="V277" s="21"/>
      <c r="W277" s="24">
        <v>1.0</v>
      </c>
      <c r="X277" s="21"/>
      <c r="Y277" s="21"/>
      <c r="Z277" s="14">
        <f t="shared" si="2"/>
        <v>1</v>
      </c>
      <c r="AA277" s="15" t="s">
        <v>33</v>
      </c>
      <c r="AB277" s="14">
        <v>0.4325211227317204</v>
      </c>
    </row>
    <row r="278" ht="14.25" hidden="1" customHeight="1">
      <c r="A278" s="19" t="s">
        <v>999</v>
      </c>
      <c r="B278" s="19" t="s">
        <v>310</v>
      </c>
      <c r="C278" s="52" t="s">
        <v>1000</v>
      </c>
      <c r="D278" s="21"/>
      <c r="E278" s="21"/>
      <c r="F278" s="21"/>
      <c r="G278" s="19" t="s">
        <v>83</v>
      </c>
      <c r="H278" s="21"/>
      <c r="I278" s="21"/>
      <c r="J278" s="24"/>
      <c r="K278" s="24" t="s">
        <v>89</v>
      </c>
      <c r="L278" s="24" t="s">
        <v>598</v>
      </c>
      <c r="M278" s="11">
        <f t="shared" si="1"/>
        <v>0</v>
      </c>
      <c r="N278" s="21"/>
      <c r="O278" s="21"/>
      <c r="P278" s="21"/>
      <c r="Q278" s="21"/>
      <c r="R278" s="21"/>
      <c r="S278" s="21"/>
      <c r="T278" s="21"/>
      <c r="U278" s="21"/>
      <c r="V278" s="21"/>
      <c r="W278" s="24">
        <v>1.0</v>
      </c>
      <c r="X278" s="21"/>
      <c r="Y278" s="21"/>
      <c r="Z278" s="14">
        <f t="shared" si="2"/>
        <v>1</v>
      </c>
      <c r="AA278" s="15" t="s">
        <v>91</v>
      </c>
    </row>
    <row r="279" ht="14.25" customHeight="1">
      <c r="A279" s="24" t="s">
        <v>1001</v>
      </c>
      <c r="B279" s="24" t="s">
        <v>1002</v>
      </c>
      <c r="C279" s="63" t="s">
        <v>1003</v>
      </c>
      <c r="D279" s="45"/>
      <c r="E279" s="45"/>
      <c r="F279" s="27" t="s">
        <v>37</v>
      </c>
      <c r="G279" s="24" t="s">
        <v>38</v>
      </c>
      <c r="H279" s="23" t="s">
        <v>1004</v>
      </c>
      <c r="I279" s="45"/>
      <c r="J279" s="24"/>
      <c r="K279" s="25" t="s">
        <v>50</v>
      </c>
      <c r="L279" s="24" t="s">
        <v>448</v>
      </c>
      <c r="M279" s="11">
        <f t="shared" si="1"/>
        <v>1</v>
      </c>
      <c r="N279" s="45"/>
      <c r="O279" s="45"/>
      <c r="P279" s="45"/>
      <c r="Q279" s="45"/>
      <c r="R279" s="45"/>
      <c r="S279" s="45"/>
      <c r="T279" s="45"/>
      <c r="U279" s="45"/>
      <c r="V279" s="24">
        <v>1.0</v>
      </c>
      <c r="W279" s="45"/>
      <c r="X279" s="45"/>
      <c r="Y279" s="45"/>
      <c r="Z279" s="14">
        <f t="shared" si="2"/>
        <v>1</v>
      </c>
      <c r="AA279" s="15" t="s">
        <v>52</v>
      </c>
      <c r="AB279" s="14">
        <v>0.4330185295658263</v>
      </c>
    </row>
    <row r="280" ht="14.25" hidden="1" customHeight="1">
      <c r="A280" s="19" t="s">
        <v>1005</v>
      </c>
      <c r="B280" s="19" t="s">
        <v>310</v>
      </c>
      <c r="C280" s="52" t="s">
        <v>1006</v>
      </c>
      <c r="D280" s="21"/>
      <c r="E280" s="21"/>
      <c r="F280" s="21"/>
      <c r="G280" s="19" t="s">
        <v>83</v>
      </c>
      <c r="H280" s="21"/>
      <c r="I280" s="21"/>
      <c r="J280" s="24"/>
      <c r="K280" s="24" t="s">
        <v>89</v>
      </c>
      <c r="L280" s="24" t="s">
        <v>1007</v>
      </c>
      <c r="M280" s="11">
        <f t="shared" si="1"/>
        <v>0</v>
      </c>
      <c r="N280" s="21"/>
      <c r="O280" s="21"/>
      <c r="P280" s="21"/>
      <c r="Q280" s="21"/>
      <c r="R280" s="21"/>
      <c r="S280" s="21"/>
      <c r="T280" s="21"/>
      <c r="U280" s="21"/>
      <c r="V280" s="21"/>
      <c r="W280" s="24">
        <v>1.0</v>
      </c>
      <c r="X280" s="21"/>
      <c r="Y280" s="21"/>
      <c r="Z280" s="14">
        <f t="shared" si="2"/>
        <v>1</v>
      </c>
      <c r="AA280" s="15" t="s">
        <v>91</v>
      </c>
    </row>
    <row r="281" ht="14.25" customHeight="1">
      <c r="A281" s="12" t="s">
        <v>1008</v>
      </c>
      <c r="B281" s="11" t="s">
        <v>169</v>
      </c>
      <c r="C281" s="38" t="s">
        <v>1009</v>
      </c>
      <c r="D281" s="11"/>
      <c r="E281" s="11"/>
      <c r="F281" s="27" t="s">
        <v>171</v>
      </c>
      <c r="G281" s="12" t="s">
        <v>48</v>
      </c>
      <c r="H281" s="28" t="s">
        <v>1010</v>
      </c>
      <c r="I281" s="11"/>
      <c r="J281" s="12"/>
      <c r="K281" s="29" t="s">
        <v>50</v>
      </c>
      <c r="L281" s="12" t="s">
        <v>51</v>
      </c>
      <c r="M281" s="11">
        <f t="shared" si="1"/>
        <v>1</v>
      </c>
      <c r="N281" s="11"/>
      <c r="O281" s="11"/>
      <c r="P281" s="11"/>
      <c r="Q281" s="11"/>
      <c r="R281" s="11"/>
      <c r="S281" s="11"/>
      <c r="T281" s="12"/>
      <c r="U281" s="12"/>
      <c r="V281" s="11"/>
      <c r="W281" s="11"/>
      <c r="X281" s="11"/>
      <c r="Y281" s="11"/>
      <c r="AA281" s="15" t="s">
        <v>91</v>
      </c>
      <c r="AB281" s="14">
        <v>0.433083335736825</v>
      </c>
    </row>
    <row r="282" ht="14.25" customHeight="1">
      <c r="A282" s="11" t="s">
        <v>1011</v>
      </c>
      <c r="B282" s="11" t="s">
        <v>1012</v>
      </c>
      <c r="C282" s="37" t="s">
        <v>1013</v>
      </c>
      <c r="D282" s="11"/>
      <c r="E282" s="11"/>
      <c r="F282" s="27" t="s">
        <v>140</v>
      </c>
      <c r="G282" s="11" t="s">
        <v>48</v>
      </c>
      <c r="H282" s="28" t="s">
        <v>1014</v>
      </c>
      <c r="I282" s="11"/>
      <c r="J282" s="11"/>
      <c r="K282" s="29" t="s">
        <v>50</v>
      </c>
      <c r="L282" s="12" t="s">
        <v>111</v>
      </c>
      <c r="M282" s="11">
        <f t="shared" si="1"/>
        <v>1</v>
      </c>
      <c r="N282" s="18">
        <v>1.0</v>
      </c>
      <c r="O282" s="11"/>
      <c r="P282" s="11"/>
      <c r="Q282" s="11"/>
      <c r="R282" s="11"/>
      <c r="S282" s="11"/>
      <c r="T282" s="11"/>
      <c r="U282" s="11"/>
      <c r="V282" s="12">
        <v>1.0</v>
      </c>
      <c r="W282" s="11"/>
      <c r="X282" s="11"/>
      <c r="Y282" s="11"/>
      <c r="Z282" s="14">
        <f t="shared" ref="Z282:Z731" si="3">SUM(N282:Y282)</f>
        <v>2</v>
      </c>
      <c r="AA282" s="15" t="s">
        <v>106</v>
      </c>
      <c r="AB282" s="14">
        <v>0.4338774334898531</v>
      </c>
    </row>
    <row r="283" ht="14.25" customHeight="1">
      <c r="A283" s="19" t="s">
        <v>1015</v>
      </c>
      <c r="B283" s="19" t="s">
        <v>939</v>
      </c>
      <c r="C283" s="20" t="s">
        <v>1016</v>
      </c>
      <c r="D283" s="21"/>
      <c r="E283" s="21"/>
      <c r="F283" s="27" t="s">
        <v>140</v>
      </c>
      <c r="G283" s="19" t="s">
        <v>83</v>
      </c>
      <c r="H283" s="23" t="s">
        <v>49</v>
      </c>
      <c r="I283" s="21"/>
      <c r="J283" s="21"/>
      <c r="K283" s="25" t="s">
        <v>50</v>
      </c>
      <c r="L283" s="24" t="s">
        <v>152</v>
      </c>
      <c r="M283" s="11">
        <f t="shared" si="1"/>
        <v>1</v>
      </c>
      <c r="N283" s="21"/>
      <c r="O283" s="21"/>
      <c r="P283" s="21"/>
      <c r="Q283" s="21"/>
      <c r="R283" s="21"/>
      <c r="S283" s="21"/>
      <c r="T283" s="21"/>
      <c r="U283" s="21"/>
      <c r="V283" s="21"/>
      <c r="W283" s="24">
        <v>1.0</v>
      </c>
      <c r="X283" s="21"/>
      <c r="Y283" s="21"/>
      <c r="Z283" s="14">
        <f t="shared" si="3"/>
        <v>1</v>
      </c>
      <c r="AA283" s="15" t="s">
        <v>91</v>
      </c>
      <c r="AB283" s="14">
        <v>0.4364131349044985</v>
      </c>
    </row>
    <row r="284" ht="14.25" customHeight="1">
      <c r="A284" s="19" t="s">
        <v>1017</v>
      </c>
      <c r="B284" s="19" t="s">
        <v>310</v>
      </c>
      <c r="C284" s="33" t="s">
        <v>1018</v>
      </c>
      <c r="D284" s="21"/>
      <c r="E284" s="21"/>
      <c r="F284" s="27" t="s">
        <v>56</v>
      </c>
      <c r="G284" s="19" t="s">
        <v>83</v>
      </c>
      <c r="H284" s="23" t="s">
        <v>163</v>
      </c>
      <c r="I284" s="21"/>
      <c r="J284" s="24"/>
      <c r="K284" s="25" t="s">
        <v>50</v>
      </c>
      <c r="L284" s="24" t="s">
        <v>366</v>
      </c>
      <c r="M284" s="11">
        <f t="shared" si="1"/>
        <v>1</v>
      </c>
      <c r="N284" s="21"/>
      <c r="O284" s="21"/>
      <c r="P284" s="21"/>
      <c r="Q284" s="21"/>
      <c r="R284" s="21"/>
      <c r="S284" s="21"/>
      <c r="T284" s="21"/>
      <c r="U284" s="21"/>
      <c r="V284" s="21"/>
      <c r="W284" s="24">
        <v>1.0</v>
      </c>
      <c r="X284" s="21"/>
      <c r="Y284" s="21"/>
      <c r="Z284" s="14">
        <f t="shared" si="3"/>
        <v>1</v>
      </c>
      <c r="AA284" s="15" t="s">
        <v>91</v>
      </c>
      <c r="AB284" s="14">
        <v>0.43814431710677815</v>
      </c>
    </row>
    <row r="285" ht="14.25" hidden="1" customHeight="1">
      <c r="A285" s="19" t="s">
        <v>1019</v>
      </c>
      <c r="B285" s="19" t="s">
        <v>310</v>
      </c>
      <c r="C285" s="52" t="s">
        <v>1020</v>
      </c>
      <c r="D285" s="21"/>
      <c r="E285" s="21"/>
      <c r="F285" s="21"/>
      <c r="G285" s="19" t="s">
        <v>83</v>
      </c>
      <c r="H285" s="21"/>
      <c r="I285" s="21"/>
      <c r="J285" s="21"/>
      <c r="K285" s="24" t="s">
        <v>31</v>
      </c>
      <c r="L285" s="24" t="s">
        <v>252</v>
      </c>
      <c r="M285" s="11">
        <f t="shared" si="1"/>
        <v>0</v>
      </c>
      <c r="N285" s="21"/>
      <c r="O285" s="21"/>
      <c r="P285" s="21"/>
      <c r="Q285" s="21"/>
      <c r="R285" s="21"/>
      <c r="S285" s="21"/>
      <c r="T285" s="21"/>
      <c r="U285" s="21"/>
      <c r="V285" s="21"/>
      <c r="W285" s="24">
        <v>1.0</v>
      </c>
      <c r="X285" s="21"/>
      <c r="Y285" s="21"/>
      <c r="Z285" s="14">
        <f t="shared" si="3"/>
        <v>1</v>
      </c>
      <c r="AA285" s="15" t="s">
        <v>33</v>
      </c>
    </row>
    <row r="286" ht="14.25" hidden="1" customHeight="1">
      <c r="A286" s="11" t="s">
        <v>1021</v>
      </c>
      <c r="B286" s="11" t="s">
        <v>310</v>
      </c>
      <c r="C286" s="42" t="s">
        <v>1022</v>
      </c>
      <c r="D286" s="11"/>
      <c r="E286" s="11"/>
      <c r="F286" s="11"/>
      <c r="G286" s="11" t="s">
        <v>38</v>
      </c>
      <c r="H286" s="11"/>
      <c r="I286" s="11"/>
      <c r="J286" s="11"/>
      <c r="K286" s="11" t="s">
        <v>31</v>
      </c>
      <c r="L286" s="12" t="s">
        <v>589</v>
      </c>
      <c r="M286" s="11">
        <f t="shared" si="1"/>
        <v>0</v>
      </c>
      <c r="N286" s="11"/>
      <c r="O286" s="11"/>
      <c r="P286" s="11"/>
      <c r="Q286" s="11"/>
      <c r="R286" s="11"/>
      <c r="S286" s="11"/>
      <c r="T286" s="11"/>
      <c r="U286" s="11"/>
      <c r="V286" s="18"/>
      <c r="W286" s="18">
        <v>1.0</v>
      </c>
      <c r="X286" s="11"/>
      <c r="Y286" s="11"/>
      <c r="Z286" s="14">
        <f t="shared" si="3"/>
        <v>1</v>
      </c>
      <c r="AA286" s="15" t="s">
        <v>91</v>
      </c>
    </row>
    <row r="287" ht="14.25" customHeight="1">
      <c r="A287" s="19" t="s">
        <v>1023</v>
      </c>
      <c r="B287" s="19" t="s">
        <v>310</v>
      </c>
      <c r="C287" s="33" t="s">
        <v>1024</v>
      </c>
      <c r="D287" s="21"/>
      <c r="E287" s="21"/>
      <c r="F287" s="27" t="s">
        <v>56</v>
      </c>
      <c r="G287" s="19" t="s">
        <v>83</v>
      </c>
      <c r="H287" s="23" t="s">
        <v>1025</v>
      </c>
      <c r="I287" s="21"/>
      <c r="J287" s="21"/>
      <c r="K287" s="25" t="s">
        <v>58</v>
      </c>
      <c r="L287" s="24" t="s">
        <v>85</v>
      </c>
      <c r="M287" s="11">
        <f t="shared" si="1"/>
        <v>1</v>
      </c>
      <c r="N287" s="21"/>
      <c r="O287" s="21"/>
      <c r="P287" s="21"/>
      <c r="Q287" s="21"/>
      <c r="R287" s="21"/>
      <c r="S287" s="21"/>
      <c r="T287" s="21"/>
      <c r="U287" s="21"/>
      <c r="V287" s="21"/>
      <c r="W287" s="24">
        <v>1.0</v>
      </c>
      <c r="X287" s="21"/>
      <c r="Y287" s="21"/>
      <c r="Z287" s="14">
        <f t="shared" si="3"/>
        <v>1</v>
      </c>
      <c r="AA287" s="15" t="s">
        <v>33</v>
      </c>
      <c r="AB287" s="14">
        <v>0.44136038146811407</v>
      </c>
    </row>
    <row r="288" ht="14.25" customHeight="1">
      <c r="A288" s="12" t="s">
        <v>1026</v>
      </c>
      <c r="B288" s="12" t="s">
        <v>1027</v>
      </c>
      <c r="C288" s="38" t="s">
        <v>1028</v>
      </c>
      <c r="D288" s="11"/>
      <c r="E288" s="11"/>
      <c r="F288" s="27" t="s">
        <v>77</v>
      </c>
      <c r="G288" s="12" t="s">
        <v>158</v>
      </c>
      <c r="H288" s="28" t="s">
        <v>1029</v>
      </c>
      <c r="I288" s="11"/>
      <c r="J288" s="12"/>
      <c r="K288" s="29" t="s">
        <v>50</v>
      </c>
      <c r="L288" s="12" t="s">
        <v>235</v>
      </c>
      <c r="M288" s="11">
        <f t="shared" si="1"/>
        <v>1</v>
      </c>
      <c r="N288" s="18"/>
      <c r="O288" s="11"/>
      <c r="P288" s="11"/>
      <c r="Q288" s="11"/>
      <c r="R288" s="11"/>
      <c r="S288" s="12">
        <v>1.0</v>
      </c>
      <c r="T288" s="12"/>
      <c r="U288" s="12"/>
      <c r="V288" s="12"/>
      <c r="W288" s="11"/>
      <c r="X288" s="11"/>
      <c r="Y288" s="11"/>
      <c r="Z288" s="14">
        <f t="shared" si="3"/>
        <v>1</v>
      </c>
      <c r="AA288" s="15" t="s">
        <v>52</v>
      </c>
      <c r="AB288" s="14">
        <v>0.44172637842037443</v>
      </c>
    </row>
    <row r="289" ht="14.25" customHeight="1">
      <c r="A289" s="19" t="s">
        <v>1030</v>
      </c>
      <c r="B289" s="19" t="s">
        <v>272</v>
      </c>
      <c r="C289" s="35" t="s">
        <v>1031</v>
      </c>
      <c r="D289" s="21"/>
      <c r="E289" s="21"/>
      <c r="F289" s="27" t="s">
        <v>56</v>
      </c>
      <c r="G289" s="19" t="s">
        <v>83</v>
      </c>
      <c r="H289" s="23" t="s">
        <v>104</v>
      </c>
      <c r="I289" s="21"/>
      <c r="J289" s="24"/>
      <c r="K289" s="25" t="s">
        <v>50</v>
      </c>
      <c r="L289" s="24" t="s">
        <v>51</v>
      </c>
      <c r="M289" s="11">
        <f t="shared" si="1"/>
        <v>1</v>
      </c>
      <c r="N289" s="21"/>
      <c r="O289" s="21"/>
      <c r="P289" s="21"/>
      <c r="Q289" s="21"/>
      <c r="R289" s="21"/>
      <c r="S289" s="21"/>
      <c r="T289" s="21"/>
      <c r="U289" s="21"/>
      <c r="V289" s="21"/>
      <c r="W289" s="24">
        <v>1.0</v>
      </c>
      <c r="X289" s="21"/>
      <c r="Y289" s="21"/>
      <c r="Z289" s="14">
        <f t="shared" si="3"/>
        <v>1</v>
      </c>
      <c r="AA289" s="15" t="s">
        <v>91</v>
      </c>
      <c r="AB289" s="14">
        <v>0.445156065843308</v>
      </c>
    </row>
    <row r="290" ht="14.25" customHeight="1">
      <c r="A290" s="19" t="s">
        <v>1032</v>
      </c>
      <c r="B290" s="19" t="s">
        <v>701</v>
      </c>
      <c r="C290" s="20" t="s">
        <v>1033</v>
      </c>
      <c r="D290" s="21"/>
      <c r="E290" s="21"/>
      <c r="F290" s="22" t="s">
        <v>77</v>
      </c>
      <c r="G290" s="19" t="s">
        <v>78</v>
      </c>
      <c r="H290" s="23" t="s">
        <v>1034</v>
      </c>
      <c r="I290" s="21"/>
      <c r="J290" s="24"/>
      <c r="K290" s="25" t="s">
        <v>50</v>
      </c>
      <c r="L290" s="24" t="s">
        <v>51</v>
      </c>
      <c r="M290" s="11">
        <f t="shared" si="1"/>
        <v>1</v>
      </c>
      <c r="N290" s="21"/>
      <c r="O290" s="21"/>
      <c r="P290" s="21"/>
      <c r="Q290" s="21"/>
      <c r="R290" s="21"/>
      <c r="S290" s="21"/>
      <c r="T290" s="21"/>
      <c r="U290" s="21"/>
      <c r="V290" s="21"/>
      <c r="W290" s="24">
        <v>1.0</v>
      </c>
      <c r="X290" s="21"/>
      <c r="Y290" s="21"/>
      <c r="Z290" s="14">
        <f t="shared" si="3"/>
        <v>1</v>
      </c>
      <c r="AA290" s="15" t="s">
        <v>106</v>
      </c>
      <c r="AB290" s="14">
        <v>0.44735845779025063</v>
      </c>
    </row>
    <row r="291" ht="14.25" customHeight="1">
      <c r="A291" s="11" t="s">
        <v>1035</v>
      </c>
      <c r="B291" s="11" t="s">
        <v>942</v>
      </c>
      <c r="C291" s="26" t="s">
        <v>1036</v>
      </c>
      <c r="D291" s="11"/>
      <c r="E291" s="11"/>
      <c r="F291" s="27" t="s">
        <v>103</v>
      </c>
      <c r="G291" s="19" t="s">
        <v>83</v>
      </c>
      <c r="H291" s="28" t="s">
        <v>696</v>
      </c>
      <c r="I291" s="11"/>
      <c r="J291" s="11"/>
      <c r="K291" s="29" t="s">
        <v>50</v>
      </c>
      <c r="L291" s="11"/>
      <c r="M291" s="11">
        <f t="shared" si="1"/>
        <v>1</v>
      </c>
      <c r="N291" s="11"/>
      <c r="O291" s="11"/>
      <c r="P291" s="11"/>
      <c r="Q291" s="11"/>
      <c r="R291" s="11"/>
      <c r="S291" s="11"/>
      <c r="T291" s="11"/>
      <c r="U291" s="11"/>
      <c r="V291" s="18"/>
      <c r="W291" s="18">
        <v>1.0</v>
      </c>
      <c r="X291" s="11"/>
      <c r="Y291" s="11"/>
      <c r="Z291" s="14">
        <f t="shared" si="3"/>
        <v>1</v>
      </c>
      <c r="AA291" s="15" t="s">
        <v>106</v>
      </c>
      <c r="AB291" s="14">
        <v>0.4476312323903763</v>
      </c>
    </row>
    <row r="292" ht="14.25" customHeight="1">
      <c r="A292" s="12" t="s">
        <v>1037</v>
      </c>
      <c r="B292" s="12" t="s">
        <v>1038</v>
      </c>
      <c r="C292" s="35" t="s">
        <v>1039</v>
      </c>
      <c r="D292" s="11"/>
      <c r="E292" s="11"/>
      <c r="F292" s="27" t="s">
        <v>351</v>
      </c>
      <c r="G292" s="12" t="s">
        <v>1040</v>
      </c>
      <c r="H292" s="28" t="s">
        <v>1041</v>
      </c>
      <c r="I292" s="11"/>
      <c r="J292" s="12"/>
      <c r="K292" s="29" t="s">
        <v>50</v>
      </c>
      <c r="L292" s="12" t="s">
        <v>65</v>
      </c>
      <c r="M292" s="11">
        <f t="shared" si="1"/>
        <v>1</v>
      </c>
      <c r="N292" s="11"/>
      <c r="O292" s="11"/>
      <c r="P292" s="11"/>
      <c r="Q292" s="11"/>
      <c r="R292" s="11"/>
      <c r="S292" s="11"/>
      <c r="T292" s="11"/>
      <c r="U292" s="11"/>
      <c r="V292" s="31">
        <v>1.0</v>
      </c>
      <c r="W292" s="31">
        <v>1.0</v>
      </c>
      <c r="X292" s="11"/>
      <c r="Y292" s="11"/>
      <c r="Z292" s="14">
        <f t="shared" si="3"/>
        <v>2</v>
      </c>
      <c r="AA292" s="15" t="s">
        <v>106</v>
      </c>
      <c r="AB292" s="14">
        <v>0.4492847873907736</v>
      </c>
    </row>
    <row r="293" ht="14.25" customHeight="1">
      <c r="A293" s="11" t="s">
        <v>1042</v>
      </c>
      <c r="B293" s="11" t="s">
        <v>530</v>
      </c>
      <c r="C293" s="26" t="s">
        <v>1043</v>
      </c>
      <c r="D293" s="11"/>
      <c r="E293" s="11"/>
      <c r="F293" s="27" t="s">
        <v>103</v>
      </c>
      <c r="G293" s="19" t="s">
        <v>83</v>
      </c>
      <c r="H293" s="28" t="s">
        <v>1044</v>
      </c>
      <c r="I293" s="11"/>
      <c r="J293" s="11"/>
      <c r="K293" s="29" t="s">
        <v>50</v>
      </c>
      <c r="L293" s="12" t="s">
        <v>105</v>
      </c>
      <c r="M293" s="11">
        <f t="shared" si="1"/>
        <v>1</v>
      </c>
      <c r="N293" s="11"/>
      <c r="O293" s="11"/>
      <c r="P293" s="11"/>
      <c r="Q293" s="11"/>
      <c r="R293" s="11"/>
      <c r="S293" s="11"/>
      <c r="T293" s="11"/>
      <c r="U293" s="11"/>
      <c r="V293" s="18"/>
      <c r="W293" s="18">
        <v>1.0</v>
      </c>
      <c r="X293" s="11"/>
      <c r="Y293" s="11"/>
      <c r="Z293" s="14">
        <f t="shared" si="3"/>
        <v>1</v>
      </c>
      <c r="AA293" s="15" t="s">
        <v>106</v>
      </c>
      <c r="AB293" s="14">
        <v>0.4495044609974925</v>
      </c>
    </row>
    <row r="294" ht="14.25" hidden="1" customHeight="1">
      <c r="A294" s="12" t="s">
        <v>1045</v>
      </c>
      <c r="B294" s="11" t="s">
        <v>310</v>
      </c>
      <c r="C294" s="42" t="s">
        <v>1046</v>
      </c>
      <c r="D294" s="11"/>
      <c r="E294" s="11"/>
      <c r="F294" s="11"/>
      <c r="G294" s="11" t="s">
        <v>38</v>
      </c>
      <c r="H294" s="11"/>
      <c r="I294" s="11"/>
      <c r="J294" s="11"/>
      <c r="K294" s="12" t="s">
        <v>89</v>
      </c>
      <c r="L294" s="12" t="s">
        <v>468</v>
      </c>
      <c r="M294" s="11">
        <f t="shared" si="1"/>
        <v>0</v>
      </c>
      <c r="N294" s="11"/>
      <c r="O294" s="11"/>
      <c r="P294" s="11"/>
      <c r="Q294" s="11"/>
      <c r="R294" s="11"/>
      <c r="S294" s="11"/>
      <c r="T294" s="11"/>
      <c r="U294" s="11"/>
      <c r="V294" s="18"/>
      <c r="W294" s="18">
        <v>1.0</v>
      </c>
      <c r="X294" s="11"/>
      <c r="Y294" s="11"/>
      <c r="Z294" s="14">
        <f t="shared" si="3"/>
        <v>1</v>
      </c>
      <c r="AA294" s="15" t="s">
        <v>91</v>
      </c>
    </row>
    <row r="295" ht="14.25" hidden="1" customHeight="1">
      <c r="A295" s="11" t="s">
        <v>1047</v>
      </c>
      <c r="B295" s="11" t="s">
        <v>310</v>
      </c>
      <c r="C295" s="42" t="s">
        <v>1048</v>
      </c>
      <c r="D295" s="11"/>
      <c r="E295" s="11"/>
      <c r="F295" s="11"/>
      <c r="G295" s="11" t="s">
        <v>38</v>
      </c>
      <c r="H295" s="11"/>
      <c r="I295" s="11"/>
      <c r="J295" s="11"/>
      <c r="K295" s="12" t="s">
        <v>89</v>
      </c>
      <c r="L295" s="12" t="s">
        <v>252</v>
      </c>
      <c r="M295" s="11">
        <f t="shared" si="1"/>
        <v>0</v>
      </c>
      <c r="N295" s="11"/>
      <c r="O295" s="11"/>
      <c r="P295" s="11"/>
      <c r="Q295" s="11"/>
      <c r="R295" s="11"/>
      <c r="S295" s="11"/>
      <c r="T295" s="11"/>
      <c r="U295" s="11"/>
      <c r="V295" s="18"/>
      <c r="W295" s="18">
        <v>1.0</v>
      </c>
      <c r="X295" s="11"/>
      <c r="Y295" s="11"/>
      <c r="Z295" s="14">
        <f t="shared" si="3"/>
        <v>1</v>
      </c>
      <c r="AA295" s="15" t="s">
        <v>106</v>
      </c>
    </row>
    <row r="296" ht="14.25" customHeight="1">
      <c r="A296" s="19" t="s">
        <v>1049</v>
      </c>
      <c r="B296" s="19" t="s">
        <v>227</v>
      </c>
      <c r="C296" s="35" t="s">
        <v>1050</v>
      </c>
      <c r="D296" s="21"/>
      <c r="E296" s="21"/>
      <c r="F296" s="27" t="s">
        <v>103</v>
      </c>
      <c r="G296" s="19" t="s">
        <v>83</v>
      </c>
      <c r="H296" s="23" t="s">
        <v>1051</v>
      </c>
      <c r="I296" s="21"/>
      <c r="J296" s="21"/>
      <c r="K296" s="25" t="s">
        <v>50</v>
      </c>
      <c r="L296" s="24" t="s">
        <v>235</v>
      </c>
      <c r="M296" s="11">
        <f t="shared" si="1"/>
        <v>1</v>
      </c>
      <c r="N296" s="21"/>
      <c r="O296" s="21"/>
      <c r="P296" s="21"/>
      <c r="Q296" s="21"/>
      <c r="R296" s="21"/>
      <c r="S296" s="21"/>
      <c r="T296" s="21"/>
      <c r="U296" s="21"/>
      <c r="V296" s="21"/>
      <c r="W296" s="24">
        <v>1.0</v>
      </c>
      <c r="X296" s="21"/>
      <c r="Y296" s="21"/>
      <c r="Z296" s="14">
        <f t="shared" si="3"/>
        <v>1</v>
      </c>
      <c r="AA296" s="15" t="s">
        <v>91</v>
      </c>
      <c r="AB296" s="14">
        <v>0.4496828738901687</v>
      </c>
    </row>
    <row r="297" ht="14.25" customHeight="1">
      <c r="A297" s="32" t="s">
        <v>1052</v>
      </c>
      <c r="B297" s="32" t="s">
        <v>1053</v>
      </c>
      <c r="C297" s="54" t="s">
        <v>1054</v>
      </c>
      <c r="D297" s="21"/>
      <c r="E297" s="21"/>
      <c r="F297" s="22" t="s">
        <v>62</v>
      </c>
      <c r="G297" s="19" t="s">
        <v>48</v>
      </c>
      <c r="H297" s="28" t="s">
        <v>1055</v>
      </c>
      <c r="I297" s="21"/>
      <c r="J297" s="24"/>
      <c r="K297" s="25" t="s">
        <v>50</v>
      </c>
      <c r="L297" s="24" t="s">
        <v>65</v>
      </c>
      <c r="M297" s="11">
        <f t="shared" si="1"/>
        <v>1</v>
      </c>
      <c r="N297" s="21"/>
      <c r="O297" s="21"/>
      <c r="P297" s="21"/>
      <c r="Q297" s="21"/>
      <c r="R297" s="21"/>
      <c r="S297" s="21"/>
      <c r="T297" s="21"/>
      <c r="U297" s="21"/>
      <c r="V297" s="21"/>
      <c r="W297" s="24">
        <v>1.0</v>
      </c>
      <c r="X297" s="21"/>
      <c r="Y297" s="21"/>
      <c r="Z297" s="14">
        <f t="shared" si="3"/>
        <v>1</v>
      </c>
      <c r="AA297" s="15" t="s">
        <v>1056</v>
      </c>
      <c r="AB297" s="14">
        <v>0.4501336209590794</v>
      </c>
    </row>
    <row r="298" ht="14.25" customHeight="1">
      <c r="A298" s="11" t="s">
        <v>1057</v>
      </c>
      <c r="B298" s="11" t="s">
        <v>1058</v>
      </c>
      <c r="C298" s="26" t="s">
        <v>1059</v>
      </c>
      <c r="D298" s="11"/>
      <c r="E298" s="11"/>
      <c r="F298" s="27" t="s">
        <v>77</v>
      </c>
      <c r="G298" s="11" t="s">
        <v>158</v>
      </c>
      <c r="H298" s="28" t="s">
        <v>965</v>
      </c>
      <c r="I298" s="11"/>
      <c r="J298" s="11"/>
      <c r="K298" s="29" t="s">
        <v>50</v>
      </c>
      <c r="L298" s="12" t="s">
        <v>51</v>
      </c>
      <c r="M298" s="11">
        <f t="shared" si="1"/>
        <v>1</v>
      </c>
      <c r="N298" s="11"/>
      <c r="O298" s="11"/>
      <c r="P298" s="11"/>
      <c r="Q298" s="11"/>
      <c r="R298" s="11"/>
      <c r="S298" s="12">
        <v>1.0</v>
      </c>
      <c r="T298" s="12"/>
      <c r="U298" s="12"/>
      <c r="V298" s="31">
        <v>1.0</v>
      </c>
      <c r="W298" s="18">
        <v>1.0</v>
      </c>
      <c r="X298" s="11"/>
      <c r="Y298" s="11"/>
      <c r="Z298" s="14">
        <f t="shared" si="3"/>
        <v>3</v>
      </c>
      <c r="AA298" s="15" t="s">
        <v>52</v>
      </c>
      <c r="AB298" s="14">
        <v>0.4528719878023275</v>
      </c>
    </row>
    <row r="299" ht="14.25" customHeight="1">
      <c r="A299" s="19" t="s">
        <v>1060</v>
      </c>
      <c r="B299" s="19" t="s">
        <v>1061</v>
      </c>
      <c r="C299" s="35" t="s">
        <v>1062</v>
      </c>
      <c r="D299" s="21"/>
      <c r="E299" s="21"/>
      <c r="F299" s="27" t="s">
        <v>103</v>
      </c>
      <c r="G299" s="19" t="s">
        <v>83</v>
      </c>
      <c r="H299" s="23" t="s">
        <v>1063</v>
      </c>
      <c r="I299" s="21"/>
      <c r="J299" s="21"/>
      <c r="K299" s="25" t="s">
        <v>50</v>
      </c>
      <c r="L299" s="24" t="s">
        <v>51</v>
      </c>
      <c r="M299" s="11">
        <f t="shared" si="1"/>
        <v>1</v>
      </c>
      <c r="N299" s="21"/>
      <c r="O299" s="21"/>
      <c r="P299" s="21"/>
      <c r="Q299" s="21"/>
      <c r="R299" s="21"/>
      <c r="S299" s="21"/>
      <c r="T299" s="21"/>
      <c r="U299" s="21"/>
      <c r="V299" s="21"/>
      <c r="W299" s="24">
        <v>1.0</v>
      </c>
      <c r="X299" s="21"/>
      <c r="Y299" s="21"/>
      <c r="Z299" s="14">
        <f t="shared" si="3"/>
        <v>1</v>
      </c>
      <c r="AA299" s="15" t="s">
        <v>91</v>
      </c>
      <c r="AB299" s="14">
        <v>0.4549686250430872</v>
      </c>
    </row>
    <row r="300" ht="14.25" customHeight="1">
      <c r="A300" s="19" t="s">
        <v>1064</v>
      </c>
      <c r="B300" s="19" t="s">
        <v>310</v>
      </c>
      <c r="C300" s="33" t="s">
        <v>1065</v>
      </c>
      <c r="D300" s="21"/>
      <c r="E300" s="21"/>
      <c r="F300" s="27" t="s">
        <v>56</v>
      </c>
      <c r="G300" s="19" t="s">
        <v>83</v>
      </c>
      <c r="H300" s="23" t="s">
        <v>666</v>
      </c>
      <c r="I300" s="21"/>
      <c r="J300" s="24"/>
      <c r="K300" s="25" t="s">
        <v>50</v>
      </c>
      <c r="L300" s="24" t="s">
        <v>51</v>
      </c>
      <c r="M300" s="11">
        <f t="shared" si="1"/>
        <v>1</v>
      </c>
      <c r="N300" s="21"/>
      <c r="O300" s="21"/>
      <c r="P300" s="21"/>
      <c r="Q300" s="21"/>
      <c r="R300" s="21"/>
      <c r="S300" s="21"/>
      <c r="T300" s="21"/>
      <c r="U300" s="21"/>
      <c r="V300" s="21"/>
      <c r="W300" s="24">
        <v>1.0</v>
      </c>
      <c r="X300" s="21"/>
      <c r="Y300" s="21"/>
      <c r="Z300" s="14">
        <f t="shared" si="3"/>
        <v>1</v>
      </c>
      <c r="AA300" s="15" t="s">
        <v>91</v>
      </c>
      <c r="AB300" s="14">
        <v>0.4560695619438202</v>
      </c>
    </row>
    <row r="301" ht="14.25" customHeight="1">
      <c r="A301" s="11" t="s">
        <v>1066</v>
      </c>
      <c r="B301" s="11" t="s">
        <v>1067</v>
      </c>
      <c r="C301" s="37" t="s">
        <v>1068</v>
      </c>
      <c r="D301" s="11"/>
      <c r="E301" s="11"/>
      <c r="F301" s="27" t="s">
        <v>95</v>
      </c>
      <c r="G301" s="11" t="s">
        <v>48</v>
      </c>
      <c r="H301" s="28" t="s">
        <v>1069</v>
      </c>
      <c r="I301" s="11"/>
      <c r="J301" s="12"/>
      <c r="K301" s="29" t="s">
        <v>58</v>
      </c>
      <c r="L301" s="12" t="s">
        <v>288</v>
      </c>
      <c r="M301" s="11">
        <f t="shared" si="1"/>
        <v>1</v>
      </c>
      <c r="N301" s="11"/>
      <c r="O301" s="18">
        <v>1.0</v>
      </c>
      <c r="P301" s="11"/>
      <c r="Q301" s="11"/>
      <c r="R301" s="11"/>
      <c r="S301" s="12">
        <v>1.0</v>
      </c>
      <c r="T301" s="12">
        <v>1.0</v>
      </c>
      <c r="U301" s="12"/>
      <c r="V301" s="31">
        <v>1.0</v>
      </c>
      <c r="W301" s="18">
        <v>1.0</v>
      </c>
      <c r="X301" s="11"/>
      <c r="Y301" s="11"/>
      <c r="Z301" s="14">
        <f t="shared" si="3"/>
        <v>5</v>
      </c>
      <c r="AA301" s="15" t="s">
        <v>33</v>
      </c>
      <c r="AB301" s="14">
        <v>0.45816107017388863</v>
      </c>
    </row>
    <row r="302" ht="14.25" hidden="1" customHeight="1">
      <c r="A302" s="19" t="s">
        <v>1070</v>
      </c>
      <c r="B302" s="19" t="s">
        <v>1071</v>
      </c>
      <c r="C302" s="72" t="s">
        <v>1072</v>
      </c>
      <c r="D302" s="21"/>
      <c r="E302" s="21"/>
      <c r="F302" s="21"/>
      <c r="G302" s="19" t="s">
        <v>83</v>
      </c>
      <c r="H302" s="21"/>
      <c r="I302" s="21"/>
      <c r="J302" s="24"/>
      <c r="K302" s="24" t="s">
        <v>89</v>
      </c>
      <c r="L302" s="24" t="s">
        <v>252</v>
      </c>
      <c r="M302" s="11">
        <f t="shared" si="1"/>
        <v>0</v>
      </c>
      <c r="N302" s="21"/>
      <c r="O302" s="21"/>
      <c r="P302" s="21"/>
      <c r="Q302" s="21"/>
      <c r="R302" s="21"/>
      <c r="S302" s="21"/>
      <c r="T302" s="21"/>
      <c r="U302" s="21"/>
      <c r="V302" s="21"/>
      <c r="W302" s="24">
        <v>1.0</v>
      </c>
      <c r="X302" s="21"/>
      <c r="Y302" s="21"/>
      <c r="Z302" s="14">
        <f t="shared" si="3"/>
        <v>1</v>
      </c>
      <c r="AA302" s="15" t="s">
        <v>91</v>
      </c>
    </row>
    <row r="303" ht="14.25" customHeight="1">
      <c r="A303" s="19" t="s">
        <v>1073</v>
      </c>
      <c r="B303" s="19" t="s">
        <v>396</v>
      </c>
      <c r="C303" s="33" t="s">
        <v>1074</v>
      </c>
      <c r="D303" s="21"/>
      <c r="E303" s="21"/>
      <c r="F303" s="22" t="s">
        <v>103</v>
      </c>
      <c r="G303" s="19" t="s">
        <v>38</v>
      </c>
      <c r="H303" s="23" t="s">
        <v>64</v>
      </c>
      <c r="I303" s="21"/>
      <c r="J303" s="24"/>
      <c r="K303" s="25" t="s">
        <v>50</v>
      </c>
      <c r="L303" s="12" t="s">
        <v>235</v>
      </c>
      <c r="M303" s="11">
        <f t="shared" si="1"/>
        <v>1</v>
      </c>
      <c r="N303" s="21"/>
      <c r="O303" s="21"/>
      <c r="P303" s="21"/>
      <c r="Q303" s="21"/>
      <c r="R303" s="21"/>
      <c r="S303" s="21"/>
      <c r="T303" s="21"/>
      <c r="U303" s="21"/>
      <c r="V303" s="21"/>
      <c r="W303" s="24">
        <v>1.0</v>
      </c>
      <c r="X303" s="21"/>
      <c r="Y303" s="21"/>
      <c r="Z303" s="14">
        <f t="shared" si="3"/>
        <v>1</v>
      </c>
      <c r="AA303" s="15" t="s">
        <v>52</v>
      </c>
      <c r="AB303" s="14">
        <v>0.4596089285072207</v>
      </c>
      <c r="AD303" s="24" t="s">
        <v>994</v>
      </c>
    </row>
    <row r="304" ht="14.25" hidden="1" customHeight="1">
      <c r="A304" s="32" t="s">
        <v>1075</v>
      </c>
      <c r="B304" s="32" t="s">
        <v>1076</v>
      </c>
      <c r="C304" s="73" t="s">
        <v>1077</v>
      </c>
      <c r="D304" s="21"/>
      <c r="E304" s="21"/>
      <c r="F304" s="21"/>
      <c r="G304" s="19" t="s">
        <v>83</v>
      </c>
      <c r="H304" s="21"/>
      <c r="I304" s="21"/>
      <c r="J304" s="21"/>
      <c r="K304" s="24" t="s">
        <v>89</v>
      </c>
      <c r="L304" s="24" t="s">
        <v>252</v>
      </c>
      <c r="M304" s="11">
        <f t="shared" si="1"/>
        <v>0</v>
      </c>
      <c r="N304" s="21"/>
      <c r="O304" s="21"/>
      <c r="P304" s="21"/>
      <c r="Q304" s="21"/>
      <c r="R304" s="21"/>
      <c r="S304" s="21"/>
      <c r="T304" s="21"/>
      <c r="U304" s="21"/>
      <c r="V304" s="21"/>
      <c r="W304" s="24">
        <v>1.0</v>
      </c>
      <c r="X304" s="21"/>
      <c r="Y304" s="21"/>
      <c r="Z304" s="14">
        <f t="shared" si="3"/>
        <v>1</v>
      </c>
      <c r="AA304" s="15" t="s">
        <v>33</v>
      </c>
    </row>
    <row r="305" ht="14.25" hidden="1" customHeight="1">
      <c r="A305" s="32" t="s">
        <v>1078</v>
      </c>
      <c r="B305" s="32" t="s">
        <v>1079</v>
      </c>
      <c r="C305" s="74" t="s">
        <v>1080</v>
      </c>
      <c r="D305" s="21"/>
      <c r="E305" s="21"/>
      <c r="F305" s="21"/>
      <c r="G305" s="19" t="s">
        <v>196</v>
      </c>
      <c r="H305" s="21"/>
      <c r="I305" s="21"/>
      <c r="J305" s="21"/>
      <c r="K305" s="24" t="s">
        <v>89</v>
      </c>
      <c r="L305" s="24" t="s">
        <v>43</v>
      </c>
      <c r="M305" s="11">
        <f t="shared" si="1"/>
        <v>0</v>
      </c>
      <c r="N305" s="21"/>
      <c r="O305" s="21"/>
      <c r="P305" s="21"/>
      <c r="Q305" s="21"/>
      <c r="R305" s="21"/>
      <c r="S305" s="21"/>
      <c r="T305" s="21"/>
      <c r="U305" s="21"/>
      <c r="V305" s="21"/>
      <c r="W305" s="24">
        <v>1.0</v>
      </c>
      <c r="X305" s="21"/>
      <c r="Y305" s="21"/>
      <c r="Z305" s="14">
        <f t="shared" si="3"/>
        <v>1</v>
      </c>
      <c r="AA305" s="15" t="s">
        <v>91</v>
      </c>
    </row>
    <row r="306" ht="14.25" customHeight="1">
      <c r="A306" s="32" t="s">
        <v>1081</v>
      </c>
      <c r="B306" s="19" t="s">
        <v>602</v>
      </c>
      <c r="C306" s="60" t="s">
        <v>1082</v>
      </c>
      <c r="D306" s="21"/>
      <c r="E306" s="21"/>
      <c r="F306" s="27" t="s">
        <v>103</v>
      </c>
      <c r="G306" s="19" t="s">
        <v>38</v>
      </c>
      <c r="H306" s="23" t="s">
        <v>1083</v>
      </c>
      <c r="I306" s="21"/>
      <c r="J306" s="24"/>
      <c r="K306" s="25" t="s">
        <v>50</v>
      </c>
      <c r="L306" s="24" t="s">
        <v>51</v>
      </c>
      <c r="M306" s="11">
        <f t="shared" si="1"/>
        <v>1</v>
      </c>
      <c r="N306" s="21"/>
      <c r="O306" s="21"/>
      <c r="P306" s="21"/>
      <c r="Q306" s="21"/>
      <c r="R306" s="21"/>
      <c r="S306" s="21"/>
      <c r="T306" s="21"/>
      <c r="U306" s="21"/>
      <c r="V306" s="21"/>
      <c r="W306" s="24">
        <v>1.0</v>
      </c>
      <c r="X306" s="21"/>
      <c r="Y306" s="21"/>
      <c r="Z306" s="14">
        <f t="shared" si="3"/>
        <v>1</v>
      </c>
      <c r="AA306" s="15" t="s">
        <v>52</v>
      </c>
      <c r="AB306" s="14">
        <v>0.4596180508341554</v>
      </c>
    </row>
    <row r="307" ht="14.25" hidden="1" customHeight="1">
      <c r="A307" s="11" t="s">
        <v>1084</v>
      </c>
      <c r="B307" s="11" t="s">
        <v>1085</v>
      </c>
      <c r="C307" s="42" t="s">
        <v>1086</v>
      </c>
      <c r="D307" s="11"/>
      <c r="E307" s="11"/>
      <c r="F307" s="11"/>
      <c r="G307" s="11" t="s">
        <v>1087</v>
      </c>
      <c r="H307" s="11"/>
      <c r="I307" s="11"/>
      <c r="J307" s="11"/>
      <c r="K307" s="12" t="s">
        <v>89</v>
      </c>
      <c r="L307" s="12" t="s">
        <v>1088</v>
      </c>
      <c r="M307" s="11">
        <f t="shared" si="1"/>
        <v>0</v>
      </c>
      <c r="N307" s="11"/>
      <c r="O307" s="11"/>
      <c r="P307" s="11"/>
      <c r="Q307" s="11"/>
      <c r="R307" s="11"/>
      <c r="S307" s="11"/>
      <c r="T307" s="11"/>
      <c r="U307" s="11"/>
      <c r="V307" s="18"/>
      <c r="W307" s="18">
        <v>1.0</v>
      </c>
      <c r="X307" s="11"/>
      <c r="Y307" s="11"/>
      <c r="Z307" s="14">
        <f t="shared" si="3"/>
        <v>1</v>
      </c>
      <c r="AA307" s="15" t="s">
        <v>91</v>
      </c>
    </row>
    <row r="308" ht="14.25" hidden="1" customHeight="1">
      <c r="A308" s="19" t="s">
        <v>1089</v>
      </c>
      <c r="B308" s="19" t="s">
        <v>1090</v>
      </c>
      <c r="C308" s="44" t="s">
        <v>1091</v>
      </c>
      <c r="D308" s="21"/>
      <c r="E308" s="21"/>
      <c r="F308" s="21"/>
      <c r="G308" s="19" t="s">
        <v>78</v>
      </c>
      <c r="H308" s="21"/>
      <c r="I308" s="21"/>
      <c r="J308" s="24"/>
      <c r="K308" s="24" t="s">
        <v>89</v>
      </c>
      <c r="L308" s="24" t="s">
        <v>1088</v>
      </c>
      <c r="M308" s="11">
        <f t="shared" si="1"/>
        <v>0</v>
      </c>
      <c r="N308" s="21"/>
      <c r="O308" s="21"/>
      <c r="P308" s="21"/>
      <c r="Q308" s="21"/>
      <c r="R308" s="21"/>
      <c r="S308" s="21"/>
      <c r="T308" s="21"/>
      <c r="U308" s="21"/>
      <c r="V308" s="21"/>
      <c r="W308" s="24">
        <v>1.0</v>
      </c>
      <c r="X308" s="21"/>
      <c r="Y308" s="21"/>
      <c r="Z308" s="14">
        <f t="shared" si="3"/>
        <v>1</v>
      </c>
      <c r="AA308" s="15" t="s">
        <v>91</v>
      </c>
    </row>
    <row r="309" ht="14.25" customHeight="1">
      <c r="A309" s="45" t="s">
        <v>1092</v>
      </c>
      <c r="B309" s="45" t="s">
        <v>1093</v>
      </c>
      <c r="C309" s="56" t="s">
        <v>1094</v>
      </c>
      <c r="D309" s="45"/>
      <c r="E309" s="45"/>
      <c r="F309" s="27" t="s">
        <v>140</v>
      </c>
      <c r="G309" s="45" t="s">
        <v>48</v>
      </c>
      <c r="H309" s="23" t="s">
        <v>141</v>
      </c>
      <c r="I309" s="45"/>
      <c r="J309" s="45"/>
      <c r="K309" s="25" t="s">
        <v>50</v>
      </c>
      <c r="L309" s="24" t="s">
        <v>105</v>
      </c>
      <c r="M309" s="11">
        <f t="shared" si="1"/>
        <v>1</v>
      </c>
      <c r="N309" s="45"/>
      <c r="O309" s="45"/>
      <c r="P309" s="45">
        <v>1.0</v>
      </c>
      <c r="Q309" s="45"/>
      <c r="R309" s="45"/>
      <c r="S309" s="45"/>
      <c r="T309" s="45"/>
      <c r="U309" s="45"/>
      <c r="V309" s="45"/>
      <c r="W309" s="45"/>
      <c r="X309" s="45"/>
      <c r="Y309" s="45"/>
      <c r="Z309" s="14">
        <f t="shared" si="3"/>
        <v>1</v>
      </c>
      <c r="AA309" s="15" t="s">
        <v>106</v>
      </c>
      <c r="AB309" s="14">
        <v>0.46025770741464833</v>
      </c>
    </row>
    <row r="310" ht="14.25" hidden="1" customHeight="1">
      <c r="A310" s="19" t="s">
        <v>1095</v>
      </c>
      <c r="B310" s="75" t="s">
        <v>1096</v>
      </c>
      <c r="C310" s="40" t="s">
        <v>1097</v>
      </c>
      <c r="D310" s="21"/>
      <c r="E310" s="21"/>
      <c r="F310" s="21"/>
      <c r="G310" s="19" t="s">
        <v>48</v>
      </c>
      <c r="H310" s="21"/>
      <c r="I310" s="21"/>
      <c r="J310" s="24"/>
      <c r="K310" s="24" t="s">
        <v>89</v>
      </c>
      <c r="L310" s="24" t="s">
        <v>119</v>
      </c>
      <c r="M310" s="11">
        <f t="shared" si="1"/>
        <v>0</v>
      </c>
      <c r="N310" s="21"/>
      <c r="O310" s="21"/>
      <c r="P310" s="21"/>
      <c r="Q310" s="21"/>
      <c r="R310" s="21"/>
      <c r="S310" s="21"/>
      <c r="T310" s="21"/>
      <c r="U310" s="21"/>
      <c r="V310" s="21"/>
      <c r="W310" s="24">
        <v>1.0</v>
      </c>
      <c r="X310" s="21"/>
      <c r="Y310" s="21"/>
      <c r="Z310" s="14">
        <f t="shared" si="3"/>
        <v>1</v>
      </c>
      <c r="AA310" s="15" t="s">
        <v>106</v>
      </c>
    </row>
    <row r="311" ht="14.25" hidden="1" customHeight="1">
      <c r="A311" s="19" t="s">
        <v>1098</v>
      </c>
      <c r="B311" s="19" t="s">
        <v>1099</v>
      </c>
      <c r="C311" s="40" t="s">
        <v>1100</v>
      </c>
      <c r="D311" s="21"/>
      <c r="E311" s="21"/>
      <c r="F311" s="21"/>
      <c r="G311" s="19" t="s">
        <v>196</v>
      </c>
      <c r="H311" s="21"/>
      <c r="I311" s="21"/>
      <c r="J311" s="24"/>
      <c r="K311" s="24" t="s">
        <v>89</v>
      </c>
      <c r="L311" s="24" t="s">
        <v>69</v>
      </c>
      <c r="M311" s="11">
        <f t="shared" si="1"/>
        <v>0</v>
      </c>
      <c r="N311" s="21"/>
      <c r="O311" s="21"/>
      <c r="P311" s="21"/>
      <c r="Q311" s="21"/>
      <c r="R311" s="21"/>
      <c r="S311" s="21"/>
      <c r="T311" s="21"/>
      <c r="U311" s="21"/>
      <c r="V311" s="21"/>
      <c r="W311" s="24">
        <v>1.0</v>
      </c>
      <c r="X311" s="21"/>
      <c r="Y311" s="21"/>
      <c r="Z311" s="14">
        <f t="shared" si="3"/>
        <v>1</v>
      </c>
      <c r="AA311" s="15" t="s">
        <v>106</v>
      </c>
    </row>
    <row r="312" ht="14.25" customHeight="1">
      <c r="A312" s="11" t="s">
        <v>1101</v>
      </c>
      <c r="B312" s="11" t="s">
        <v>1102</v>
      </c>
      <c r="C312" s="37" t="s">
        <v>1103</v>
      </c>
      <c r="D312" s="11"/>
      <c r="E312" s="11"/>
      <c r="F312" s="27" t="s">
        <v>140</v>
      </c>
      <c r="G312" s="11" t="s">
        <v>38</v>
      </c>
      <c r="H312" s="28" t="s">
        <v>1104</v>
      </c>
      <c r="I312" s="11"/>
      <c r="J312" s="11"/>
      <c r="K312" s="29" t="s">
        <v>50</v>
      </c>
      <c r="L312" s="11"/>
      <c r="M312" s="11">
        <f t="shared" si="1"/>
        <v>1</v>
      </c>
      <c r="N312" s="18">
        <v>1.0</v>
      </c>
      <c r="O312" s="18">
        <v>1.0</v>
      </c>
      <c r="P312" s="11"/>
      <c r="Q312" s="12">
        <v>1.0</v>
      </c>
      <c r="R312" s="12">
        <v>1.0</v>
      </c>
      <c r="S312" s="12">
        <v>1.0</v>
      </c>
      <c r="T312" s="12">
        <v>1.0</v>
      </c>
      <c r="U312" s="12"/>
      <c r="V312" s="31">
        <v>1.0</v>
      </c>
      <c r="W312" s="18">
        <v>1.0</v>
      </c>
      <c r="X312" s="11"/>
      <c r="Y312" s="11"/>
      <c r="Z312" s="14">
        <f t="shared" si="3"/>
        <v>8</v>
      </c>
      <c r="AA312" s="15" t="s">
        <v>106</v>
      </c>
      <c r="AB312" s="14">
        <v>0.46313217661941763</v>
      </c>
    </row>
    <row r="313" ht="14.25" hidden="1" customHeight="1">
      <c r="A313" s="11" t="s">
        <v>1105</v>
      </c>
      <c r="B313" s="11" t="s">
        <v>1106</v>
      </c>
      <c r="C313" s="42" t="s">
        <v>1107</v>
      </c>
      <c r="D313" s="11"/>
      <c r="E313" s="11"/>
      <c r="F313" s="11"/>
      <c r="G313" s="11" t="s">
        <v>196</v>
      </c>
      <c r="H313" s="11"/>
      <c r="I313" s="11"/>
      <c r="J313" s="11"/>
      <c r="K313" s="11" t="s">
        <v>31</v>
      </c>
      <c r="L313" s="11" t="s">
        <v>1108</v>
      </c>
      <c r="M313" s="11">
        <f t="shared" si="1"/>
        <v>0</v>
      </c>
      <c r="N313" s="11"/>
      <c r="O313" s="11"/>
      <c r="P313" s="11"/>
      <c r="Q313" s="11"/>
      <c r="R313" s="11"/>
      <c r="S313" s="11"/>
      <c r="T313" s="12">
        <v>1.0</v>
      </c>
      <c r="U313" s="12"/>
      <c r="V313" s="18"/>
      <c r="W313" s="18">
        <v>1.0</v>
      </c>
      <c r="X313" s="11"/>
      <c r="Y313" s="11"/>
      <c r="Z313" s="14">
        <f t="shared" si="3"/>
        <v>2</v>
      </c>
      <c r="AA313" s="15" t="s">
        <v>106</v>
      </c>
    </row>
    <row r="314" ht="14.25" hidden="1" customHeight="1">
      <c r="A314" s="11" t="s">
        <v>1109</v>
      </c>
      <c r="B314" s="11" t="s">
        <v>1106</v>
      </c>
      <c r="C314" s="42" t="s">
        <v>1110</v>
      </c>
      <c r="D314" s="11"/>
      <c r="E314" s="11"/>
      <c r="F314" s="11"/>
      <c r="G314" s="11" t="s">
        <v>196</v>
      </c>
      <c r="H314" s="11"/>
      <c r="I314" s="11"/>
      <c r="J314" s="11"/>
      <c r="K314" s="12" t="s">
        <v>89</v>
      </c>
      <c r="L314" s="11" t="s">
        <v>1111</v>
      </c>
      <c r="M314" s="11">
        <f t="shared" si="1"/>
        <v>0</v>
      </c>
      <c r="N314" s="11"/>
      <c r="O314" s="11"/>
      <c r="P314" s="11"/>
      <c r="Q314" s="11"/>
      <c r="R314" s="11"/>
      <c r="S314" s="11"/>
      <c r="T314" s="11"/>
      <c r="U314" s="11"/>
      <c r="V314" s="18"/>
      <c r="W314" s="18">
        <v>1.0</v>
      </c>
      <c r="X314" s="11"/>
      <c r="Y314" s="11"/>
      <c r="Z314" s="14">
        <f t="shared" si="3"/>
        <v>1</v>
      </c>
      <c r="AA314" s="15" t="s">
        <v>91</v>
      </c>
    </row>
    <row r="315" ht="14.25" hidden="1" customHeight="1">
      <c r="A315" s="11" t="s">
        <v>1112</v>
      </c>
      <c r="B315" s="11" t="s">
        <v>1113</v>
      </c>
      <c r="C315" s="34" t="s">
        <v>294</v>
      </c>
      <c r="D315" s="11"/>
      <c r="E315" s="11"/>
      <c r="F315" s="11"/>
      <c r="G315" s="11" t="s">
        <v>292</v>
      </c>
      <c r="H315" s="11"/>
      <c r="I315" s="11"/>
      <c r="J315" s="11"/>
      <c r="K315" s="12" t="s">
        <v>89</v>
      </c>
      <c r="L315" s="11" t="s">
        <v>69</v>
      </c>
      <c r="M315" s="11">
        <f t="shared" si="1"/>
        <v>0</v>
      </c>
      <c r="N315" s="11"/>
      <c r="O315" s="11"/>
      <c r="P315" s="11"/>
      <c r="Q315" s="11"/>
      <c r="R315" s="11"/>
      <c r="S315" s="11"/>
      <c r="T315" s="11"/>
      <c r="U315" s="11"/>
      <c r="V315" s="18"/>
      <c r="W315" s="18">
        <v>1.0</v>
      </c>
      <c r="X315" s="11"/>
      <c r="Y315" s="11"/>
      <c r="Z315" s="14">
        <f t="shared" si="3"/>
        <v>1</v>
      </c>
      <c r="AA315" s="15" t="s">
        <v>91</v>
      </c>
    </row>
    <row r="316" ht="14.25" hidden="1" customHeight="1">
      <c r="A316" s="19" t="s">
        <v>1114</v>
      </c>
      <c r="B316" s="19" t="s">
        <v>1115</v>
      </c>
      <c r="C316" s="40" t="s">
        <v>1116</v>
      </c>
      <c r="D316" s="21"/>
      <c r="E316" s="21"/>
      <c r="F316" s="21"/>
      <c r="G316" s="19" t="s">
        <v>196</v>
      </c>
      <c r="H316" s="21"/>
      <c r="I316" s="21"/>
      <c r="J316" s="24"/>
      <c r="K316" s="24" t="s">
        <v>89</v>
      </c>
      <c r="L316" s="24" t="s">
        <v>1117</v>
      </c>
      <c r="M316" s="11">
        <f t="shared" si="1"/>
        <v>0</v>
      </c>
      <c r="N316" s="21"/>
      <c r="O316" s="21"/>
      <c r="P316" s="21"/>
      <c r="Q316" s="21"/>
      <c r="R316" s="21"/>
      <c r="S316" s="21"/>
      <c r="T316" s="21"/>
      <c r="U316" s="21"/>
      <c r="V316" s="21"/>
      <c r="W316" s="24">
        <v>1.0</v>
      </c>
      <c r="X316" s="21"/>
      <c r="Y316" s="21"/>
      <c r="Z316" s="14">
        <f t="shared" si="3"/>
        <v>1</v>
      </c>
      <c r="AA316" s="15" t="s">
        <v>91</v>
      </c>
    </row>
    <row r="317" ht="14.25" customHeight="1">
      <c r="A317" s="11" t="s">
        <v>1118</v>
      </c>
      <c r="B317" s="11" t="s">
        <v>1119</v>
      </c>
      <c r="C317" s="37" t="s">
        <v>1120</v>
      </c>
      <c r="D317" s="12" t="s">
        <v>29</v>
      </c>
      <c r="E317" s="12" t="s">
        <v>29</v>
      </c>
      <c r="F317" s="27" t="s">
        <v>62</v>
      </c>
      <c r="G317" s="11" t="s">
        <v>48</v>
      </c>
      <c r="H317" s="28" t="s">
        <v>1121</v>
      </c>
      <c r="I317" s="11"/>
      <c r="J317" s="11"/>
      <c r="K317" s="29" t="s">
        <v>50</v>
      </c>
      <c r="L317" s="11"/>
      <c r="M317" s="11">
        <f t="shared" si="1"/>
        <v>1</v>
      </c>
      <c r="N317" s="18">
        <v>1.0</v>
      </c>
      <c r="O317" s="18">
        <v>1.0</v>
      </c>
      <c r="P317" s="11"/>
      <c r="Q317" s="12">
        <v>1.0</v>
      </c>
      <c r="R317" s="12">
        <v>1.0</v>
      </c>
      <c r="S317" s="12">
        <v>1.0</v>
      </c>
      <c r="T317" s="12">
        <v>1.0</v>
      </c>
      <c r="U317" s="12">
        <v>1.0</v>
      </c>
      <c r="V317" s="12">
        <v>1.0</v>
      </c>
      <c r="W317" s="12">
        <v>1.0</v>
      </c>
      <c r="X317" s="12">
        <v>1.0</v>
      </c>
      <c r="Y317" s="11"/>
      <c r="Z317" s="14">
        <f t="shared" si="3"/>
        <v>10</v>
      </c>
      <c r="AA317" s="15" t="s">
        <v>106</v>
      </c>
      <c r="AB317" s="14">
        <v>0.4648740535835114</v>
      </c>
    </row>
    <row r="318" ht="14.25" customHeight="1">
      <c r="A318" s="19" t="s">
        <v>1122</v>
      </c>
      <c r="B318" s="19" t="s">
        <v>1123</v>
      </c>
      <c r="C318" s="20" t="s">
        <v>1124</v>
      </c>
      <c r="D318" s="21"/>
      <c r="E318" s="21"/>
      <c r="F318" s="27" t="s">
        <v>171</v>
      </c>
      <c r="G318" s="19" t="s">
        <v>78</v>
      </c>
      <c r="H318" s="23" t="s">
        <v>365</v>
      </c>
      <c r="I318" s="21"/>
      <c r="J318" s="21"/>
      <c r="K318" s="25" t="s">
        <v>50</v>
      </c>
      <c r="L318" s="24" t="s">
        <v>85</v>
      </c>
      <c r="M318" s="11">
        <f t="shared" si="1"/>
        <v>1</v>
      </c>
      <c r="N318" s="21"/>
      <c r="O318" s="21"/>
      <c r="P318" s="21"/>
      <c r="Q318" s="21"/>
      <c r="R318" s="21"/>
      <c r="S318" s="21"/>
      <c r="T318" s="21"/>
      <c r="U318" s="21"/>
      <c r="V318" s="21"/>
      <c r="W318" s="24">
        <v>1.0</v>
      </c>
      <c r="X318" s="21"/>
      <c r="Y318" s="21"/>
      <c r="Z318" s="14">
        <f t="shared" si="3"/>
        <v>1</v>
      </c>
      <c r="AA318" s="15" t="s">
        <v>91</v>
      </c>
      <c r="AB318" s="14">
        <v>0.4655983768498645</v>
      </c>
    </row>
    <row r="319" ht="14.25" customHeight="1">
      <c r="A319" s="11" t="s">
        <v>1125</v>
      </c>
      <c r="B319" s="11" t="s">
        <v>54</v>
      </c>
      <c r="C319" s="26" t="s">
        <v>1126</v>
      </c>
      <c r="D319" s="11"/>
      <c r="E319" s="11"/>
      <c r="F319" s="27" t="s">
        <v>56</v>
      </c>
      <c r="G319" s="11" t="s">
        <v>38</v>
      </c>
      <c r="H319" s="28" t="s">
        <v>1127</v>
      </c>
      <c r="I319" s="11"/>
      <c r="J319" s="11"/>
      <c r="K319" s="29" t="s">
        <v>58</v>
      </c>
      <c r="L319" s="11"/>
      <c r="M319" s="11">
        <f t="shared" si="1"/>
        <v>1</v>
      </c>
      <c r="N319" s="11"/>
      <c r="O319" s="11"/>
      <c r="P319" s="11"/>
      <c r="Q319" s="11"/>
      <c r="R319" s="11"/>
      <c r="S319" s="11"/>
      <c r="T319" s="11"/>
      <c r="U319" s="11"/>
      <c r="V319" s="18"/>
      <c r="W319" s="18">
        <v>1.0</v>
      </c>
      <c r="X319" s="11"/>
      <c r="Y319" s="11"/>
      <c r="Z319" s="14">
        <f t="shared" si="3"/>
        <v>1</v>
      </c>
      <c r="AA319" s="15" t="s">
        <v>33</v>
      </c>
      <c r="AB319" s="14">
        <v>0.46835205297858307</v>
      </c>
    </row>
    <row r="320" ht="14.25" hidden="1" customHeight="1">
      <c r="A320" s="11" t="s">
        <v>1128</v>
      </c>
      <c r="B320" s="11" t="s">
        <v>132</v>
      </c>
      <c r="C320" s="42" t="s">
        <v>1129</v>
      </c>
      <c r="D320" s="11"/>
      <c r="E320" s="11"/>
      <c r="F320" s="11"/>
      <c r="G320" s="11" t="s">
        <v>132</v>
      </c>
      <c r="H320" s="11"/>
      <c r="I320" s="11"/>
      <c r="J320" s="11"/>
      <c r="K320" s="12" t="s">
        <v>89</v>
      </c>
      <c r="L320" s="12" t="s">
        <v>43</v>
      </c>
      <c r="M320" s="11">
        <f t="shared" si="1"/>
        <v>0</v>
      </c>
      <c r="N320" s="11"/>
      <c r="O320" s="11"/>
      <c r="P320" s="11"/>
      <c r="Q320" s="11"/>
      <c r="R320" s="11"/>
      <c r="S320" s="11"/>
      <c r="T320" s="11"/>
      <c r="U320" s="11"/>
      <c r="V320" s="18"/>
      <c r="W320" s="18">
        <v>1.0</v>
      </c>
      <c r="X320" s="11"/>
      <c r="Y320" s="11"/>
      <c r="Z320" s="14">
        <f t="shared" si="3"/>
        <v>1</v>
      </c>
      <c r="AA320" s="15" t="s">
        <v>91</v>
      </c>
    </row>
    <row r="321" ht="14.25" customHeight="1">
      <c r="A321" s="45" t="s">
        <v>1130</v>
      </c>
      <c r="B321" s="45" t="s">
        <v>1131</v>
      </c>
      <c r="C321" s="63" t="s">
        <v>1132</v>
      </c>
      <c r="D321" s="45"/>
      <c r="E321" s="45"/>
      <c r="F321" s="27" t="s">
        <v>351</v>
      </c>
      <c r="G321" s="45" t="s">
        <v>78</v>
      </c>
      <c r="H321" s="23" t="s">
        <v>1133</v>
      </c>
      <c r="I321" s="45"/>
      <c r="J321" s="45"/>
      <c r="K321" s="25" t="s">
        <v>58</v>
      </c>
      <c r="L321" s="24" t="s">
        <v>235</v>
      </c>
      <c r="M321" s="11">
        <f t="shared" si="1"/>
        <v>1</v>
      </c>
      <c r="N321" s="45"/>
      <c r="O321" s="45"/>
      <c r="P321" s="45">
        <v>1.0</v>
      </c>
      <c r="Q321" s="45"/>
      <c r="R321" s="45"/>
      <c r="S321" s="45"/>
      <c r="T321" s="45"/>
      <c r="U321" s="45"/>
      <c r="V321" s="45"/>
      <c r="W321" s="24">
        <v>1.0</v>
      </c>
      <c r="X321" s="45"/>
      <c r="Y321" s="45"/>
      <c r="Z321" s="14">
        <f t="shared" si="3"/>
        <v>2</v>
      </c>
      <c r="AA321" s="15" t="s">
        <v>33</v>
      </c>
      <c r="AB321" s="14">
        <v>0.4692222922884567</v>
      </c>
    </row>
    <row r="322" ht="14.25" customHeight="1">
      <c r="A322" s="19" t="s">
        <v>1134</v>
      </c>
      <c r="B322" s="19" t="s">
        <v>272</v>
      </c>
      <c r="C322" s="33" t="s">
        <v>1135</v>
      </c>
      <c r="D322" s="21"/>
      <c r="E322" s="21"/>
      <c r="F322" s="27" t="s">
        <v>56</v>
      </c>
      <c r="G322" s="19" t="s">
        <v>83</v>
      </c>
      <c r="H322" s="23" t="s">
        <v>64</v>
      </c>
      <c r="I322" s="21"/>
      <c r="J322" s="24"/>
      <c r="K322" s="25" t="s">
        <v>50</v>
      </c>
      <c r="L322" s="24" t="s">
        <v>51</v>
      </c>
      <c r="M322" s="11">
        <f t="shared" si="1"/>
        <v>1</v>
      </c>
      <c r="N322" s="21"/>
      <c r="O322" s="21"/>
      <c r="P322" s="21"/>
      <c r="Q322" s="21"/>
      <c r="R322" s="21"/>
      <c r="S322" s="21"/>
      <c r="T322" s="21"/>
      <c r="U322" s="21"/>
      <c r="V322" s="21"/>
      <c r="W322" s="24">
        <v>1.0</v>
      </c>
      <c r="X322" s="21"/>
      <c r="Y322" s="21"/>
      <c r="Z322" s="14">
        <f t="shared" si="3"/>
        <v>1</v>
      </c>
      <c r="AA322" s="15" t="s">
        <v>91</v>
      </c>
      <c r="AB322" s="14">
        <v>0.47059177873267066</v>
      </c>
    </row>
    <row r="323" ht="14.25" customHeight="1">
      <c r="A323" s="19" t="s">
        <v>1136</v>
      </c>
      <c r="B323" s="19" t="s">
        <v>396</v>
      </c>
      <c r="C323" s="35" t="s">
        <v>843</v>
      </c>
      <c r="D323" s="21"/>
      <c r="E323" s="21"/>
      <c r="F323" s="22" t="s">
        <v>103</v>
      </c>
      <c r="G323" s="19" t="s">
        <v>38</v>
      </c>
      <c r="H323" s="23" t="s">
        <v>844</v>
      </c>
      <c r="I323" s="21"/>
      <c r="J323" s="24"/>
      <c r="K323" s="25" t="s">
        <v>50</v>
      </c>
      <c r="L323" s="24" t="s">
        <v>111</v>
      </c>
      <c r="M323" s="11">
        <f t="shared" si="1"/>
        <v>1</v>
      </c>
      <c r="N323" s="21"/>
      <c r="O323" s="21"/>
      <c r="P323" s="21"/>
      <c r="Q323" s="21"/>
      <c r="R323" s="21"/>
      <c r="S323" s="21"/>
      <c r="T323" s="21"/>
      <c r="U323" s="21"/>
      <c r="V323" s="21"/>
      <c r="W323" s="24">
        <v>1.0</v>
      </c>
      <c r="X323" s="21"/>
      <c r="Y323" s="21"/>
      <c r="Z323" s="14">
        <f t="shared" si="3"/>
        <v>1</v>
      </c>
      <c r="AA323" s="15" t="s">
        <v>52</v>
      </c>
      <c r="AB323" s="14">
        <v>0.4747789723415097</v>
      </c>
      <c r="AD323" s="15" t="s">
        <v>111</v>
      </c>
    </row>
    <row r="324" ht="14.25" customHeight="1">
      <c r="A324" s="12" t="s">
        <v>1137</v>
      </c>
      <c r="B324" s="11" t="s">
        <v>1138</v>
      </c>
      <c r="C324" s="37" t="s">
        <v>1139</v>
      </c>
      <c r="D324" s="11"/>
      <c r="E324" s="11"/>
      <c r="F324" s="27" t="s">
        <v>77</v>
      </c>
      <c r="G324" s="11" t="s">
        <v>48</v>
      </c>
      <c r="H324" s="39"/>
      <c r="I324" s="11"/>
      <c r="J324" s="11"/>
      <c r="K324" s="29" t="s">
        <v>50</v>
      </c>
      <c r="L324" s="11"/>
      <c r="M324" s="11">
        <f t="shared" si="1"/>
        <v>1</v>
      </c>
      <c r="N324" s="11"/>
      <c r="O324" s="11"/>
      <c r="P324" s="11"/>
      <c r="Q324" s="11"/>
      <c r="R324" s="11"/>
      <c r="S324" s="12">
        <v>1.0</v>
      </c>
      <c r="T324" s="12"/>
      <c r="U324" s="12"/>
      <c r="V324" s="11"/>
      <c r="W324" s="11"/>
      <c r="X324" s="11"/>
      <c r="Y324" s="11"/>
      <c r="Z324" s="14">
        <f t="shared" si="3"/>
        <v>1</v>
      </c>
      <c r="AA324" s="15" t="s">
        <v>91</v>
      </c>
      <c r="AB324" s="14">
        <v>0.47763846591630355</v>
      </c>
    </row>
    <row r="325" ht="14.25" hidden="1" customHeight="1">
      <c r="A325" s="11" t="s">
        <v>1140</v>
      </c>
      <c r="B325" s="11" t="s">
        <v>1141</v>
      </c>
      <c r="C325" s="42" t="s">
        <v>1142</v>
      </c>
      <c r="D325" s="11"/>
      <c r="E325" s="11"/>
      <c r="F325" s="11"/>
      <c r="G325" s="11" t="s">
        <v>38</v>
      </c>
      <c r="H325" s="11"/>
      <c r="I325" s="11"/>
      <c r="J325" s="11"/>
      <c r="K325" s="12" t="s">
        <v>89</v>
      </c>
      <c r="L325" s="12" t="s">
        <v>252</v>
      </c>
      <c r="M325" s="11">
        <f t="shared" si="1"/>
        <v>0</v>
      </c>
      <c r="N325" s="11"/>
      <c r="O325" s="11"/>
      <c r="P325" s="11"/>
      <c r="Q325" s="11"/>
      <c r="R325" s="11"/>
      <c r="S325" s="11"/>
      <c r="T325" s="11"/>
      <c r="U325" s="11"/>
      <c r="V325" s="18"/>
      <c r="W325" s="18">
        <v>1.0</v>
      </c>
      <c r="X325" s="11"/>
      <c r="Y325" s="11"/>
      <c r="Z325" s="14">
        <f t="shared" si="3"/>
        <v>1</v>
      </c>
      <c r="AA325" s="15" t="s">
        <v>106</v>
      </c>
    </row>
    <row r="326" ht="14.25" customHeight="1">
      <c r="A326" s="11" t="s">
        <v>1143</v>
      </c>
      <c r="B326" s="11" t="s">
        <v>1144</v>
      </c>
      <c r="C326" s="37" t="s">
        <v>1145</v>
      </c>
      <c r="D326" s="11"/>
      <c r="E326" s="11"/>
      <c r="F326" s="27" t="s">
        <v>140</v>
      </c>
      <c r="G326" s="11" t="s">
        <v>334</v>
      </c>
      <c r="H326" s="28" t="s">
        <v>1146</v>
      </c>
      <c r="I326" s="11"/>
      <c r="J326" s="11"/>
      <c r="K326" s="29" t="s">
        <v>58</v>
      </c>
      <c r="L326" s="12" t="s">
        <v>51</v>
      </c>
      <c r="M326" s="11">
        <f t="shared" si="1"/>
        <v>1</v>
      </c>
      <c r="N326" s="11"/>
      <c r="O326" s="11"/>
      <c r="P326" s="11"/>
      <c r="Q326" s="11"/>
      <c r="R326" s="11"/>
      <c r="S326" s="11"/>
      <c r="T326" s="11"/>
      <c r="U326" s="11"/>
      <c r="V326" s="18"/>
      <c r="W326" s="18">
        <v>1.0</v>
      </c>
      <c r="X326" s="11"/>
      <c r="Y326" s="11"/>
      <c r="Z326" s="14">
        <f t="shared" si="3"/>
        <v>1</v>
      </c>
      <c r="AA326" s="15" t="s">
        <v>33</v>
      </c>
      <c r="AB326" s="14">
        <v>0.4783136046020874</v>
      </c>
    </row>
    <row r="327" ht="14.25" customHeight="1">
      <c r="A327" s="19" t="s">
        <v>1147</v>
      </c>
      <c r="B327" s="19" t="s">
        <v>491</v>
      </c>
      <c r="C327" s="33" t="s">
        <v>1148</v>
      </c>
      <c r="D327" s="21"/>
      <c r="E327" s="21"/>
      <c r="F327" s="27" t="s">
        <v>103</v>
      </c>
      <c r="G327" s="19" t="s">
        <v>83</v>
      </c>
      <c r="H327" s="23" t="s">
        <v>606</v>
      </c>
      <c r="I327" s="21"/>
      <c r="J327" s="21"/>
      <c r="K327" s="25" t="s">
        <v>50</v>
      </c>
      <c r="L327" s="24" t="s">
        <v>51</v>
      </c>
      <c r="M327" s="11">
        <f t="shared" si="1"/>
        <v>1</v>
      </c>
      <c r="N327" s="21"/>
      <c r="O327" s="21"/>
      <c r="P327" s="21"/>
      <c r="Q327" s="21"/>
      <c r="R327" s="21"/>
      <c r="S327" s="21"/>
      <c r="T327" s="21"/>
      <c r="U327" s="21"/>
      <c r="V327" s="21"/>
      <c r="W327" s="24">
        <v>1.0</v>
      </c>
      <c r="X327" s="21"/>
      <c r="Y327" s="21"/>
      <c r="Z327" s="14">
        <f t="shared" si="3"/>
        <v>1</v>
      </c>
      <c r="AA327" s="15" t="s">
        <v>106</v>
      </c>
      <c r="AB327" s="14">
        <v>0.4804752461567541</v>
      </c>
    </row>
    <row r="328" ht="14.25" customHeight="1">
      <c r="A328" s="11" t="s">
        <v>1149</v>
      </c>
      <c r="B328" s="11" t="s">
        <v>1150</v>
      </c>
      <c r="C328" s="38" t="s">
        <v>1151</v>
      </c>
      <c r="D328" s="11"/>
      <c r="E328" s="11"/>
      <c r="F328" s="27" t="s">
        <v>77</v>
      </c>
      <c r="G328" s="11" t="s">
        <v>204</v>
      </c>
      <c r="H328" s="28" t="s">
        <v>99</v>
      </c>
      <c r="I328" s="11"/>
      <c r="J328" s="12"/>
      <c r="K328" s="29" t="s">
        <v>50</v>
      </c>
      <c r="L328" s="11"/>
      <c r="M328" s="11">
        <f t="shared" si="1"/>
        <v>1</v>
      </c>
      <c r="N328" s="11"/>
      <c r="O328" s="18">
        <v>1.0</v>
      </c>
      <c r="P328" s="11"/>
      <c r="Q328" s="11"/>
      <c r="R328" s="11"/>
      <c r="S328" s="12">
        <v>1.0</v>
      </c>
      <c r="T328" s="12">
        <v>1.0</v>
      </c>
      <c r="U328" s="12"/>
      <c r="V328" s="11"/>
      <c r="W328" s="12">
        <v>1.0</v>
      </c>
      <c r="X328" s="11"/>
      <c r="Y328" s="11"/>
      <c r="Z328" s="14">
        <f t="shared" si="3"/>
        <v>4</v>
      </c>
      <c r="AA328" s="15" t="s">
        <v>106</v>
      </c>
      <c r="AB328" s="14">
        <v>0.483480927711438</v>
      </c>
    </row>
    <row r="329" ht="14.25" customHeight="1">
      <c r="A329" s="19" t="s">
        <v>1152</v>
      </c>
      <c r="B329" s="19" t="s">
        <v>886</v>
      </c>
      <c r="C329" s="20" t="s">
        <v>1153</v>
      </c>
      <c r="D329" s="21"/>
      <c r="E329" s="21"/>
      <c r="F329" s="27" t="s">
        <v>351</v>
      </c>
      <c r="G329" s="19" t="s">
        <v>78</v>
      </c>
      <c r="H329" s="23" t="s">
        <v>888</v>
      </c>
      <c r="I329" s="21"/>
      <c r="J329" s="21"/>
      <c r="K329" s="25" t="s">
        <v>58</v>
      </c>
      <c r="L329" s="24" t="s">
        <v>51</v>
      </c>
      <c r="M329" s="11">
        <f t="shared" si="1"/>
        <v>1</v>
      </c>
      <c r="N329" s="21"/>
      <c r="O329" s="21"/>
      <c r="P329" s="21"/>
      <c r="Q329" s="21"/>
      <c r="R329" s="21"/>
      <c r="S329" s="21"/>
      <c r="T329" s="21"/>
      <c r="U329" s="21"/>
      <c r="V329" s="21"/>
      <c r="W329" s="24">
        <v>1.0</v>
      </c>
      <c r="X329" s="21"/>
      <c r="Y329" s="21"/>
      <c r="Z329" s="14">
        <f t="shared" si="3"/>
        <v>1</v>
      </c>
      <c r="AA329" s="15" t="s">
        <v>33</v>
      </c>
      <c r="AB329" s="14">
        <v>0.48605874601539933</v>
      </c>
    </row>
    <row r="330" ht="14.25" customHeight="1">
      <c r="A330" s="11" t="s">
        <v>1154</v>
      </c>
      <c r="B330" s="11" t="s">
        <v>54</v>
      </c>
      <c r="C330" s="55" t="s">
        <v>1155</v>
      </c>
      <c r="D330" s="11"/>
      <c r="E330" s="11"/>
      <c r="F330" s="27" t="s">
        <v>56</v>
      </c>
      <c r="G330" s="11" t="s">
        <v>38</v>
      </c>
      <c r="H330" s="28" t="s">
        <v>1156</v>
      </c>
      <c r="I330" s="11"/>
      <c r="J330" s="11"/>
      <c r="K330" s="29" t="s">
        <v>50</v>
      </c>
      <c r="L330" s="12" t="s">
        <v>51</v>
      </c>
      <c r="M330" s="11">
        <f t="shared" si="1"/>
        <v>1</v>
      </c>
      <c r="N330" s="11"/>
      <c r="O330" s="11"/>
      <c r="P330" s="11"/>
      <c r="Q330" s="11"/>
      <c r="R330" s="11"/>
      <c r="S330" s="11"/>
      <c r="T330" s="11"/>
      <c r="U330" s="11"/>
      <c r="V330" s="18"/>
      <c r="W330" s="18">
        <v>1.0</v>
      </c>
      <c r="X330" s="11"/>
      <c r="Y330" s="11"/>
      <c r="Z330" s="14">
        <f t="shared" si="3"/>
        <v>1</v>
      </c>
      <c r="AA330" s="15" t="s">
        <v>106</v>
      </c>
      <c r="AB330" s="14">
        <v>0.49138415298310933</v>
      </c>
    </row>
    <row r="331" ht="14.25" customHeight="1">
      <c r="A331" s="11" t="s">
        <v>1157</v>
      </c>
      <c r="B331" s="11" t="s">
        <v>530</v>
      </c>
      <c r="C331" s="26" t="s">
        <v>1158</v>
      </c>
      <c r="D331" s="11"/>
      <c r="E331" s="11"/>
      <c r="F331" s="27" t="s">
        <v>103</v>
      </c>
      <c r="G331" s="19" t="s">
        <v>83</v>
      </c>
      <c r="H331" s="28" t="s">
        <v>1159</v>
      </c>
      <c r="I331" s="11"/>
      <c r="J331" s="11"/>
      <c r="K331" s="29" t="s">
        <v>50</v>
      </c>
      <c r="L331" s="12" t="s">
        <v>1160</v>
      </c>
      <c r="M331" s="11">
        <f t="shared" si="1"/>
        <v>1</v>
      </c>
      <c r="N331" s="11"/>
      <c r="O331" s="11"/>
      <c r="P331" s="11"/>
      <c r="Q331" s="11"/>
      <c r="R331" s="11"/>
      <c r="S331" s="11"/>
      <c r="T331" s="11"/>
      <c r="U331" s="11"/>
      <c r="V331" s="18"/>
      <c r="W331" s="18">
        <v>1.0</v>
      </c>
      <c r="X331" s="11"/>
      <c r="Y331" s="11"/>
      <c r="Z331" s="14">
        <f t="shared" si="3"/>
        <v>1</v>
      </c>
      <c r="AA331" s="15" t="s">
        <v>106</v>
      </c>
      <c r="AB331" s="14">
        <v>0.49178454165479746</v>
      </c>
    </row>
    <row r="332" ht="14.25" customHeight="1">
      <c r="A332" s="19" t="s">
        <v>1161</v>
      </c>
      <c r="B332" s="19" t="s">
        <v>403</v>
      </c>
      <c r="C332" s="33" t="s">
        <v>1162</v>
      </c>
      <c r="D332" s="21"/>
      <c r="E332" s="21"/>
      <c r="F332" s="22" t="s">
        <v>405</v>
      </c>
      <c r="G332" s="19" t="s">
        <v>83</v>
      </c>
      <c r="H332" s="23" t="s">
        <v>1163</v>
      </c>
      <c r="I332" s="21"/>
      <c r="J332" s="24"/>
      <c r="K332" s="25" t="s">
        <v>50</v>
      </c>
      <c r="L332" s="24" t="s">
        <v>1164</v>
      </c>
      <c r="M332" s="11">
        <f t="shared" si="1"/>
        <v>1</v>
      </c>
      <c r="N332" s="21"/>
      <c r="O332" s="21"/>
      <c r="P332" s="21"/>
      <c r="Q332" s="21"/>
      <c r="R332" s="21"/>
      <c r="S332" s="21"/>
      <c r="T332" s="21"/>
      <c r="U332" s="21"/>
      <c r="V332" s="21"/>
      <c r="W332" s="24">
        <v>1.0</v>
      </c>
      <c r="X332" s="21"/>
      <c r="Y332" s="21"/>
      <c r="Z332" s="14">
        <f t="shared" si="3"/>
        <v>1</v>
      </c>
      <c r="AA332" s="15" t="s">
        <v>91</v>
      </c>
      <c r="AB332" s="14">
        <v>0.49218110670254567</v>
      </c>
    </row>
    <row r="333" ht="14.25" customHeight="1">
      <c r="A333" s="11" t="s">
        <v>1165</v>
      </c>
      <c r="B333" s="11" t="s">
        <v>1166</v>
      </c>
      <c r="C333" s="37" t="s">
        <v>1167</v>
      </c>
      <c r="D333" s="12" t="s">
        <v>1168</v>
      </c>
      <c r="E333" s="12" t="s">
        <v>29</v>
      </c>
      <c r="F333" s="27" t="s">
        <v>62</v>
      </c>
      <c r="G333" s="11" t="s">
        <v>78</v>
      </c>
      <c r="H333" s="23" t="s">
        <v>1169</v>
      </c>
      <c r="I333" s="12" t="s">
        <v>1170</v>
      </c>
      <c r="J333" s="11"/>
      <c r="K333" s="29" t="s">
        <v>50</v>
      </c>
      <c r="L333" s="12" t="s">
        <v>111</v>
      </c>
      <c r="M333" s="11">
        <f t="shared" si="1"/>
        <v>1</v>
      </c>
      <c r="N333" s="18">
        <v>1.0</v>
      </c>
      <c r="O333" s="18">
        <v>1.0</v>
      </c>
      <c r="P333" s="11"/>
      <c r="Q333" s="11"/>
      <c r="R333" s="11"/>
      <c r="S333" s="11"/>
      <c r="T333" s="11"/>
      <c r="U333" s="11"/>
      <c r="V333" s="31">
        <v>1.0</v>
      </c>
      <c r="W333" s="18">
        <v>1.0</v>
      </c>
      <c r="X333" s="12">
        <v>1.0</v>
      </c>
      <c r="Y333" s="11"/>
      <c r="Z333" s="14">
        <f t="shared" si="3"/>
        <v>5</v>
      </c>
      <c r="AA333" s="15" t="s">
        <v>106</v>
      </c>
      <c r="AB333" s="14">
        <v>0.49443541428199256</v>
      </c>
    </row>
    <row r="334" ht="14.25" customHeight="1">
      <c r="A334" s="11" t="s">
        <v>1171</v>
      </c>
      <c r="B334" s="11" t="s">
        <v>374</v>
      </c>
      <c r="C334" s="26" t="s">
        <v>1172</v>
      </c>
      <c r="D334" s="11"/>
      <c r="E334" s="11"/>
      <c r="F334" s="27" t="s">
        <v>95</v>
      </c>
      <c r="G334" s="11" t="s">
        <v>48</v>
      </c>
      <c r="H334" s="28" t="s">
        <v>239</v>
      </c>
      <c r="I334" s="11"/>
      <c r="J334" s="11"/>
      <c r="K334" s="29" t="s">
        <v>50</v>
      </c>
      <c r="L334" s="12" t="s">
        <v>51</v>
      </c>
      <c r="M334" s="11">
        <f t="shared" si="1"/>
        <v>1</v>
      </c>
      <c r="N334" s="11"/>
      <c r="O334" s="11"/>
      <c r="P334" s="11"/>
      <c r="Q334" s="11"/>
      <c r="R334" s="11"/>
      <c r="S334" s="11"/>
      <c r="T334" s="12">
        <v>1.0</v>
      </c>
      <c r="U334" s="12"/>
      <c r="V334" s="31">
        <v>1.0</v>
      </c>
      <c r="W334" s="18">
        <v>1.0</v>
      </c>
      <c r="X334" s="11"/>
      <c r="Y334" s="11"/>
      <c r="Z334" s="14">
        <f t="shared" si="3"/>
        <v>3</v>
      </c>
      <c r="AA334" s="15" t="s">
        <v>33</v>
      </c>
      <c r="AB334" s="14">
        <v>0.495079064729366</v>
      </c>
    </row>
    <row r="335" ht="14.25" customHeight="1">
      <c r="A335" s="19" t="s">
        <v>1173</v>
      </c>
      <c r="B335" s="19" t="s">
        <v>602</v>
      </c>
      <c r="C335" s="33" t="s">
        <v>1174</v>
      </c>
      <c r="D335" s="21"/>
      <c r="E335" s="21"/>
      <c r="F335" s="27" t="s">
        <v>103</v>
      </c>
      <c r="G335" s="19" t="s">
        <v>38</v>
      </c>
      <c r="H335" s="23" t="s">
        <v>1175</v>
      </c>
      <c r="I335" s="21"/>
      <c r="J335" s="24"/>
      <c r="K335" s="25" t="s">
        <v>50</v>
      </c>
      <c r="L335" s="24" t="s">
        <v>105</v>
      </c>
      <c r="M335" s="11">
        <f t="shared" si="1"/>
        <v>1</v>
      </c>
      <c r="N335" s="21"/>
      <c r="O335" s="21"/>
      <c r="P335" s="21"/>
      <c r="Q335" s="21"/>
      <c r="R335" s="21"/>
      <c r="S335" s="21"/>
      <c r="T335" s="21"/>
      <c r="U335" s="21"/>
      <c r="V335" s="21"/>
      <c r="W335" s="24">
        <v>1.0</v>
      </c>
      <c r="X335" s="21"/>
      <c r="Y335" s="21"/>
      <c r="Z335" s="14">
        <f t="shared" si="3"/>
        <v>1</v>
      </c>
      <c r="AA335" s="15" t="s">
        <v>52</v>
      </c>
      <c r="AB335" s="14">
        <v>0.49757595591282544</v>
      </c>
    </row>
    <row r="336" ht="14.25" customHeight="1">
      <c r="A336" s="12" t="s">
        <v>1176</v>
      </c>
      <c r="B336" s="12" t="s">
        <v>1177</v>
      </c>
      <c r="C336" s="38" t="s">
        <v>1178</v>
      </c>
      <c r="D336" s="11"/>
      <c r="E336" s="11"/>
      <c r="F336" s="27" t="s">
        <v>140</v>
      </c>
      <c r="G336" s="11" t="s">
        <v>38</v>
      </c>
      <c r="H336" s="28" t="s">
        <v>1179</v>
      </c>
      <c r="I336" s="11"/>
      <c r="J336" s="11"/>
      <c r="K336" s="29" t="s">
        <v>50</v>
      </c>
      <c r="L336" s="12" t="s">
        <v>1180</v>
      </c>
      <c r="M336" s="11">
        <f t="shared" si="1"/>
        <v>1</v>
      </c>
      <c r="N336" s="18"/>
      <c r="O336" s="11"/>
      <c r="P336" s="11"/>
      <c r="Q336" s="11"/>
      <c r="R336" s="11"/>
      <c r="S336" s="12">
        <v>1.0</v>
      </c>
      <c r="T336" s="12"/>
      <c r="U336" s="12"/>
      <c r="V336" s="31"/>
      <c r="W336" s="18"/>
      <c r="X336" s="11"/>
      <c r="Y336" s="11"/>
      <c r="Z336" s="14">
        <f t="shared" si="3"/>
        <v>1</v>
      </c>
      <c r="AA336" s="15" t="s">
        <v>33</v>
      </c>
      <c r="AB336" s="14">
        <v>0.4976272350067007</v>
      </c>
    </row>
    <row r="337" ht="14.25" hidden="1" customHeight="1">
      <c r="A337" s="12" t="s">
        <v>1181</v>
      </c>
      <c r="B337" s="12" t="s">
        <v>1182</v>
      </c>
      <c r="C337" s="30" t="s">
        <v>1183</v>
      </c>
      <c r="D337" s="11"/>
      <c r="E337" s="11"/>
      <c r="F337" s="11"/>
      <c r="G337" s="12" t="s">
        <v>38</v>
      </c>
      <c r="H337" s="11"/>
      <c r="I337" s="11"/>
      <c r="J337" s="12"/>
      <c r="K337" s="12" t="s">
        <v>31</v>
      </c>
      <c r="L337" s="12" t="s">
        <v>252</v>
      </c>
      <c r="M337" s="11">
        <f t="shared" si="1"/>
        <v>0</v>
      </c>
      <c r="N337" s="11"/>
      <c r="O337" s="11"/>
      <c r="P337" s="11"/>
      <c r="Q337" s="11"/>
      <c r="R337" s="11"/>
      <c r="S337" s="12">
        <v>1.0</v>
      </c>
      <c r="T337" s="12"/>
      <c r="U337" s="12"/>
      <c r="V337" s="31">
        <v>1.0</v>
      </c>
      <c r="W337" s="31">
        <v>1.0</v>
      </c>
      <c r="X337" s="11"/>
      <c r="Y337" s="11"/>
      <c r="Z337" s="14">
        <f t="shared" si="3"/>
        <v>3</v>
      </c>
      <c r="AA337" s="15" t="s">
        <v>106</v>
      </c>
    </row>
    <row r="338" ht="14.25" customHeight="1">
      <c r="A338" s="19" t="s">
        <v>1184</v>
      </c>
      <c r="B338" s="19" t="s">
        <v>210</v>
      </c>
      <c r="C338" s="33" t="s">
        <v>1185</v>
      </c>
      <c r="D338" s="21"/>
      <c r="E338" s="21"/>
      <c r="F338" s="27" t="s">
        <v>171</v>
      </c>
      <c r="G338" s="19" t="s">
        <v>38</v>
      </c>
      <c r="H338" s="23" t="s">
        <v>675</v>
      </c>
      <c r="I338" s="21"/>
      <c r="J338" s="21"/>
      <c r="K338" s="25" t="s">
        <v>50</v>
      </c>
      <c r="L338" s="24" t="s">
        <v>235</v>
      </c>
      <c r="M338" s="11">
        <f t="shared" si="1"/>
        <v>1</v>
      </c>
      <c r="N338" s="21"/>
      <c r="O338" s="21"/>
      <c r="P338" s="21"/>
      <c r="Q338" s="21"/>
      <c r="R338" s="21"/>
      <c r="S338" s="21"/>
      <c r="T338" s="21"/>
      <c r="U338" s="21"/>
      <c r="V338" s="21"/>
      <c r="W338" s="24">
        <v>1.0</v>
      </c>
      <c r="X338" s="21"/>
      <c r="Y338" s="21"/>
      <c r="Z338" s="14">
        <f t="shared" si="3"/>
        <v>1</v>
      </c>
      <c r="AA338" s="15" t="s">
        <v>52</v>
      </c>
      <c r="AB338" s="14">
        <v>0.49800219263829926</v>
      </c>
    </row>
    <row r="339" ht="14.25" hidden="1" customHeight="1">
      <c r="A339" s="12" t="s">
        <v>1186</v>
      </c>
      <c r="B339" s="12" t="s">
        <v>1187</v>
      </c>
      <c r="C339" s="30" t="s">
        <v>1188</v>
      </c>
      <c r="D339" s="11"/>
      <c r="E339" s="11"/>
      <c r="F339" s="11"/>
      <c r="G339" s="12" t="s">
        <v>196</v>
      </c>
      <c r="H339" s="11"/>
      <c r="I339" s="11"/>
      <c r="J339" s="12"/>
      <c r="K339" s="12" t="s">
        <v>31</v>
      </c>
      <c r="L339" s="12" t="s">
        <v>252</v>
      </c>
      <c r="M339" s="11">
        <f t="shared" si="1"/>
        <v>0</v>
      </c>
      <c r="N339" s="11"/>
      <c r="O339" s="11"/>
      <c r="P339" s="11"/>
      <c r="Q339" s="11"/>
      <c r="R339" s="11"/>
      <c r="S339" s="11"/>
      <c r="T339" s="11"/>
      <c r="U339" s="11"/>
      <c r="V339" s="31">
        <v>1.0</v>
      </c>
      <c r="W339" s="31">
        <v>1.0</v>
      </c>
      <c r="X339" s="11"/>
      <c r="Y339" s="11"/>
      <c r="Z339" s="14">
        <f t="shared" si="3"/>
        <v>2</v>
      </c>
      <c r="AA339" s="15" t="s">
        <v>106</v>
      </c>
    </row>
    <row r="340" ht="14.25" hidden="1" customHeight="1">
      <c r="A340" s="11" t="s">
        <v>1189</v>
      </c>
      <c r="B340" s="11" t="s">
        <v>1190</v>
      </c>
      <c r="C340" s="42" t="s">
        <v>1191</v>
      </c>
      <c r="D340" s="11"/>
      <c r="E340" s="11"/>
      <c r="F340" s="11"/>
      <c r="G340" s="11" t="s">
        <v>38</v>
      </c>
      <c r="H340" s="11"/>
      <c r="I340" s="11"/>
      <c r="J340" s="11"/>
      <c r="K340" s="12" t="s">
        <v>89</v>
      </c>
      <c r="L340" s="12" t="s">
        <v>43</v>
      </c>
      <c r="M340" s="11">
        <f t="shared" si="1"/>
        <v>0</v>
      </c>
      <c r="N340" s="11"/>
      <c r="O340" s="11"/>
      <c r="P340" s="11"/>
      <c r="Q340" s="11"/>
      <c r="R340" s="11"/>
      <c r="S340" s="11"/>
      <c r="T340" s="11"/>
      <c r="U340" s="11"/>
      <c r="V340" s="18"/>
      <c r="W340" s="18">
        <v>1.0</v>
      </c>
      <c r="X340" s="11"/>
      <c r="Y340" s="11"/>
      <c r="Z340" s="14">
        <f t="shared" si="3"/>
        <v>1</v>
      </c>
      <c r="AA340" s="15" t="s">
        <v>91</v>
      </c>
    </row>
    <row r="341" ht="14.25" hidden="1" customHeight="1">
      <c r="A341" s="11" t="s">
        <v>1192</v>
      </c>
      <c r="B341" s="11" t="s">
        <v>1193</v>
      </c>
      <c r="C341" s="16" t="s">
        <v>1194</v>
      </c>
      <c r="D341" s="11"/>
      <c r="E341" s="11"/>
      <c r="F341" s="11"/>
      <c r="G341" s="11" t="s">
        <v>48</v>
      </c>
      <c r="H341" s="11"/>
      <c r="I341" s="11"/>
      <c r="J341" s="11"/>
      <c r="K341" s="11" t="s">
        <v>31</v>
      </c>
      <c r="L341" s="12" t="s">
        <v>252</v>
      </c>
      <c r="M341" s="11">
        <f t="shared" si="1"/>
        <v>0</v>
      </c>
      <c r="N341" s="11"/>
      <c r="O341" s="11"/>
      <c r="P341" s="11"/>
      <c r="Q341" s="11"/>
      <c r="R341" s="11"/>
      <c r="S341" s="11"/>
      <c r="T341" s="11"/>
      <c r="U341" s="11"/>
      <c r="V341" s="18"/>
      <c r="W341" s="18">
        <v>1.0</v>
      </c>
      <c r="X341" s="11"/>
      <c r="Y341" s="11"/>
      <c r="Z341" s="14">
        <f t="shared" si="3"/>
        <v>1</v>
      </c>
      <c r="AA341" s="15" t="s">
        <v>106</v>
      </c>
    </row>
    <row r="342" ht="14.25" customHeight="1">
      <c r="A342" s="11" t="s">
        <v>1195</v>
      </c>
      <c r="B342" s="11" t="s">
        <v>1196</v>
      </c>
      <c r="C342" s="38" t="s">
        <v>1197</v>
      </c>
      <c r="D342" s="12" t="s">
        <v>29</v>
      </c>
      <c r="E342" s="12" t="s">
        <v>1198</v>
      </c>
      <c r="F342" s="27" t="s">
        <v>62</v>
      </c>
      <c r="G342" s="11" t="s">
        <v>264</v>
      </c>
      <c r="H342" s="28" t="s">
        <v>239</v>
      </c>
      <c r="I342" s="11"/>
      <c r="J342" s="11"/>
      <c r="K342" s="29" t="s">
        <v>50</v>
      </c>
      <c r="L342" s="11"/>
      <c r="M342" s="11">
        <f t="shared" si="1"/>
        <v>1</v>
      </c>
      <c r="N342" s="18">
        <v>1.0</v>
      </c>
      <c r="O342" s="18">
        <v>1.0</v>
      </c>
      <c r="P342" s="18">
        <v>1.0</v>
      </c>
      <c r="Q342" s="31">
        <v>1.0</v>
      </c>
      <c r="R342" s="31">
        <v>1.0</v>
      </c>
      <c r="S342" s="31">
        <v>1.0</v>
      </c>
      <c r="T342" s="31">
        <v>1.0</v>
      </c>
      <c r="U342" s="31"/>
      <c r="V342" s="31">
        <v>1.0</v>
      </c>
      <c r="W342" s="18">
        <v>1.0</v>
      </c>
      <c r="X342" s="31">
        <v>1.0</v>
      </c>
      <c r="Y342" s="18">
        <v>1.0</v>
      </c>
      <c r="Z342" s="14">
        <f t="shared" si="3"/>
        <v>11</v>
      </c>
      <c r="AA342" s="15" t="s">
        <v>106</v>
      </c>
      <c r="AB342" s="14">
        <v>0.49961328436783015</v>
      </c>
    </row>
    <row r="343" ht="14.25" hidden="1" customHeight="1">
      <c r="A343" s="19" t="s">
        <v>1199</v>
      </c>
      <c r="B343" s="75" t="s">
        <v>1200</v>
      </c>
      <c r="C343" s="44" t="s">
        <v>1201</v>
      </c>
      <c r="D343" s="21"/>
      <c r="E343" s="21"/>
      <c r="F343" s="21"/>
      <c r="G343" s="19" t="s">
        <v>38</v>
      </c>
      <c r="H343" s="21"/>
      <c r="I343" s="21"/>
      <c r="J343" s="24"/>
      <c r="K343" s="24" t="s">
        <v>89</v>
      </c>
      <c r="L343" s="24" t="s">
        <v>200</v>
      </c>
      <c r="M343" s="11">
        <f t="shared" si="1"/>
        <v>0</v>
      </c>
      <c r="N343" s="21"/>
      <c r="O343" s="21"/>
      <c r="P343" s="21"/>
      <c r="Q343" s="21"/>
      <c r="R343" s="21"/>
      <c r="S343" s="21"/>
      <c r="T343" s="21"/>
      <c r="U343" s="21"/>
      <c r="V343" s="21"/>
      <c r="W343" s="24">
        <v>1.0</v>
      </c>
      <c r="X343" s="21"/>
      <c r="Y343" s="21"/>
      <c r="Z343" s="14">
        <f t="shared" si="3"/>
        <v>1</v>
      </c>
      <c r="AA343" s="15" t="s">
        <v>106</v>
      </c>
    </row>
    <row r="344" ht="14.25" hidden="1" customHeight="1">
      <c r="A344" s="12" t="s">
        <v>1202</v>
      </c>
      <c r="B344" s="12" t="s">
        <v>237</v>
      </c>
      <c r="C344" s="30" t="s">
        <v>1203</v>
      </c>
      <c r="D344" s="11"/>
      <c r="E344" s="11"/>
      <c r="F344" s="11"/>
      <c r="G344" s="12" t="s">
        <v>48</v>
      </c>
      <c r="H344" s="11"/>
      <c r="I344" s="11"/>
      <c r="J344" s="12"/>
      <c r="K344" s="12" t="s">
        <v>31</v>
      </c>
      <c r="L344" s="12" t="s">
        <v>252</v>
      </c>
      <c r="M344" s="11">
        <f t="shared" si="1"/>
        <v>0</v>
      </c>
      <c r="N344" s="11"/>
      <c r="O344" s="11"/>
      <c r="P344" s="11"/>
      <c r="Q344" s="11"/>
      <c r="R344" s="11"/>
      <c r="S344" s="11"/>
      <c r="T344" s="11"/>
      <c r="U344" s="11"/>
      <c r="V344" s="31">
        <v>1.0</v>
      </c>
      <c r="W344" s="18"/>
      <c r="X344" s="11"/>
      <c r="Y344" s="11"/>
      <c r="Z344" s="14">
        <f t="shared" si="3"/>
        <v>1</v>
      </c>
      <c r="AA344" s="15" t="s">
        <v>106</v>
      </c>
    </row>
    <row r="345" ht="14.25" customHeight="1">
      <c r="A345" s="47" t="s">
        <v>1204</v>
      </c>
      <c r="B345" s="47" t="s">
        <v>1205</v>
      </c>
      <c r="C345" s="76" t="s">
        <v>1206</v>
      </c>
      <c r="D345" s="21"/>
      <c r="E345" s="21"/>
      <c r="F345" s="27" t="s">
        <v>140</v>
      </c>
      <c r="G345" s="19" t="s">
        <v>196</v>
      </c>
      <c r="H345" s="23" t="s">
        <v>64</v>
      </c>
      <c r="I345" s="21"/>
      <c r="J345" s="24"/>
      <c r="K345" s="25" t="s">
        <v>50</v>
      </c>
      <c r="L345" s="24" t="s">
        <v>181</v>
      </c>
      <c r="M345" s="11">
        <f t="shared" si="1"/>
        <v>1</v>
      </c>
      <c r="N345" s="21"/>
      <c r="O345" s="21"/>
      <c r="P345" s="21"/>
      <c r="Q345" s="21"/>
      <c r="R345" s="21"/>
      <c r="S345" s="21"/>
      <c r="T345" s="21"/>
      <c r="U345" s="21"/>
      <c r="V345" s="21"/>
      <c r="W345" s="24">
        <v>1.0</v>
      </c>
      <c r="X345" s="21"/>
      <c r="Y345" s="21"/>
      <c r="Z345" s="14">
        <f t="shared" si="3"/>
        <v>1</v>
      </c>
      <c r="AA345" s="15" t="s">
        <v>91</v>
      </c>
      <c r="AB345" s="14">
        <v>0.49998383457551143</v>
      </c>
    </row>
    <row r="346" ht="14.25" customHeight="1">
      <c r="A346" s="11" t="s">
        <v>1207</v>
      </c>
      <c r="B346" s="12" t="s">
        <v>1208</v>
      </c>
      <c r="C346" s="37" t="s">
        <v>1209</v>
      </c>
      <c r="D346" s="12" t="s">
        <v>29</v>
      </c>
      <c r="E346" s="12" t="s">
        <v>29</v>
      </c>
      <c r="F346" s="27" t="s">
        <v>95</v>
      </c>
      <c r="G346" s="11" t="s">
        <v>1210</v>
      </c>
      <c r="H346" s="28" t="s">
        <v>141</v>
      </c>
      <c r="I346" s="11"/>
      <c r="J346" s="11"/>
      <c r="K346" s="29" t="s">
        <v>50</v>
      </c>
      <c r="L346" s="11"/>
      <c r="M346" s="11">
        <f t="shared" si="1"/>
        <v>1</v>
      </c>
      <c r="N346" s="18">
        <v>1.0</v>
      </c>
      <c r="O346" s="18">
        <v>1.0</v>
      </c>
      <c r="P346" s="11"/>
      <c r="Q346" s="11"/>
      <c r="R346" s="11"/>
      <c r="S346" s="11"/>
      <c r="T346" s="12">
        <v>1.0</v>
      </c>
      <c r="U346" s="12"/>
      <c r="V346" s="31">
        <v>1.0</v>
      </c>
      <c r="W346" s="18">
        <v>1.0</v>
      </c>
      <c r="X346" s="11"/>
      <c r="Y346" s="11"/>
      <c r="Z346" s="14">
        <f t="shared" si="3"/>
        <v>5</v>
      </c>
      <c r="AA346" s="15" t="s">
        <v>106</v>
      </c>
      <c r="AB346" s="14">
        <v>0.5005600290730929</v>
      </c>
    </row>
    <row r="347" ht="14.25" customHeight="1">
      <c r="A347" s="11" t="s">
        <v>1211</v>
      </c>
      <c r="B347" s="11" t="s">
        <v>1212</v>
      </c>
      <c r="C347" s="26" t="s">
        <v>1213</v>
      </c>
      <c r="D347" s="11"/>
      <c r="E347" s="11"/>
      <c r="F347" s="27" t="s">
        <v>77</v>
      </c>
      <c r="G347" s="11" t="s">
        <v>1214</v>
      </c>
      <c r="H347" s="28" t="s">
        <v>1215</v>
      </c>
      <c r="I347" s="11"/>
      <c r="J347" s="11"/>
      <c r="K347" s="29" t="s">
        <v>50</v>
      </c>
      <c r="L347" s="12" t="s">
        <v>357</v>
      </c>
      <c r="M347" s="11">
        <f t="shared" si="1"/>
        <v>1</v>
      </c>
      <c r="N347" s="11"/>
      <c r="O347" s="11"/>
      <c r="P347" s="11"/>
      <c r="Q347" s="11"/>
      <c r="R347" s="11"/>
      <c r="S347" s="11"/>
      <c r="T347" s="11"/>
      <c r="U347" s="11"/>
      <c r="V347" s="18"/>
      <c r="W347" s="18">
        <v>1.0</v>
      </c>
      <c r="X347" s="11"/>
      <c r="Y347" s="11"/>
      <c r="Z347" s="14">
        <f t="shared" si="3"/>
        <v>1</v>
      </c>
      <c r="AA347" s="15" t="s">
        <v>91</v>
      </c>
      <c r="AB347" s="14">
        <v>0.5051713740287848</v>
      </c>
    </row>
    <row r="348" ht="14.25" customHeight="1">
      <c r="A348" s="11" t="s">
        <v>1211</v>
      </c>
      <c r="B348" s="11" t="s">
        <v>1216</v>
      </c>
      <c r="C348" s="35" t="s">
        <v>1217</v>
      </c>
      <c r="D348" s="11"/>
      <c r="E348" s="11"/>
      <c r="F348" s="27" t="s">
        <v>77</v>
      </c>
      <c r="G348" s="11" t="s">
        <v>1218</v>
      </c>
      <c r="H348" s="28" t="s">
        <v>104</v>
      </c>
      <c r="I348" s="11"/>
      <c r="J348" s="11"/>
      <c r="K348" s="29" t="s">
        <v>50</v>
      </c>
      <c r="L348" s="12" t="s">
        <v>357</v>
      </c>
      <c r="M348" s="11">
        <f t="shared" si="1"/>
        <v>1</v>
      </c>
      <c r="N348" s="11"/>
      <c r="O348" s="11"/>
      <c r="P348" s="11"/>
      <c r="Q348" s="11"/>
      <c r="R348" s="11"/>
      <c r="S348" s="11"/>
      <c r="T348" s="11"/>
      <c r="U348" s="11"/>
      <c r="V348" s="18"/>
      <c r="W348" s="18">
        <v>1.0</v>
      </c>
      <c r="X348" s="11"/>
      <c r="Y348" s="11"/>
      <c r="Z348" s="14">
        <f t="shared" si="3"/>
        <v>1</v>
      </c>
      <c r="AA348" s="15" t="s">
        <v>91</v>
      </c>
      <c r="AB348" s="14">
        <v>0.5055003469343237</v>
      </c>
    </row>
    <row r="349" ht="14.25" customHeight="1">
      <c r="A349" s="11" t="s">
        <v>1219</v>
      </c>
      <c r="B349" s="11" t="s">
        <v>1220</v>
      </c>
      <c r="C349" s="26" t="s">
        <v>1221</v>
      </c>
      <c r="D349" s="11"/>
      <c r="E349" s="11"/>
      <c r="F349" s="27" t="s">
        <v>95</v>
      </c>
      <c r="G349" s="11" t="s">
        <v>196</v>
      </c>
      <c r="H349" s="28" t="s">
        <v>99</v>
      </c>
      <c r="I349" s="11"/>
      <c r="J349" s="11"/>
      <c r="K349" s="29" t="s">
        <v>50</v>
      </c>
      <c r="L349" s="12" t="s">
        <v>65</v>
      </c>
      <c r="M349" s="11">
        <f t="shared" si="1"/>
        <v>1</v>
      </c>
      <c r="N349" s="11"/>
      <c r="O349" s="11"/>
      <c r="P349" s="11"/>
      <c r="Q349" s="11"/>
      <c r="R349" s="11"/>
      <c r="S349" s="11"/>
      <c r="T349" s="11"/>
      <c r="U349" s="11"/>
      <c r="V349" s="31">
        <v>1.0</v>
      </c>
      <c r="W349" s="18">
        <v>1.0</v>
      </c>
      <c r="X349" s="11"/>
      <c r="Y349" s="11"/>
      <c r="Z349" s="14">
        <f t="shared" si="3"/>
        <v>2</v>
      </c>
      <c r="AA349" s="15" t="s">
        <v>106</v>
      </c>
      <c r="AB349" s="14">
        <v>0.5066086783311538</v>
      </c>
    </row>
    <row r="350" ht="14.25" hidden="1" customHeight="1">
      <c r="A350" s="11" t="s">
        <v>1222</v>
      </c>
      <c r="B350" s="11" t="s">
        <v>1223</v>
      </c>
      <c r="C350" s="42" t="s">
        <v>1224</v>
      </c>
      <c r="D350" s="11"/>
      <c r="E350" s="11"/>
      <c r="F350" s="11"/>
      <c r="G350" s="11" t="s">
        <v>48</v>
      </c>
      <c r="H350" s="11"/>
      <c r="I350" s="11"/>
      <c r="J350" s="11"/>
      <c r="K350" s="11" t="s">
        <v>31</v>
      </c>
      <c r="L350" s="12" t="s">
        <v>252</v>
      </c>
      <c r="M350" s="11">
        <f t="shared" si="1"/>
        <v>0</v>
      </c>
      <c r="N350" s="11"/>
      <c r="O350" s="11"/>
      <c r="P350" s="11"/>
      <c r="Q350" s="11"/>
      <c r="R350" s="11"/>
      <c r="S350" s="11"/>
      <c r="T350" s="11"/>
      <c r="U350" s="11"/>
      <c r="V350" s="31">
        <v>1.0</v>
      </c>
      <c r="W350" s="18">
        <v>1.0</v>
      </c>
      <c r="X350" s="11"/>
      <c r="Y350" s="11"/>
      <c r="Z350" s="14">
        <f t="shared" si="3"/>
        <v>2</v>
      </c>
      <c r="AA350" s="15" t="s">
        <v>106</v>
      </c>
    </row>
    <row r="351" ht="14.25" customHeight="1">
      <c r="A351" s="19" t="s">
        <v>1225</v>
      </c>
      <c r="B351" s="19" t="s">
        <v>318</v>
      </c>
      <c r="C351" s="20" t="s">
        <v>1226</v>
      </c>
      <c r="D351" s="21"/>
      <c r="E351" s="21"/>
      <c r="F351" s="27" t="s">
        <v>77</v>
      </c>
      <c r="G351" s="19" t="s">
        <v>48</v>
      </c>
      <c r="H351" s="23" t="s">
        <v>365</v>
      </c>
      <c r="I351" s="21"/>
      <c r="J351" s="21"/>
      <c r="K351" s="25" t="s">
        <v>50</v>
      </c>
      <c r="L351" s="24" t="s">
        <v>85</v>
      </c>
      <c r="M351" s="11">
        <f t="shared" si="1"/>
        <v>1</v>
      </c>
      <c r="N351" s="21"/>
      <c r="O351" s="21"/>
      <c r="P351" s="21"/>
      <c r="Q351" s="21"/>
      <c r="R351" s="21"/>
      <c r="S351" s="21"/>
      <c r="T351" s="21"/>
      <c r="U351" s="21"/>
      <c r="V351" s="21"/>
      <c r="W351" s="24">
        <v>1.0</v>
      </c>
      <c r="X351" s="21"/>
      <c r="Y351" s="21"/>
      <c r="Z351" s="14">
        <f t="shared" si="3"/>
        <v>1</v>
      </c>
      <c r="AA351" s="15" t="s">
        <v>33</v>
      </c>
      <c r="AB351" s="14">
        <v>0.5082030555223743</v>
      </c>
    </row>
    <row r="352" ht="14.25" hidden="1" customHeight="1">
      <c r="A352" s="11" t="s">
        <v>1227</v>
      </c>
      <c r="B352" s="11" t="s">
        <v>1228</v>
      </c>
      <c r="C352" s="42" t="s">
        <v>1229</v>
      </c>
      <c r="D352" s="11"/>
      <c r="E352" s="11"/>
      <c r="F352" s="11"/>
      <c r="G352" s="11" t="s">
        <v>78</v>
      </c>
      <c r="H352" s="11"/>
      <c r="I352" s="11"/>
      <c r="J352" s="11"/>
      <c r="K352" s="12" t="s">
        <v>89</v>
      </c>
      <c r="L352" s="12" t="s">
        <v>1230</v>
      </c>
      <c r="M352" s="11">
        <f t="shared" si="1"/>
        <v>0</v>
      </c>
      <c r="N352" s="11"/>
      <c r="O352" s="11"/>
      <c r="P352" s="11"/>
      <c r="Q352" s="11"/>
      <c r="R352" s="11"/>
      <c r="S352" s="11"/>
      <c r="T352" s="11"/>
      <c r="U352" s="11"/>
      <c r="V352" s="31">
        <v>1.0</v>
      </c>
      <c r="W352" s="18">
        <v>1.0</v>
      </c>
      <c r="X352" s="11"/>
      <c r="Y352" s="11"/>
      <c r="Z352" s="14">
        <f t="shared" si="3"/>
        <v>2</v>
      </c>
      <c r="AA352" s="15" t="s">
        <v>91</v>
      </c>
    </row>
    <row r="353" ht="14.25" hidden="1" customHeight="1">
      <c r="A353" s="11" t="s">
        <v>1231</v>
      </c>
      <c r="B353" s="11" t="s">
        <v>1232</v>
      </c>
      <c r="C353" s="42" t="s">
        <v>1233</v>
      </c>
      <c r="D353" s="11"/>
      <c r="E353" s="11"/>
      <c r="F353" s="11"/>
      <c r="G353" s="11" t="s">
        <v>1234</v>
      </c>
      <c r="H353" s="11"/>
      <c r="I353" s="11"/>
      <c r="J353" s="11"/>
      <c r="K353" s="12" t="s">
        <v>89</v>
      </c>
      <c r="L353" s="12" t="s">
        <v>922</v>
      </c>
      <c r="M353" s="11">
        <f t="shared" si="1"/>
        <v>0</v>
      </c>
      <c r="N353" s="11"/>
      <c r="O353" s="11"/>
      <c r="P353" s="11"/>
      <c r="Q353" s="11"/>
      <c r="R353" s="11"/>
      <c r="S353" s="11"/>
      <c r="T353" s="11"/>
      <c r="U353" s="11"/>
      <c r="V353" s="18"/>
      <c r="W353" s="18">
        <v>1.0</v>
      </c>
      <c r="X353" s="11"/>
      <c r="Y353" s="11"/>
      <c r="Z353" s="14">
        <f t="shared" si="3"/>
        <v>1</v>
      </c>
      <c r="AA353" s="15" t="s">
        <v>91</v>
      </c>
    </row>
    <row r="354" ht="14.25" customHeight="1">
      <c r="A354" s="11" t="s">
        <v>1235</v>
      </c>
      <c r="B354" s="11" t="s">
        <v>1236</v>
      </c>
      <c r="C354" s="37" t="s">
        <v>1237</v>
      </c>
      <c r="D354" s="12" t="s">
        <v>29</v>
      </c>
      <c r="E354" s="12" t="s">
        <v>29</v>
      </c>
      <c r="F354" s="27" t="s">
        <v>95</v>
      </c>
      <c r="G354" s="11" t="s">
        <v>78</v>
      </c>
      <c r="H354" s="28" t="s">
        <v>1238</v>
      </c>
      <c r="I354" s="12" t="s">
        <v>1239</v>
      </c>
      <c r="J354" s="11"/>
      <c r="K354" s="29" t="s">
        <v>50</v>
      </c>
      <c r="L354" s="11"/>
      <c r="M354" s="11">
        <f t="shared" si="1"/>
        <v>1</v>
      </c>
      <c r="N354" s="11"/>
      <c r="O354" s="11"/>
      <c r="P354" s="11"/>
      <c r="Q354" s="11"/>
      <c r="R354" s="11"/>
      <c r="S354" s="11"/>
      <c r="T354" s="11"/>
      <c r="U354" s="11"/>
      <c r="V354" s="11"/>
      <c r="W354" s="11"/>
      <c r="X354" s="11"/>
      <c r="Y354" s="11"/>
      <c r="Z354" s="14">
        <f t="shared" si="3"/>
        <v>0</v>
      </c>
      <c r="AA354" s="15" t="s">
        <v>106</v>
      </c>
      <c r="AB354" s="14">
        <v>0.5090875622470388</v>
      </c>
    </row>
    <row r="355" ht="14.25" hidden="1" customHeight="1">
      <c r="A355" s="11" t="s">
        <v>1240</v>
      </c>
      <c r="B355" s="11" t="s">
        <v>1241</v>
      </c>
      <c r="C355" s="42" t="s">
        <v>1242</v>
      </c>
      <c r="D355" s="11"/>
      <c r="E355" s="11"/>
      <c r="F355" s="11"/>
      <c r="G355" s="11" t="s">
        <v>128</v>
      </c>
      <c r="H355" s="11"/>
      <c r="I355" s="11"/>
      <c r="J355" s="11"/>
      <c r="K355" s="12" t="s">
        <v>89</v>
      </c>
      <c r="L355" s="11" t="s">
        <v>1111</v>
      </c>
      <c r="M355" s="11">
        <f t="shared" si="1"/>
        <v>0</v>
      </c>
      <c r="N355" s="11"/>
      <c r="O355" s="11"/>
      <c r="P355" s="11"/>
      <c r="Q355" s="11"/>
      <c r="R355" s="11"/>
      <c r="S355" s="11"/>
      <c r="T355" s="11"/>
      <c r="U355" s="11"/>
      <c r="V355" s="18"/>
      <c r="W355" s="18">
        <v>1.0</v>
      </c>
      <c r="X355" s="11"/>
      <c r="Y355" s="11"/>
      <c r="Z355" s="14">
        <f t="shared" si="3"/>
        <v>1</v>
      </c>
      <c r="AA355" s="15" t="s">
        <v>91</v>
      </c>
    </row>
    <row r="356" ht="14.25" hidden="1" customHeight="1">
      <c r="A356" s="11" t="s">
        <v>1243</v>
      </c>
      <c r="B356" s="11" t="s">
        <v>1244</v>
      </c>
      <c r="C356" s="16" t="s">
        <v>1245</v>
      </c>
      <c r="D356" s="11"/>
      <c r="E356" s="11"/>
      <c r="F356" s="11"/>
      <c r="G356" s="11" t="s">
        <v>115</v>
      </c>
      <c r="H356" s="11"/>
      <c r="I356" s="11"/>
      <c r="J356" s="11"/>
      <c r="K356" s="12" t="s">
        <v>89</v>
      </c>
      <c r="L356" s="12" t="s">
        <v>252</v>
      </c>
      <c r="M356" s="11">
        <f t="shared" si="1"/>
        <v>0</v>
      </c>
      <c r="N356" s="18">
        <v>1.0</v>
      </c>
      <c r="O356" s="11"/>
      <c r="P356" s="11"/>
      <c r="Q356" s="11"/>
      <c r="R356" s="11"/>
      <c r="S356" s="11"/>
      <c r="T356" s="11"/>
      <c r="U356" s="11"/>
      <c r="V356" s="31">
        <v>1.0</v>
      </c>
      <c r="W356" s="18">
        <v>1.0</v>
      </c>
      <c r="X356" s="11"/>
      <c r="Y356" s="11"/>
      <c r="Z356" s="14">
        <f t="shared" si="3"/>
        <v>3</v>
      </c>
      <c r="AA356" s="15" t="s">
        <v>106</v>
      </c>
    </row>
    <row r="357" ht="14.25" hidden="1" customHeight="1">
      <c r="A357" s="11" t="s">
        <v>1246</v>
      </c>
      <c r="B357" s="11" t="s">
        <v>1247</v>
      </c>
      <c r="C357" s="42" t="s">
        <v>1248</v>
      </c>
      <c r="D357" s="11"/>
      <c r="E357" s="11"/>
      <c r="F357" s="11"/>
      <c r="G357" s="11" t="s">
        <v>1249</v>
      </c>
      <c r="H357" s="11"/>
      <c r="I357" s="11"/>
      <c r="J357" s="11"/>
      <c r="K357" s="12" t="s">
        <v>89</v>
      </c>
      <c r="L357" s="12" t="s">
        <v>43</v>
      </c>
      <c r="M357" s="11">
        <f t="shared" si="1"/>
        <v>0</v>
      </c>
      <c r="N357" s="11"/>
      <c r="O357" s="11"/>
      <c r="P357" s="11"/>
      <c r="Q357" s="11"/>
      <c r="R357" s="11"/>
      <c r="S357" s="11"/>
      <c r="T357" s="11"/>
      <c r="U357" s="11"/>
      <c r="V357" s="18"/>
      <c r="W357" s="18">
        <v>1.0</v>
      </c>
      <c r="X357" s="11"/>
      <c r="Y357" s="11"/>
      <c r="Z357" s="14">
        <f t="shared" si="3"/>
        <v>1</v>
      </c>
      <c r="AA357" s="15" t="s">
        <v>91</v>
      </c>
    </row>
    <row r="358" ht="14.25" hidden="1" customHeight="1">
      <c r="A358" s="11" t="s">
        <v>1250</v>
      </c>
      <c r="B358" s="11" t="s">
        <v>1247</v>
      </c>
      <c r="C358" s="42" t="s">
        <v>1251</v>
      </c>
      <c r="D358" s="11"/>
      <c r="E358" s="11"/>
      <c r="F358" s="11"/>
      <c r="G358" s="11" t="s">
        <v>1249</v>
      </c>
      <c r="H358" s="11"/>
      <c r="I358" s="11"/>
      <c r="J358" s="11"/>
      <c r="K358" s="12" t="s">
        <v>89</v>
      </c>
      <c r="L358" s="12" t="s">
        <v>638</v>
      </c>
      <c r="M358" s="11">
        <f t="shared" si="1"/>
        <v>0</v>
      </c>
      <c r="N358" s="11"/>
      <c r="O358" s="11"/>
      <c r="P358" s="11"/>
      <c r="Q358" s="11"/>
      <c r="R358" s="11"/>
      <c r="S358" s="11"/>
      <c r="T358" s="11"/>
      <c r="U358" s="11"/>
      <c r="V358" s="18"/>
      <c r="W358" s="18">
        <v>1.0</v>
      </c>
      <c r="X358" s="11"/>
      <c r="Y358" s="11"/>
      <c r="Z358" s="14">
        <f t="shared" si="3"/>
        <v>1</v>
      </c>
      <c r="AA358" s="15" t="s">
        <v>91</v>
      </c>
    </row>
    <row r="359" ht="14.25" hidden="1" customHeight="1">
      <c r="A359" s="11" t="s">
        <v>1252</v>
      </c>
      <c r="B359" s="11" t="s">
        <v>1253</v>
      </c>
      <c r="C359" s="42" t="s">
        <v>1254</v>
      </c>
      <c r="D359" s="11"/>
      <c r="E359" s="11"/>
      <c r="F359" s="11"/>
      <c r="G359" s="11" t="s">
        <v>1255</v>
      </c>
      <c r="H359" s="11"/>
      <c r="I359" s="11"/>
      <c r="J359" s="11"/>
      <c r="K359" s="12" t="s">
        <v>89</v>
      </c>
      <c r="L359" s="11" t="s">
        <v>69</v>
      </c>
      <c r="M359" s="11">
        <f t="shared" si="1"/>
        <v>0</v>
      </c>
      <c r="N359" s="11"/>
      <c r="O359" s="11"/>
      <c r="P359" s="11"/>
      <c r="Q359" s="11"/>
      <c r="R359" s="11"/>
      <c r="S359" s="11"/>
      <c r="T359" s="11"/>
      <c r="U359" s="11"/>
      <c r="V359" s="18"/>
      <c r="W359" s="18">
        <v>1.0</v>
      </c>
      <c r="X359" s="11"/>
      <c r="Y359" s="11"/>
      <c r="Z359" s="14">
        <f t="shared" si="3"/>
        <v>1</v>
      </c>
      <c r="AA359" s="15" t="s">
        <v>91</v>
      </c>
    </row>
    <row r="360" ht="14.25" hidden="1" customHeight="1">
      <c r="A360" s="11" t="s">
        <v>1256</v>
      </c>
      <c r="B360" s="11" t="s">
        <v>1257</v>
      </c>
      <c r="C360" s="42" t="s">
        <v>1258</v>
      </c>
      <c r="D360" s="11"/>
      <c r="E360" s="11"/>
      <c r="F360" s="11"/>
      <c r="G360" s="11" t="s">
        <v>1255</v>
      </c>
      <c r="H360" s="11"/>
      <c r="I360" s="11"/>
      <c r="J360" s="11"/>
      <c r="K360" s="12" t="s">
        <v>89</v>
      </c>
      <c r="L360" s="12" t="s">
        <v>43</v>
      </c>
      <c r="M360" s="11">
        <f t="shared" si="1"/>
        <v>0</v>
      </c>
      <c r="N360" s="11"/>
      <c r="O360" s="11"/>
      <c r="P360" s="11"/>
      <c r="Q360" s="11"/>
      <c r="R360" s="11"/>
      <c r="S360" s="11"/>
      <c r="T360" s="11"/>
      <c r="U360" s="11"/>
      <c r="V360" s="18"/>
      <c r="W360" s="18">
        <v>1.0</v>
      </c>
      <c r="X360" s="11"/>
      <c r="Y360" s="11"/>
      <c r="Z360" s="14">
        <f t="shared" si="3"/>
        <v>1</v>
      </c>
      <c r="AA360" s="15" t="s">
        <v>91</v>
      </c>
    </row>
    <row r="361" ht="14.25" hidden="1" customHeight="1">
      <c r="A361" s="11" t="s">
        <v>1259</v>
      </c>
      <c r="B361" s="11" t="s">
        <v>1260</v>
      </c>
      <c r="C361" s="42" t="s">
        <v>1261</v>
      </c>
      <c r="D361" s="11"/>
      <c r="E361" s="11"/>
      <c r="F361" s="11"/>
      <c r="G361" s="11" t="s">
        <v>78</v>
      </c>
      <c r="H361" s="11"/>
      <c r="I361" s="11"/>
      <c r="J361" s="11"/>
      <c r="K361" s="12" t="s">
        <v>89</v>
      </c>
      <c r="L361" s="11" t="s">
        <v>922</v>
      </c>
      <c r="M361" s="11">
        <f t="shared" si="1"/>
        <v>0</v>
      </c>
      <c r="N361" s="11"/>
      <c r="O361" s="11"/>
      <c r="P361" s="11"/>
      <c r="Q361" s="11"/>
      <c r="R361" s="11"/>
      <c r="S361" s="11"/>
      <c r="T361" s="11"/>
      <c r="U361" s="11"/>
      <c r="V361" s="18"/>
      <c r="W361" s="18">
        <v>1.0</v>
      </c>
      <c r="X361" s="11"/>
      <c r="Y361" s="11"/>
      <c r="Z361" s="14">
        <f t="shared" si="3"/>
        <v>1</v>
      </c>
      <c r="AA361" s="15" t="s">
        <v>91</v>
      </c>
    </row>
    <row r="362" ht="14.25" hidden="1" customHeight="1">
      <c r="A362" s="11" t="s">
        <v>1262</v>
      </c>
      <c r="B362" s="11" t="s">
        <v>1260</v>
      </c>
      <c r="C362" s="42" t="s">
        <v>1263</v>
      </c>
      <c r="D362" s="11"/>
      <c r="E362" s="11"/>
      <c r="F362" s="11"/>
      <c r="G362" s="11" t="s">
        <v>78</v>
      </c>
      <c r="H362" s="11"/>
      <c r="I362" s="11"/>
      <c r="J362" s="11"/>
      <c r="K362" s="12" t="s">
        <v>89</v>
      </c>
      <c r="L362" s="11" t="s">
        <v>922</v>
      </c>
      <c r="M362" s="11">
        <f t="shared" si="1"/>
        <v>0</v>
      </c>
      <c r="N362" s="11"/>
      <c r="O362" s="11"/>
      <c r="P362" s="11"/>
      <c r="Q362" s="11"/>
      <c r="R362" s="11"/>
      <c r="S362" s="11"/>
      <c r="T362" s="11"/>
      <c r="U362" s="11"/>
      <c r="V362" s="18"/>
      <c r="W362" s="18">
        <v>1.0</v>
      </c>
      <c r="X362" s="11"/>
      <c r="Y362" s="11"/>
      <c r="Z362" s="14">
        <f t="shared" si="3"/>
        <v>1</v>
      </c>
      <c r="AA362" s="15" t="s">
        <v>91</v>
      </c>
    </row>
    <row r="363" ht="14.25" hidden="1" customHeight="1">
      <c r="A363" s="11" t="s">
        <v>1264</v>
      </c>
      <c r="B363" s="11" t="s">
        <v>1265</v>
      </c>
      <c r="C363" s="42" t="s">
        <v>1266</v>
      </c>
      <c r="D363" s="11"/>
      <c r="E363" s="11"/>
      <c r="F363" s="11"/>
      <c r="G363" s="11" t="s">
        <v>48</v>
      </c>
      <c r="H363" s="11"/>
      <c r="I363" s="11"/>
      <c r="J363" s="11"/>
      <c r="K363" s="12" t="s">
        <v>89</v>
      </c>
      <c r="L363" s="12" t="s">
        <v>43</v>
      </c>
      <c r="M363" s="11">
        <f t="shared" si="1"/>
        <v>0</v>
      </c>
      <c r="N363" s="11"/>
      <c r="O363" s="11"/>
      <c r="P363" s="11"/>
      <c r="Q363" s="11"/>
      <c r="R363" s="11"/>
      <c r="S363" s="11"/>
      <c r="T363" s="11"/>
      <c r="U363" s="11"/>
      <c r="V363" s="18"/>
      <c r="W363" s="18">
        <v>1.0</v>
      </c>
      <c r="X363" s="11"/>
      <c r="Y363" s="11"/>
      <c r="Z363" s="14">
        <f t="shared" si="3"/>
        <v>1</v>
      </c>
      <c r="AA363" s="15" t="s">
        <v>91</v>
      </c>
    </row>
    <row r="364" ht="14.25" customHeight="1">
      <c r="A364" s="11" t="s">
        <v>1267</v>
      </c>
      <c r="B364" s="11" t="s">
        <v>1268</v>
      </c>
      <c r="C364" s="37" t="s">
        <v>1269</v>
      </c>
      <c r="D364" s="11"/>
      <c r="E364" s="11"/>
      <c r="F364" s="27" t="s">
        <v>140</v>
      </c>
      <c r="G364" s="11" t="s">
        <v>284</v>
      </c>
      <c r="H364" s="28" t="s">
        <v>1270</v>
      </c>
      <c r="I364" s="11"/>
      <c r="J364" s="11"/>
      <c r="K364" s="29" t="s">
        <v>50</v>
      </c>
      <c r="L364" s="12" t="s">
        <v>152</v>
      </c>
      <c r="M364" s="11">
        <f t="shared" si="1"/>
        <v>1</v>
      </c>
      <c r="N364" s="11"/>
      <c r="O364" s="11"/>
      <c r="P364" s="11"/>
      <c r="Q364" s="11"/>
      <c r="R364" s="11"/>
      <c r="S364" s="11"/>
      <c r="T364" s="11"/>
      <c r="U364" s="11"/>
      <c r="V364" s="18"/>
      <c r="W364" s="18">
        <v>1.0</v>
      </c>
      <c r="X364" s="11"/>
      <c r="Y364" s="11"/>
      <c r="Z364" s="14">
        <f t="shared" si="3"/>
        <v>1</v>
      </c>
      <c r="AA364" s="15" t="s">
        <v>52</v>
      </c>
      <c r="AB364" s="14">
        <v>0.514319823424701</v>
      </c>
    </row>
    <row r="365" ht="14.25" hidden="1" customHeight="1">
      <c r="A365" s="12" t="s">
        <v>1271</v>
      </c>
      <c r="B365" s="12" t="s">
        <v>1272</v>
      </c>
      <c r="C365" s="30" t="s">
        <v>1273</v>
      </c>
      <c r="D365" s="11"/>
      <c r="E365" s="11"/>
      <c r="F365" s="11"/>
      <c r="G365" s="12" t="s">
        <v>196</v>
      </c>
      <c r="H365" s="11"/>
      <c r="I365" s="11"/>
      <c r="J365" s="12"/>
      <c r="K365" s="12" t="s">
        <v>89</v>
      </c>
      <c r="L365" s="12" t="s">
        <v>69</v>
      </c>
      <c r="M365" s="11">
        <f t="shared" si="1"/>
        <v>0</v>
      </c>
      <c r="N365" s="11"/>
      <c r="O365" s="11"/>
      <c r="P365" s="11"/>
      <c r="Q365" s="11"/>
      <c r="R365" s="11"/>
      <c r="S365" s="11"/>
      <c r="T365" s="11"/>
      <c r="U365" s="11"/>
      <c r="V365" s="31">
        <v>1.0</v>
      </c>
      <c r="W365" s="31">
        <v>1.0</v>
      </c>
      <c r="X365" s="11"/>
      <c r="Y365" s="11"/>
      <c r="Z365" s="14">
        <f t="shared" si="3"/>
        <v>2</v>
      </c>
      <c r="AA365" s="15" t="s">
        <v>91</v>
      </c>
    </row>
    <row r="366" ht="14.25" hidden="1" customHeight="1">
      <c r="A366" s="11" t="s">
        <v>1274</v>
      </c>
      <c r="B366" s="11" t="s">
        <v>1275</v>
      </c>
      <c r="C366" s="42" t="s">
        <v>1276</v>
      </c>
      <c r="D366" s="11"/>
      <c r="E366" s="11"/>
      <c r="F366" s="11"/>
      <c r="G366" s="11" t="s">
        <v>78</v>
      </c>
      <c r="H366" s="11"/>
      <c r="I366" s="11"/>
      <c r="J366" s="11"/>
      <c r="K366" s="12" t="s">
        <v>89</v>
      </c>
      <c r="L366" s="12" t="s">
        <v>922</v>
      </c>
      <c r="M366" s="11">
        <f t="shared" si="1"/>
        <v>0</v>
      </c>
      <c r="N366" s="11"/>
      <c r="O366" s="11"/>
      <c r="P366" s="11"/>
      <c r="Q366" s="11"/>
      <c r="R366" s="11"/>
      <c r="S366" s="11"/>
      <c r="T366" s="11"/>
      <c r="U366" s="11"/>
      <c r="V366" s="18"/>
      <c r="W366" s="18">
        <v>1.0</v>
      </c>
      <c r="X366" s="11"/>
      <c r="Y366" s="11"/>
      <c r="Z366" s="14">
        <f t="shared" si="3"/>
        <v>1</v>
      </c>
      <c r="AA366" s="15" t="s">
        <v>91</v>
      </c>
    </row>
    <row r="367" ht="14.25" hidden="1" customHeight="1">
      <c r="A367" s="12" t="s">
        <v>1277</v>
      </c>
      <c r="B367" s="50" t="s">
        <v>1278</v>
      </c>
      <c r="C367" s="30" t="s">
        <v>1279</v>
      </c>
      <c r="D367" s="11"/>
      <c r="E367" s="11"/>
      <c r="F367" s="11"/>
      <c r="G367" s="12" t="s">
        <v>196</v>
      </c>
      <c r="H367" s="11"/>
      <c r="I367" s="11"/>
      <c r="J367" s="12"/>
      <c r="K367" s="12" t="s">
        <v>89</v>
      </c>
      <c r="L367" s="12" t="s">
        <v>69</v>
      </c>
      <c r="M367" s="11">
        <f t="shared" si="1"/>
        <v>0</v>
      </c>
      <c r="N367" s="11"/>
      <c r="O367" s="11"/>
      <c r="P367" s="11"/>
      <c r="Q367" s="11"/>
      <c r="R367" s="11"/>
      <c r="S367" s="11"/>
      <c r="T367" s="11"/>
      <c r="U367" s="11"/>
      <c r="V367" s="31">
        <v>1.0</v>
      </c>
      <c r="W367" s="31">
        <v>1.0</v>
      </c>
      <c r="X367" s="11"/>
      <c r="Y367" s="11"/>
      <c r="Z367" s="14">
        <f t="shared" si="3"/>
        <v>2</v>
      </c>
      <c r="AA367" s="15" t="s">
        <v>91</v>
      </c>
    </row>
    <row r="368" ht="14.25" customHeight="1">
      <c r="A368" s="11" t="s">
        <v>1280</v>
      </c>
      <c r="B368" s="11" t="s">
        <v>1281</v>
      </c>
      <c r="C368" s="37" t="s">
        <v>1282</v>
      </c>
      <c r="D368" s="11"/>
      <c r="E368" s="11"/>
      <c r="F368" s="27" t="s">
        <v>77</v>
      </c>
      <c r="G368" s="11" t="s">
        <v>78</v>
      </c>
      <c r="H368" s="28" t="s">
        <v>1283</v>
      </c>
      <c r="I368" s="11"/>
      <c r="J368" s="11"/>
      <c r="K368" s="29" t="s">
        <v>50</v>
      </c>
      <c r="L368" s="12" t="s">
        <v>111</v>
      </c>
      <c r="M368" s="11">
        <f t="shared" si="1"/>
        <v>1</v>
      </c>
      <c r="N368" s="11"/>
      <c r="O368" s="11"/>
      <c r="P368" s="18"/>
      <c r="Q368" s="18"/>
      <c r="R368" s="18"/>
      <c r="S368" s="18"/>
      <c r="T368" s="18"/>
      <c r="U368" s="18"/>
      <c r="V368" s="18"/>
      <c r="W368" s="18">
        <v>1.0</v>
      </c>
      <c r="X368" s="18"/>
      <c r="Y368" s="18">
        <v>1.0</v>
      </c>
      <c r="Z368" s="14">
        <f t="shared" si="3"/>
        <v>2</v>
      </c>
      <c r="AA368" s="15" t="s">
        <v>106</v>
      </c>
      <c r="AB368" s="14">
        <v>0.5181648006784315</v>
      </c>
    </row>
    <row r="369" ht="14.25" customHeight="1">
      <c r="A369" s="11" t="s">
        <v>1284</v>
      </c>
      <c r="B369" s="11" t="s">
        <v>1285</v>
      </c>
      <c r="C369" s="37" t="s">
        <v>1286</v>
      </c>
      <c r="D369" s="11"/>
      <c r="E369" s="11"/>
      <c r="F369" s="27" t="s">
        <v>1287</v>
      </c>
      <c r="G369" s="11" t="s">
        <v>38</v>
      </c>
      <c r="H369" s="28" t="s">
        <v>1288</v>
      </c>
      <c r="I369" s="11"/>
      <c r="J369" s="11"/>
      <c r="K369" s="29" t="s">
        <v>50</v>
      </c>
      <c r="L369" s="12" t="s">
        <v>51</v>
      </c>
      <c r="M369" s="11">
        <f t="shared" si="1"/>
        <v>1</v>
      </c>
      <c r="N369" s="18">
        <v>1.0</v>
      </c>
      <c r="O369" s="11"/>
      <c r="P369" s="11"/>
      <c r="Q369" s="12">
        <v>1.0</v>
      </c>
      <c r="R369" s="11"/>
      <c r="S369" s="11"/>
      <c r="T369" s="11"/>
      <c r="U369" s="11"/>
      <c r="V369" s="12">
        <v>1.0</v>
      </c>
      <c r="W369" s="12">
        <v>1.0</v>
      </c>
      <c r="X369" s="11"/>
      <c r="Y369" s="11"/>
      <c r="Z369" s="14">
        <f t="shared" si="3"/>
        <v>4</v>
      </c>
      <c r="AA369" s="15" t="s">
        <v>106</v>
      </c>
      <c r="AB369" s="14">
        <v>0.5202891116824508</v>
      </c>
    </row>
    <row r="370" ht="14.25" hidden="1" customHeight="1">
      <c r="A370" s="11" t="s">
        <v>1289</v>
      </c>
      <c r="B370" s="11" t="s">
        <v>1290</v>
      </c>
      <c r="C370" s="16" t="s">
        <v>1291</v>
      </c>
      <c r="D370" s="11"/>
      <c r="E370" s="11"/>
      <c r="F370" s="11"/>
      <c r="G370" s="11" t="s">
        <v>1210</v>
      </c>
      <c r="H370" s="11"/>
      <c r="I370" s="11"/>
      <c r="J370" s="11"/>
      <c r="K370" s="12" t="s">
        <v>89</v>
      </c>
      <c r="L370" s="11" t="s">
        <v>69</v>
      </c>
      <c r="M370" s="11">
        <f t="shared" si="1"/>
        <v>0</v>
      </c>
      <c r="N370" s="11"/>
      <c r="O370" s="18">
        <v>1.0</v>
      </c>
      <c r="P370" s="11"/>
      <c r="Q370" s="11"/>
      <c r="R370" s="11"/>
      <c r="S370" s="12">
        <v>1.0</v>
      </c>
      <c r="T370" s="12">
        <v>1.0</v>
      </c>
      <c r="U370" s="12"/>
      <c r="V370" s="31">
        <v>1.0</v>
      </c>
      <c r="W370" s="18">
        <v>1.0</v>
      </c>
      <c r="X370" s="11"/>
      <c r="Y370" s="11"/>
      <c r="Z370" s="14">
        <f t="shared" si="3"/>
        <v>5</v>
      </c>
      <c r="AA370" s="15" t="s">
        <v>91</v>
      </c>
    </row>
    <row r="371" ht="14.25" hidden="1" customHeight="1">
      <c r="A371" s="11" t="s">
        <v>1292</v>
      </c>
      <c r="B371" s="11" t="s">
        <v>1293</v>
      </c>
      <c r="C371" s="57" t="s">
        <v>1294</v>
      </c>
      <c r="D371" s="11"/>
      <c r="E371" s="11"/>
      <c r="F371" s="11"/>
      <c r="G371" s="11" t="s">
        <v>1295</v>
      </c>
      <c r="H371" s="11"/>
      <c r="I371" s="11"/>
      <c r="J371" s="11"/>
      <c r="K371" s="12" t="s">
        <v>89</v>
      </c>
      <c r="L371" s="11" t="s">
        <v>69</v>
      </c>
      <c r="M371" s="11">
        <f t="shared" si="1"/>
        <v>0</v>
      </c>
      <c r="N371" s="11"/>
      <c r="O371" s="11"/>
      <c r="P371" s="11"/>
      <c r="Q371" s="11"/>
      <c r="R371" s="11"/>
      <c r="S371" s="11"/>
      <c r="T371" s="11"/>
      <c r="U371" s="11"/>
      <c r="V371" s="18"/>
      <c r="W371" s="18">
        <v>1.0</v>
      </c>
      <c r="X371" s="11"/>
      <c r="Y371" s="11"/>
      <c r="Z371" s="14">
        <f t="shared" si="3"/>
        <v>1</v>
      </c>
      <c r="AA371" s="15" t="s">
        <v>91</v>
      </c>
    </row>
    <row r="372" ht="14.25" customHeight="1">
      <c r="A372" s="11" t="s">
        <v>1296</v>
      </c>
      <c r="B372" s="11" t="s">
        <v>1297</v>
      </c>
      <c r="C372" s="26" t="s">
        <v>1298</v>
      </c>
      <c r="D372" s="11"/>
      <c r="E372" s="11"/>
      <c r="F372" s="27" t="s">
        <v>77</v>
      </c>
      <c r="G372" s="11" t="s">
        <v>361</v>
      </c>
      <c r="H372" s="28" t="s">
        <v>99</v>
      </c>
      <c r="I372" s="11"/>
      <c r="J372" s="11"/>
      <c r="K372" s="29" t="s">
        <v>50</v>
      </c>
      <c r="L372" s="11"/>
      <c r="M372" s="11">
        <f t="shared" si="1"/>
        <v>1</v>
      </c>
      <c r="N372" s="11"/>
      <c r="O372" s="11"/>
      <c r="P372" s="11"/>
      <c r="Q372" s="11"/>
      <c r="R372" s="11"/>
      <c r="S372" s="11"/>
      <c r="T372" s="11"/>
      <c r="U372" s="11"/>
      <c r="V372" s="18"/>
      <c r="W372" s="18">
        <v>1.0</v>
      </c>
      <c r="X372" s="11"/>
      <c r="Y372" s="11"/>
      <c r="Z372" s="14">
        <f t="shared" si="3"/>
        <v>1</v>
      </c>
      <c r="AA372" s="15" t="s">
        <v>91</v>
      </c>
      <c r="AB372" s="14">
        <v>0.5285122571033875</v>
      </c>
    </row>
    <row r="373" ht="14.25" customHeight="1">
      <c r="A373" s="11" t="s">
        <v>1299</v>
      </c>
      <c r="B373" s="11" t="s">
        <v>1300</v>
      </c>
      <c r="C373" s="37" t="s">
        <v>1301</v>
      </c>
      <c r="D373" s="12" t="s">
        <v>29</v>
      </c>
      <c r="E373" s="12" t="s">
        <v>29</v>
      </c>
      <c r="F373" s="27" t="s">
        <v>77</v>
      </c>
      <c r="G373" s="11" t="s">
        <v>158</v>
      </c>
      <c r="H373" s="28" t="s">
        <v>239</v>
      </c>
      <c r="I373" s="11"/>
      <c r="J373" s="11"/>
      <c r="K373" s="29" t="s">
        <v>50</v>
      </c>
      <c r="L373" s="12" t="s">
        <v>51</v>
      </c>
      <c r="M373" s="11">
        <f t="shared" si="1"/>
        <v>1</v>
      </c>
      <c r="N373" s="11"/>
      <c r="O373" s="18">
        <v>1.0</v>
      </c>
      <c r="P373" s="11"/>
      <c r="Q373" s="11"/>
      <c r="R373" s="11"/>
      <c r="S373" s="11"/>
      <c r="T373" s="12">
        <v>1.0</v>
      </c>
      <c r="U373" s="12"/>
      <c r="V373" s="31">
        <v>1.0</v>
      </c>
      <c r="W373" s="18">
        <v>1.0</v>
      </c>
      <c r="X373" s="11"/>
      <c r="Y373" s="11"/>
      <c r="Z373" s="14">
        <f t="shared" si="3"/>
        <v>4</v>
      </c>
      <c r="AA373" s="15" t="s">
        <v>106</v>
      </c>
      <c r="AB373" s="14">
        <v>0.5290693582707464</v>
      </c>
    </row>
    <row r="374" ht="14.25" hidden="1" customHeight="1">
      <c r="A374" s="11" t="s">
        <v>1302</v>
      </c>
      <c r="B374" s="11" t="s">
        <v>869</v>
      </c>
      <c r="C374" s="16" t="s">
        <v>1303</v>
      </c>
      <c r="D374" s="12" t="s">
        <v>29</v>
      </c>
      <c r="E374" s="12" t="s">
        <v>29</v>
      </c>
      <c r="F374" s="12" t="s">
        <v>95</v>
      </c>
      <c r="G374" s="11" t="s">
        <v>48</v>
      </c>
      <c r="H374" s="12">
        <v>2018.0</v>
      </c>
      <c r="I374" s="12" t="s">
        <v>1304</v>
      </c>
      <c r="J374" s="11"/>
      <c r="K374" s="12" t="s">
        <v>31</v>
      </c>
      <c r="L374" s="12" t="s">
        <v>1305</v>
      </c>
      <c r="M374" s="11">
        <f t="shared" si="1"/>
        <v>0</v>
      </c>
      <c r="N374" s="11"/>
      <c r="O374" s="11"/>
      <c r="P374" s="11"/>
      <c r="Q374" s="11"/>
      <c r="R374" s="11"/>
      <c r="S374" s="11"/>
      <c r="T374" s="11"/>
      <c r="U374" s="11"/>
      <c r="V374" s="11"/>
      <c r="W374" s="11"/>
      <c r="X374" s="11"/>
      <c r="Y374" s="11"/>
      <c r="Z374" s="14">
        <f t="shared" si="3"/>
        <v>0</v>
      </c>
      <c r="AA374" s="15" t="s">
        <v>33</v>
      </c>
    </row>
    <row r="375" ht="14.25" customHeight="1">
      <c r="A375" s="12" t="s">
        <v>1306</v>
      </c>
      <c r="B375" s="12"/>
      <c r="C375" s="35" t="s">
        <v>1307</v>
      </c>
      <c r="D375" s="11"/>
      <c r="E375" s="11"/>
      <c r="F375" s="27" t="s">
        <v>95</v>
      </c>
      <c r="G375" s="12" t="s">
        <v>68</v>
      </c>
      <c r="H375" s="77"/>
      <c r="I375" s="11"/>
      <c r="J375" s="12"/>
      <c r="K375" s="29" t="s">
        <v>58</v>
      </c>
      <c r="L375" s="12" t="s">
        <v>288</v>
      </c>
      <c r="M375" s="11">
        <f t="shared" si="1"/>
        <v>1</v>
      </c>
      <c r="N375" s="11"/>
      <c r="O375" s="11"/>
      <c r="P375" s="11"/>
      <c r="Q375" s="11"/>
      <c r="R375" s="11"/>
      <c r="S375" s="12">
        <v>1.0</v>
      </c>
      <c r="T375" s="12"/>
      <c r="U375" s="12"/>
      <c r="V375" s="18"/>
      <c r="W375" s="18"/>
      <c r="X375" s="11"/>
      <c r="Y375" s="11"/>
      <c r="Z375" s="14">
        <f t="shared" si="3"/>
        <v>1</v>
      </c>
      <c r="AA375" s="15" t="s">
        <v>33</v>
      </c>
      <c r="AB375" s="14">
        <v>0.533380437775445</v>
      </c>
    </row>
    <row r="376" ht="14.25" customHeight="1">
      <c r="A376" s="19" t="s">
        <v>1308</v>
      </c>
      <c r="B376" s="19" t="s">
        <v>1309</v>
      </c>
      <c r="C376" s="33" t="s">
        <v>1310</v>
      </c>
      <c r="D376" s="21"/>
      <c r="E376" s="21"/>
      <c r="F376" s="22" t="s">
        <v>103</v>
      </c>
      <c r="G376" s="19" t="s">
        <v>83</v>
      </c>
      <c r="H376" s="23" t="s">
        <v>1311</v>
      </c>
      <c r="I376" s="21"/>
      <c r="J376" s="21"/>
      <c r="K376" s="25" t="s">
        <v>58</v>
      </c>
      <c r="L376" s="24" t="s">
        <v>961</v>
      </c>
      <c r="M376" s="11">
        <f t="shared" si="1"/>
        <v>1</v>
      </c>
      <c r="N376" s="21"/>
      <c r="O376" s="21"/>
      <c r="P376" s="21"/>
      <c r="Q376" s="21"/>
      <c r="R376" s="21"/>
      <c r="S376" s="21"/>
      <c r="T376" s="21"/>
      <c r="U376" s="21"/>
      <c r="V376" s="21"/>
      <c r="W376" s="24">
        <v>1.0</v>
      </c>
      <c r="X376" s="21"/>
      <c r="Y376" s="21"/>
      <c r="Z376" s="14">
        <f t="shared" si="3"/>
        <v>1</v>
      </c>
      <c r="AA376" s="15" t="s">
        <v>33</v>
      </c>
      <c r="AB376" s="14">
        <v>0.5343249988108776</v>
      </c>
    </row>
    <row r="377" ht="14.25" hidden="1" customHeight="1">
      <c r="A377" s="12" t="s">
        <v>1312</v>
      </c>
      <c r="B377" s="12" t="s">
        <v>869</v>
      </c>
      <c r="C377" s="34" t="s">
        <v>1313</v>
      </c>
      <c r="D377" s="11"/>
      <c r="E377" s="11"/>
      <c r="F377" s="11"/>
      <c r="G377" s="11"/>
      <c r="H377" s="11"/>
      <c r="I377" s="11"/>
      <c r="J377" s="11"/>
      <c r="K377" s="12" t="s">
        <v>89</v>
      </c>
      <c r="L377" s="12" t="s">
        <v>922</v>
      </c>
      <c r="M377" s="11">
        <f t="shared" si="1"/>
        <v>0</v>
      </c>
      <c r="N377" s="11"/>
      <c r="O377" s="11"/>
      <c r="P377" s="11"/>
      <c r="Q377" s="11"/>
      <c r="R377" s="11"/>
      <c r="S377" s="12">
        <v>1.0</v>
      </c>
      <c r="T377" s="12"/>
      <c r="U377" s="12"/>
      <c r="V377" s="31"/>
      <c r="W377" s="18"/>
      <c r="X377" s="11"/>
      <c r="Y377" s="11"/>
      <c r="Z377" s="14">
        <f t="shared" si="3"/>
        <v>1</v>
      </c>
      <c r="AA377" s="15" t="s">
        <v>91</v>
      </c>
    </row>
    <row r="378" ht="14.25" hidden="1" customHeight="1">
      <c r="A378" s="11" t="s">
        <v>1314</v>
      </c>
      <c r="B378" s="11" t="s">
        <v>869</v>
      </c>
      <c r="C378" s="42" t="s">
        <v>1315</v>
      </c>
      <c r="D378" s="11"/>
      <c r="E378" s="11"/>
      <c r="F378" s="11"/>
      <c r="G378" s="11" t="s">
        <v>48</v>
      </c>
      <c r="H378" s="11"/>
      <c r="I378" s="11"/>
      <c r="J378" s="11"/>
      <c r="K378" s="12" t="s">
        <v>89</v>
      </c>
      <c r="L378" s="12" t="s">
        <v>43</v>
      </c>
      <c r="M378" s="11">
        <f t="shared" si="1"/>
        <v>0</v>
      </c>
      <c r="N378" s="11"/>
      <c r="O378" s="11"/>
      <c r="P378" s="11"/>
      <c r="Q378" s="11"/>
      <c r="R378" s="11"/>
      <c r="S378" s="11"/>
      <c r="T378" s="11"/>
      <c r="U378" s="11"/>
      <c r="V378" s="31">
        <v>1.0</v>
      </c>
      <c r="W378" s="18">
        <v>1.0</v>
      </c>
      <c r="X378" s="11"/>
      <c r="Y378" s="11"/>
      <c r="Z378" s="14">
        <f t="shared" si="3"/>
        <v>2</v>
      </c>
      <c r="AA378" s="15" t="s">
        <v>91</v>
      </c>
    </row>
    <row r="379" ht="14.25" hidden="1" customHeight="1">
      <c r="A379" s="11" t="s">
        <v>1316</v>
      </c>
      <c r="B379" s="11" t="s">
        <v>1317</v>
      </c>
      <c r="C379" s="42" t="s">
        <v>1318</v>
      </c>
      <c r="D379" s="11"/>
      <c r="E379" s="11"/>
      <c r="F379" s="11"/>
      <c r="G379" s="11" t="s">
        <v>1319</v>
      </c>
      <c r="H379" s="11"/>
      <c r="I379" s="11"/>
      <c r="J379" s="11"/>
      <c r="K379" s="11" t="s">
        <v>31</v>
      </c>
      <c r="L379" s="11" t="s">
        <v>922</v>
      </c>
      <c r="M379" s="11">
        <f t="shared" si="1"/>
        <v>0</v>
      </c>
      <c r="N379" s="11">
        <v>1.0</v>
      </c>
      <c r="O379" s="11"/>
      <c r="P379" s="11"/>
      <c r="Q379" s="11"/>
      <c r="R379" s="11"/>
      <c r="S379" s="11"/>
      <c r="T379" s="11"/>
      <c r="U379" s="11"/>
      <c r="V379" s="31">
        <v>1.0</v>
      </c>
      <c r="W379" s="18">
        <v>1.0</v>
      </c>
      <c r="X379" s="11"/>
      <c r="Y379" s="11"/>
      <c r="Z379" s="14">
        <f t="shared" si="3"/>
        <v>3</v>
      </c>
      <c r="AA379" s="15" t="s">
        <v>91</v>
      </c>
    </row>
    <row r="380" ht="14.25" customHeight="1">
      <c r="A380" s="19" t="s">
        <v>1320</v>
      </c>
      <c r="B380" s="19" t="s">
        <v>418</v>
      </c>
      <c r="C380" s="33" t="s">
        <v>1321</v>
      </c>
      <c r="D380" s="21"/>
      <c r="E380" s="21"/>
      <c r="F380" s="22" t="s">
        <v>62</v>
      </c>
      <c r="G380" s="19" t="s">
        <v>264</v>
      </c>
      <c r="H380" s="23" t="s">
        <v>486</v>
      </c>
      <c r="I380" s="21"/>
      <c r="J380" s="24"/>
      <c r="K380" s="25" t="s">
        <v>50</v>
      </c>
      <c r="L380" s="24" t="s">
        <v>51</v>
      </c>
      <c r="M380" s="11">
        <f t="shared" si="1"/>
        <v>1</v>
      </c>
      <c r="N380" s="21"/>
      <c r="O380" s="21"/>
      <c r="P380" s="21"/>
      <c r="Q380" s="21"/>
      <c r="R380" s="21"/>
      <c r="S380" s="21"/>
      <c r="T380" s="21"/>
      <c r="U380" s="21"/>
      <c r="V380" s="21"/>
      <c r="W380" s="24">
        <v>1.0</v>
      </c>
      <c r="X380" s="21"/>
      <c r="Y380" s="21"/>
      <c r="Z380" s="14">
        <f t="shared" si="3"/>
        <v>1</v>
      </c>
      <c r="AA380" s="15" t="s">
        <v>106</v>
      </c>
      <c r="AB380" s="14">
        <v>0.5343549653564519</v>
      </c>
    </row>
    <row r="381" ht="14.25" hidden="1" customHeight="1">
      <c r="A381" s="11" t="s">
        <v>1322</v>
      </c>
      <c r="B381" s="78" t="s">
        <v>1323</v>
      </c>
      <c r="C381" s="16" t="s">
        <v>1324</v>
      </c>
      <c r="D381" s="11"/>
      <c r="E381" s="11"/>
      <c r="F381" s="11"/>
      <c r="G381" s="11" t="s">
        <v>1255</v>
      </c>
      <c r="H381" s="11"/>
      <c r="I381" s="11"/>
      <c r="J381" s="11"/>
      <c r="K381" s="12" t="s">
        <v>89</v>
      </c>
      <c r="L381" s="12" t="s">
        <v>252</v>
      </c>
      <c r="M381" s="11">
        <f t="shared" si="1"/>
        <v>0</v>
      </c>
      <c r="N381" s="11"/>
      <c r="O381" s="11"/>
      <c r="P381" s="11"/>
      <c r="Q381" s="11"/>
      <c r="R381" s="11"/>
      <c r="S381" s="11"/>
      <c r="T381" s="11"/>
      <c r="U381" s="11"/>
      <c r="V381" s="18"/>
      <c r="W381" s="18">
        <v>1.0</v>
      </c>
      <c r="X381" s="11"/>
      <c r="Y381" s="11"/>
      <c r="Z381" s="14">
        <f t="shared" si="3"/>
        <v>1</v>
      </c>
      <c r="AA381" s="15" t="s">
        <v>106</v>
      </c>
    </row>
    <row r="382" ht="14.25" hidden="1" customHeight="1">
      <c r="A382" s="19" t="s">
        <v>1325</v>
      </c>
      <c r="B382" s="19" t="s">
        <v>1326</v>
      </c>
      <c r="C382" s="79" t="s">
        <v>1327</v>
      </c>
      <c r="D382" s="21"/>
      <c r="E382" s="21"/>
      <c r="F382" s="21"/>
      <c r="G382" s="19" t="s">
        <v>78</v>
      </c>
      <c r="H382" s="21"/>
      <c r="I382" s="21"/>
      <c r="J382" s="21"/>
      <c r="K382" s="24" t="s">
        <v>31</v>
      </c>
      <c r="L382" s="24" t="s">
        <v>252</v>
      </c>
      <c r="M382" s="11">
        <f t="shared" si="1"/>
        <v>0</v>
      </c>
      <c r="N382" s="21"/>
      <c r="O382" s="21"/>
      <c r="P382" s="21"/>
      <c r="Q382" s="21"/>
      <c r="R382" s="21"/>
      <c r="S382" s="21"/>
      <c r="T382" s="21"/>
      <c r="U382" s="21"/>
      <c r="V382" s="21"/>
      <c r="W382" s="24">
        <v>1.0</v>
      </c>
      <c r="X382" s="21"/>
      <c r="Y382" s="21"/>
      <c r="Z382" s="14">
        <f t="shared" si="3"/>
        <v>1</v>
      </c>
      <c r="AA382" s="15" t="s">
        <v>33</v>
      </c>
    </row>
    <row r="383" ht="14.25" hidden="1" customHeight="1">
      <c r="A383" s="11" t="s">
        <v>1328</v>
      </c>
      <c r="B383" s="11" t="s">
        <v>1329</v>
      </c>
      <c r="C383" s="80" t="s">
        <v>1330</v>
      </c>
      <c r="D383" s="11"/>
      <c r="E383" s="11"/>
      <c r="F383" s="11"/>
      <c r="G383" s="11" t="s">
        <v>1331</v>
      </c>
      <c r="H383" s="11"/>
      <c r="I383" s="11"/>
      <c r="J383" s="11"/>
      <c r="K383" s="12" t="s">
        <v>31</v>
      </c>
      <c r="L383" s="12" t="s">
        <v>43</v>
      </c>
      <c r="M383" s="11">
        <f t="shared" si="1"/>
        <v>0</v>
      </c>
      <c r="N383" s="11"/>
      <c r="O383" s="11"/>
      <c r="P383" s="11">
        <v>1.0</v>
      </c>
      <c r="Q383" s="11"/>
      <c r="R383" s="11"/>
      <c r="S383" s="11"/>
      <c r="T383" s="11"/>
      <c r="U383" s="11"/>
      <c r="V383" s="18"/>
      <c r="W383" s="18"/>
      <c r="X383" s="11"/>
      <c r="Y383" s="11"/>
      <c r="Z383" s="14">
        <f t="shared" si="3"/>
        <v>1</v>
      </c>
      <c r="AA383" s="15" t="s">
        <v>33</v>
      </c>
    </row>
    <row r="384" ht="14.25" hidden="1" customHeight="1">
      <c r="A384" s="19" t="s">
        <v>1332</v>
      </c>
      <c r="B384" s="19" t="s">
        <v>1333</v>
      </c>
      <c r="C384" s="44" t="s">
        <v>1334</v>
      </c>
      <c r="D384" s="21"/>
      <c r="E384" s="21"/>
      <c r="F384" s="21"/>
      <c r="G384" s="19" t="s">
        <v>1331</v>
      </c>
      <c r="H384" s="21"/>
      <c r="I384" s="21"/>
      <c r="J384" s="24"/>
      <c r="K384" s="24" t="s">
        <v>89</v>
      </c>
      <c r="L384" s="24" t="s">
        <v>43</v>
      </c>
      <c r="M384" s="11">
        <f t="shared" si="1"/>
        <v>0</v>
      </c>
      <c r="N384" s="21"/>
      <c r="O384" s="21"/>
      <c r="P384" s="21"/>
      <c r="Q384" s="21"/>
      <c r="R384" s="21"/>
      <c r="S384" s="21"/>
      <c r="T384" s="21"/>
      <c r="U384" s="21"/>
      <c r="V384" s="21"/>
      <c r="W384" s="24">
        <v>1.0</v>
      </c>
      <c r="X384" s="21"/>
      <c r="Y384" s="21"/>
      <c r="Z384" s="14">
        <f t="shared" si="3"/>
        <v>1</v>
      </c>
      <c r="AA384" s="15" t="s">
        <v>91</v>
      </c>
    </row>
    <row r="385" ht="14.25" customHeight="1">
      <c r="A385" s="19" t="s">
        <v>1335</v>
      </c>
      <c r="B385" s="19" t="s">
        <v>1336</v>
      </c>
      <c r="C385" s="33" t="s">
        <v>1337</v>
      </c>
      <c r="D385" s="21"/>
      <c r="E385" s="21"/>
      <c r="F385" s="27" t="s">
        <v>103</v>
      </c>
      <c r="G385" s="19" t="s">
        <v>83</v>
      </c>
      <c r="H385" s="23" t="s">
        <v>606</v>
      </c>
      <c r="I385" s="21"/>
      <c r="J385" s="24"/>
      <c r="K385" s="25" t="s">
        <v>50</v>
      </c>
      <c r="L385" s="24" t="s">
        <v>65</v>
      </c>
      <c r="M385" s="11">
        <f t="shared" si="1"/>
        <v>1</v>
      </c>
      <c r="N385" s="21"/>
      <c r="O385" s="21"/>
      <c r="P385" s="21"/>
      <c r="Q385" s="21"/>
      <c r="R385" s="21"/>
      <c r="S385" s="21"/>
      <c r="T385" s="21"/>
      <c r="U385" s="21"/>
      <c r="V385" s="21"/>
      <c r="W385" s="24">
        <v>1.0</v>
      </c>
      <c r="X385" s="21"/>
      <c r="Y385" s="21"/>
      <c r="Z385" s="14">
        <f t="shared" si="3"/>
        <v>1</v>
      </c>
      <c r="AA385" s="15" t="s">
        <v>91</v>
      </c>
      <c r="AB385" s="14">
        <v>0.5359161391900904</v>
      </c>
    </row>
    <row r="386" ht="14.25" hidden="1" customHeight="1">
      <c r="A386" s="45" t="s">
        <v>1338</v>
      </c>
      <c r="B386" s="45" t="s">
        <v>1131</v>
      </c>
      <c r="C386" s="81" t="s">
        <v>1339</v>
      </c>
      <c r="D386" s="45"/>
      <c r="E386" s="45"/>
      <c r="F386" s="45"/>
      <c r="G386" s="45" t="s">
        <v>78</v>
      </c>
      <c r="H386" s="45"/>
      <c r="I386" s="45"/>
      <c r="J386" s="45"/>
      <c r="K386" s="24" t="s">
        <v>89</v>
      </c>
      <c r="L386" s="24" t="s">
        <v>1340</v>
      </c>
      <c r="M386" s="11">
        <f t="shared" si="1"/>
        <v>0</v>
      </c>
      <c r="N386" s="45"/>
      <c r="O386" s="45"/>
      <c r="P386" s="45">
        <v>1.0</v>
      </c>
      <c r="Q386" s="45"/>
      <c r="R386" s="45"/>
      <c r="S386" s="45"/>
      <c r="T386" s="45"/>
      <c r="U386" s="45"/>
      <c r="V386" s="45"/>
      <c r="W386" s="45"/>
      <c r="X386" s="45"/>
      <c r="Y386" s="45"/>
      <c r="Z386" s="14">
        <f t="shared" si="3"/>
        <v>1</v>
      </c>
      <c r="AA386" s="15" t="s">
        <v>33</v>
      </c>
    </row>
    <row r="387" ht="14.25" customHeight="1">
      <c r="A387" s="12" t="s">
        <v>1341</v>
      </c>
      <c r="B387" s="12" t="s">
        <v>1342</v>
      </c>
      <c r="C387" s="38" t="s">
        <v>1343</v>
      </c>
      <c r="D387" s="11"/>
      <c r="E387" s="11"/>
      <c r="F387" s="27" t="s">
        <v>95</v>
      </c>
      <c r="G387" s="11" t="s">
        <v>78</v>
      </c>
      <c r="H387" s="28" t="s">
        <v>64</v>
      </c>
      <c r="I387" s="11"/>
      <c r="J387" s="11"/>
      <c r="K387" s="29" t="s">
        <v>50</v>
      </c>
      <c r="L387" s="11"/>
      <c r="M387" s="11">
        <f t="shared" si="1"/>
        <v>1</v>
      </c>
      <c r="N387" s="18">
        <v>1.0</v>
      </c>
      <c r="O387" s="11"/>
      <c r="P387" s="11"/>
      <c r="Q387" s="11"/>
      <c r="R387" s="11"/>
      <c r="S387" s="11"/>
      <c r="T387" s="11"/>
      <c r="U387" s="11"/>
      <c r="V387" s="31">
        <v>1.0</v>
      </c>
      <c r="W387" s="31">
        <v>0.0</v>
      </c>
      <c r="X387" s="11"/>
      <c r="Y387" s="11"/>
      <c r="Z387" s="14">
        <f t="shared" si="3"/>
        <v>2</v>
      </c>
      <c r="AA387" s="15" t="s">
        <v>106</v>
      </c>
      <c r="AB387" s="14">
        <v>0.5365080767982978</v>
      </c>
    </row>
    <row r="388" ht="14.25" hidden="1" customHeight="1">
      <c r="A388" s="19" t="s">
        <v>1344</v>
      </c>
      <c r="B388" s="19" t="s">
        <v>1345</v>
      </c>
      <c r="C388" s="40" t="s">
        <v>1346</v>
      </c>
      <c r="D388" s="21"/>
      <c r="E388" s="21"/>
      <c r="F388" s="21"/>
      <c r="G388" s="19" t="s">
        <v>78</v>
      </c>
      <c r="H388" s="21"/>
      <c r="I388" s="21"/>
      <c r="J388" s="24"/>
      <c r="K388" s="24" t="s">
        <v>89</v>
      </c>
      <c r="L388" s="24" t="s">
        <v>43</v>
      </c>
      <c r="M388" s="11">
        <f t="shared" si="1"/>
        <v>0</v>
      </c>
      <c r="N388" s="21"/>
      <c r="O388" s="21"/>
      <c r="P388" s="21"/>
      <c r="Q388" s="21"/>
      <c r="R388" s="21"/>
      <c r="S388" s="21"/>
      <c r="T388" s="21"/>
      <c r="U388" s="21"/>
      <c r="V388" s="21"/>
      <c r="W388" s="24">
        <v>1.0</v>
      </c>
      <c r="X388" s="21"/>
      <c r="Y388" s="21"/>
      <c r="Z388" s="14">
        <f t="shared" si="3"/>
        <v>1</v>
      </c>
      <c r="AA388" s="15" t="s">
        <v>33</v>
      </c>
    </row>
    <row r="389" ht="14.25" hidden="1" customHeight="1">
      <c r="A389" s="11" t="s">
        <v>1347</v>
      </c>
      <c r="B389" s="11" t="s">
        <v>1348</v>
      </c>
      <c r="C389" s="42" t="s">
        <v>1349</v>
      </c>
      <c r="D389" s="11"/>
      <c r="E389" s="11"/>
      <c r="F389" s="11"/>
      <c r="G389" s="11" t="s">
        <v>78</v>
      </c>
      <c r="H389" s="11"/>
      <c r="I389" s="11"/>
      <c r="J389" s="11"/>
      <c r="K389" s="12" t="s">
        <v>89</v>
      </c>
      <c r="L389" s="11" t="s">
        <v>922</v>
      </c>
      <c r="M389" s="11">
        <f t="shared" si="1"/>
        <v>0</v>
      </c>
      <c r="N389" s="11"/>
      <c r="O389" s="11"/>
      <c r="P389" s="11"/>
      <c r="Q389" s="11"/>
      <c r="R389" s="11"/>
      <c r="S389" s="11"/>
      <c r="T389" s="11"/>
      <c r="U389" s="11"/>
      <c r="V389" s="18"/>
      <c r="W389" s="18">
        <v>1.0</v>
      </c>
      <c r="X389" s="11"/>
      <c r="Y389" s="11"/>
      <c r="Z389" s="14">
        <f t="shared" si="3"/>
        <v>1</v>
      </c>
      <c r="AA389" s="15" t="s">
        <v>91</v>
      </c>
    </row>
    <row r="390" ht="14.25" customHeight="1">
      <c r="A390" s="12" t="s">
        <v>1350</v>
      </c>
      <c r="B390" s="12" t="s">
        <v>1351</v>
      </c>
      <c r="C390" s="35" t="s">
        <v>1352</v>
      </c>
      <c r="D390" s="11"/>
      <c r="E390" s="11"/>
      <c r="F390" s="27" t="s">
        <v>140</v>
      </c>
      <c r="G390" s="12" t="s">
        <v>264</v>
      </c>
      <c r="H390" s="28" t="s">
        <v>1353</v>
      </c>
      <c r="I390" s="11"/>
      <c r="J390" s="12"/>
      <c r="K390" s="29" t="s">
        <v>50</v>
      </c>
      <c r="L390" s="12" t="s">
        <v>65</v>
      </c>
      <c r="M390" s="11">
        <f t="shared" si="1"/>
        <v>1</v>
      </c>
      <c r="N390" s="11"/>
      <c r="O390" s="11"/>
      <c r="P390" s="11"/>
      <c r="Q390" s="11"/>
      <c r="R390" s="11"/>
      <c r="S390" s="12">
        <v>1.0</v>
      </c>
      <c r="T390" s="12"/>
      <c r="U390" s="12"/>
      <c r="V390" s="31">
        <v>1.0</v>
      </c>
      <c r="W390" s="18"/>
      <c r="X390" s="11"/>
      <c r="Y390" s="11"/>
      <c r="Z390" s="14">
        <f t="shared" si="3"/>
        <v>2</v>
      </c>
      <c r="AA390" s="15" t="s">
        <v>106</v>
      </c>
      <c r="AB390" s="14">
        <v>0.5376606915981424</v>
      </c>
    </row>
    <row r="391" ht="14.25" customHeight="1">
      <c r="A391" s="11" t="s">
        <v>1354</v>
      </c>
      <c r="B391" s="11" t="s">
        <v>1355</v>
      </c>
      <c r="C391" s="37" t="s">
        <v>1356</v>
      </c>
      <c r="D391" s="11"/>
      <c r="E391" s="11"/>
      <c r="F391" s="27" t="s">
        <v>171</v>
      </c>
      <c r="G391" s="11" t="s">
        <v>48</v>
      </c>
      <c r="H391" s="28" t="s">
        <v>99</v>
      </c>
      <c r="I391" s="11"/>
      <c r="J391" s="11"/>
      <c r="K391" s="29" t="s">
        <v>50</v>
      </c>
      <c r="L391" s="12"/>
      <c r="M391" s="11">
        <f t="shared" si="1"/>
        <v>1</v>
      </c>
      <c r="N391" s="11"/>
      <c r="O391" s="11"/>
      <c r="P391" s="11"/>
      <c r="Q391" s="11"/>
      <c r="R391" s="11"/>
      <c r="S391" s="11"/>
      <c r="T391" s="11"/>
      <c r="U391" s="11"/>
      <c r="V391" s="18"/>
      <c r="W391" s="18">
        <v>1.0</v>
      </c>
      <c r="X391" s="11"/>
      <c r="Y391" s="11"/>
      <c r="Z391" s="14">
        <f t="shared" si="3"/>
        <v>1</v>
      </c>
      <c r="AA391" s="15" t="s">
        <v>52</v>
      </c>
      <c r="AB391" s="14">
        <v>0.542310132290372</v>
      </c>
    </row>
    <row r="392" ht="14.25" hidden="1" customHeight="1">
      <c r="A392" s="19" t="s">
        <v>1357</v>
      </c>
      <c r="B392" s="19" t="s">
        <v>1358</v>
      </c>
      <c r="C392" s="40" t="s">
        <v>1359</v>
      </c>
      <c r="D392" s="21"/>
      <c r="E392" s="21"/>
      <c r="F392" s="21"/>
      <c r="G392" s="19" t="s">
        <v>1360</v>
      </c>
      <c r="H392" s="21"/>
      <c r="I392" s="21"/>
      <c r="J392" s="21"/>
      <c r="K392" s="24" t="s">
        <v>31</v>
      </c>
      <c r="L392" s="24" t="s">
        <v>43</v>
      </c>
      <c r="M392" s="11">
        <f t="shared" si="1"/>
        <v>0</v>
      </c>
      <c r="N392" s="21"/>
      <c r="O392" s="21"/>
      <c r="P392" s="21"/>
      <c r="Q392" s="21"/>
      <c r="R392" s="21"/>
      <c r="S392" s="21"/>
      <c r="T392" s="21"/>
      <c r="U392" s="21"/>
      <c r="V392" s="21"/>
      <c r="W392" s="24">
        <v>1.0</v>
      </c>
      <c r="X392" s="21"/>
      <c r="Y392" s="21"/>
      <c r="Z392" s="14">
        <f t="shared" si="3"/>
        <v>1</v>
      </c>
      <c r="AA392" s="15" t="s">
        <v>33</v>
      </c>
    </row>
    <row r="393" ht="14.25" hidden="1" customHeight="1">
      <c r="A393" s="11" t="s">
        <v>1361</v>
      </c>
      <c r="B393" s="11" t="s">
        <v>1362</v>
      </c>
      <c r="C393" s="16" t="s">
        <v>1363</v>
      </c>
      <c r="D393" s="11"/>
      <c r="E393" s="11"/>
      <c r="F393" s="11"/>
      <c r="G393" s="11" t="s">
        <v>204</v>
      </c>
      <c r="H393" s="11"/>
      <c r="I393" s="11"/>
      <c r="J393" s="11"/>
      <c r="K393" s="12" t="s">
        <v>89</v>
      </c>
      <c r="L393" s="12" t="s">
        <v>1340</v>
      </c>
      <c r="M393" s="11">
        <f t="shared" si="1"/>
        <v>0</v>
      </c>
      <c r="N393" s="18">
        <v>1.0</v>
      </c>
      <c r="O393" s="11"/>
      <c r="P393" s="11"/>
      <c r="Q393" s="11"/>
      <c r="R393" s="11"/>
      <c r="S393" s="11"/>
      <c r="T393" s="11"/>
      <c r="U393" s="11"/>
      <c r="V393" s="31">
        <v>1.0</v>
      </c>
      <c r="W393" s="18">
        <v>1.0</v>
      </c>
      <c r="X393" s="11"/>
      <c r="Y393" s="11"/>
      <c r="Z393" s="14">
        <f t="shared" si="3"/>
        <v>3</v>
      </c>
      <c r="AA393" s="15" t="s">
        <v>106</v>
      </c>
    </row>
    <row r="394" ht="14.25" hidden="1" customHeight="1">
      <c r="A394" s="12" t="s">
        <v>1364</v>
      </c>
      <c r="B394" s="11" t="s">
        <v>1362</v>
      </c>
      <c r="C394" s="51" t="s">
        <v>1365</v>
      </c>
      <c r="D394" s="11"/>
      <c r="E394" s="11"/>
      <c r="F394" s="11"/>
      <c r="G394" s="11" t="s">
        <v>204</v>
      </c>
      <c r="H394" s="11"/>
      <c r="I394" s="11"/>
      <c r="J394" s="11"/>
      <c r="K394" s="12" t="s">
        <v>89</v>
      </c>
      <c r="L394" s="12" t="s">
        <v>1340</v>
      </c>
      <c r="M394" s="11">
        <f t="shared" si="1"/>
        <v>0</v>
      </c>
      <c r="N394" s="18"/>
      <c r="O394" s="11"/>
      <c r="P394" s="11"/>
      <c r="Q394" s="11"/>
      <c r="R394" s="11"/>
      <c r="S394" s="12">
        <v>1.0</v>
      </c>
      <c r="T394" s="12"/>
      <c r="U394" s="12"/>
      <c r="V394" s="31"/>
      <c r="W394" s="18"/>
      <c r="X394" s="11"/>
      <c r="Y394" s="11"/>
      <c r="Z394" s="14">
        <f t="shared" si="3"/>
        <v>1</v>
      </c>
      <c r="AA394" s="15" t="s">
        <v>106</v>
      </c>
    </row>
    <row r="395" ht="14.25" customHeight="1">
      <c r="A395" s="19" t="s">
        <v>1366</v>
      </c>
      <c r="B395" s="19" t="s">
        <v>310</v>
      </c>
      <c r="C395" s="33" t="s">
        <v>1367</v>
      </c>
      <c r="D395" s="21"/>
      <c r="E395" s="21"/>
      <c r="F395" s="27" t="s">
        <v>56</v>
      </c>
      <c r="G395" s="19" t="s">
        <v>83</v>
      </c>
      <c r="H395" s="23" t="s">
        <v>163</v>
      </c>
      <c r="I395" s="21"/>
      <c r="J395" s="24"/>
      <c r="K395" s="25" t="s">
        <v>50</v>
      </c>
      <c r="L395" s="24" t="s">
        <v>407</v>
      </c>
      <c r="M395" s="11">
        <f t="shared" si="1"/>
        <v>1</v>
      </c>
      <c r="N395" s="21"/>
      <c r="O395" s="21"/>
      <c r="P395" s="21"/>
      <c r="Q395" s="21"/>
      <c r="R395" s="21"/>
      <c r="S395" s="21"/>
      <c r="T395" s="21"/>
      <c r="U395" s="21"/>
      <c r="V395" s="21"/>
      <c r="W395" s="24">
        <v>1.0</v>
      </c>
      <c r="X395" s="21"/>
      <c r="Y395" s="21"/>
      <c r="Z395" s="14">
        <f t="shared" si="3"/>
        <v>1</v>
      </c>
      <c r="AA395" s="15" t="s">
        <v>91</v>
      </c>
      <c r="AB395" s="14">
        <v>0.5431540048904206</v>
      </c>
    </row>
    <row r="396" ht="14.25" customHeight="1">
      <c r="A396" s="11" t="s">
        <v>1368</v>
      </c>
      <c r="B396" s="11" t="s">
        <v>1369</v>
      </c>
      <c r="C396" s="37" t="s">
        <v>1370</v>
      </c>
      <c r="D396" s="12" t="s">
        <v>1371</v>
      </c>
      <c r="E396" s="12" t="s">
        <v>1372</v>
      </c>
      <c r="F396" s="27" t="s">
        <v>171</v>
      </c>
      <c r="G396" s="12" t="s">
        <v>78</v>
      </c>
      <c r="H396" s="28" t="s">
        <v>1373</v>
      </c>
      <c r="I396" s="11"/>
      <c r="J396" s="11"/>
      <c r="K396" s="29" t="s">
        <v>50</v>
      </c>
      <c r="L396" s="11"/>
      <c r="M396" s="11">
        <f t="shared" si="1"/>
        <v>1</v>
      </c>
      <c r="N396" s="18">
        <v>1.0</v>
      </c>
      <c r="O396" s="18">
        <v>1.0</v>
      </c>
      <c r="P396" s="18"/>
      <c r="Q396" s="18"/>
      <c r="R396" s="18"/>
      <c r="S396" s="18"/>
      <c r="T396" s="31">
        <v>1.0</v>
      </c>
      <c r="U396" s="31"/>
      <c r="V396" s="31">
        <v>1.0</v>
      </c>
      <c r="W396" s="18">
        <v>1.0</v>
      </c>
      <c r="X396" s="31">
        <v>1.0</v>
      </c>
      <c r="Y396" s="18">
        <v>1.0</v>
      </c>
      <c r="Z396" s="14">
        <f t="shared" si="3"/>
        <v>7</v>
      </c>
      <c r="AA396" s="15" t="s">
        <v>91</v>
      </c>
      <c r="AB396" s="14">
        <v>0.5449470815919918</v>
      </c>
    </row>
    <row r="397" ht="14.25" hidden="1" customHeight="1">
      <c r="A397" s="12" t="s">
        <v>1374</v>
      </c>
      <c r="B397" s="12" t="s">
        <v>1375</v>
      </c>
      <c r="C397" s="51" t="s">
        <v>1376</v>
      </c>
      <c r="D397" s="12" t="s">
        <v>1377</v>
      </c>
      <c r="E397" s="12" t="s">
        <v>1378</v>
      </c>
      <c r="F397" s="12" t="s">
        <v>1379</v>
      </c>
      <c r="G397" s="11" t="s">
        <v>48</v>
      </c>
      <c r="H397" s="12">
        <v>2018.0</v>
      </c>
      <c r="I397" s="11"/>
      <c r="J397" s="11"/>
      <c r="K397" s="12" t="s">
        <v>31</v>
      </c>
      <c r="L397" s="12" t="s">
        <v>43</v>
      </c>
      <c r="M397" s="11">
        <f t="shared" si="1"/>
        <v>0</v>
      </c>
      <c r="N397" s="11"/>
      <c r="O397" s="11"/>
      <c r="P397" s="11">
        <v>1.0</v>
      </c>
      <c r="Q397" s="11"/>
      <c r="R397" s="11"/>
      <c r="S397" s="12">
        <v>1.0</v>
      </c>
      <c r="T397" s="12"/>
      <c r="U397" s="12"/>
      <c r="V397" s="18"/>
      <c r="W397" s="18">
        <v>1.0</v>
      </c>
      <c r="X397" s="11"/>
      <c r="Y397" s="11"/>
      <c r="Z397" s="14">
        <f t="shared" si="3"/>
        <v>3</v>
      </c>
      <c r="AA397" s="15" t="s">
        <v>33</v>
      </c>
    </row>
    <row r="398" ht="14.25" customHeight="1">
      <c r="A398" s="12" t="s">
        <v>1380</v>
      </c>
      <c r="B398" s="12" t="s">
        <v>237</v>
      </c>
      <c r="C398" s="35" t="s">
        <v>1381</v>
      </c>
      <c r="D398" s="11"/>
      <c r="E398" s="11"/>
      <c r="F398" s="27" t="s">
        <v>95</v>
      </c>
      <c r="G398" s="12" t="s">
        <v>48</v>
      </c>
      <c r="H398" s="28" t="s">
        <v>99</v>
      </c>
      <c r="I398" s="11"/>
      <c r="J398" s="11"/>
      <c r="K398" s="29" t="s">
        <v>50</v>
      </c>
      <c r="L398" s="12" t="s">
        <v>51</v>
      </c>
      <c r="M398" s="11">
        <f t="shared" si="1"/>
        <v>1</v>
      </c>
      <c r="N398" s="11"/>
      <c r="O398" s="11"/>
      <c r="P398" s="11"/>
      <c r="Q398" s="11"/>
      <c r="R398" s="11"/>
      <c r="S398" s="11"/>
      <c r="T398" s="12">
        <v>1.0</v>
      </c>
      <c r="U398" s="12"/>
      <c r="V398" s="31"/>
      <c r="W398" s="18"/>
      <c r="X398" s="11"/>
      <c r="Y398" s="11"/>
      <c r="Z398" s="14">
        <f t="shared" si="3"/>
        <v>1</v>
      </c>
      <c r="AA398" s="15" t="s">
        <v>106</v>
      </c>
      <c r="AB398" s="14">
        <v>0.551341059791112</v>
      </c>
    </row>
    <row r="399" ht="14.25" hidden="1" customHeight="1">
      <c r="A399" s="19" t="s">
        <v>1382</v>
      </c>
      <c r="B399" s="19" t="s">
        <v>1383</v>
      </c>
      <c r="C399" s="40" t="s">
        <v>1384</v>
      </c>
      <c r="D399" s="21"/>
      <c r="E399" s="21"/>
      <c r="F399" s="21"/>
      <c r="G399" s="19" t="s">
        <v>1385</v>
      </c>
      <c r="H399" s="21"/>
      <c r="I399" s="21"/>
      <c r="J399" s="24"/>
      <c r="K399" s="24" t="s">
        <v>89</v>
      </c>
      <c r="L399" s="24" t="s">
        <v>119</v>
      </c>
      <c r="M399" s="11">
        <f t="shared" si="1"/>
        <v>0</v>
      </c>
      <c r="N399" s="21"/>
      <c r="O399" s="21"/>
      <c r="P399" s="21"/>
      <c r="Q399" s="21"/>
      <c r="R399" s="21"/>
      <c r="S399" s="21"/>
      <c r="T399" s="21"/>
      <c r="U399" s="21"/>
      <c r="V399" s="21"/>
      <c r="W399" s="24">
        <v>1.0</v>
      </c>
      <c r="X399" s="21"/>
      <c r="Y399" s="21"/>
      <c r="Z399" s="14">
        <f t="shared" si="3"/>
        <v>1</v>
      </c>
      <c r="AA399" s="15" t="s">
        <v>1386</v>
      </c>
    </row>
    <row r="400" ht="14.25" customHeight="1">
      <c r="A400" s="19" t="s">
        <v>1387</v>
      </c>
      <c r="B400" s="19" t="s">
        <v>272</v>
      </c>
      <c r="C400" s="35" t="s">
        <v>1388</v>
      </c>
      <c r="D400" s="21"/>
      <c r="E400" s="21"/>
      <c r="F400" s="27" t="s">
        <v>56</v>
      </c>
      <c r="G400" s="19" t="s">
        <v>83</v>
      </c>
      <c r="H400" s="23" t="s">
        <v>104</v>
      </c>
      <c r="I400" s="21"/>
      <c r="J400" s="24"/>
      <c r="K400" s="25" t="s">
        <v>50</v>
      </c>
      <c r="L400" s="24" t="s">
        <v>51</v>
      </c>
      <c r="M400" s="11">
        <f t="shared" si="1"/>
        <v>1</v>
      </c>
      <c r="N400" s="21"/>
      <c r="O400" s="21"/>
      <c r="P400" s="21"/>
      <c r="Q400" s="21"/>
      <c r="R400" s="21"/>
      <c r="S400" s="21"/>
      <c r="T400" s="21"/>
      <c r="U400" s="21"/>
      <c r="V400" s="21"/>
      <c r="W400" s="24">
        <v>1.0</v>
      </c>
      <c r="X400" s="21"/>
      <c r="Y400" s="21"/>
      <c r="Z400" s="14">
        <f t="shared" si="3"/>
        <v>1</v>
      </c>
      <c r="AA400" s="15" t="s">
        <v>91</v>
      </c>
      <c r="AB400" s="14">
        <v>0.5513676280031825</v>
      </c>
    </row>
    <row r="401" ht="14.25" hidden="1" customHeight="1">
      <c r="A401" s="11" t="s">
        <v>1389</v>
      </c>
      <c r="B401" s="11" t="s">
        <v>1177</v>
      </c>
      <c r="C401" s="42" t="s">
        <v>1390</v>
      </c>
      <c r="D401" s="11"/>
      <c r="E401" s="11"/>
      <c r="F401" s="11"/>
      <c r="G401" s="11" t="s">
        <v>48</v>
      </c>
      <c r="H401" s="11"/>
      <c r="I401" s="11"/>
      <c r="J401" s="11"/>
      <c r="K401" s="12" t="s">
        <v>89</v>
      </c>
      <c r="L401" s="11" t="s">
        <v>904</v>
      </c>
      <c r="M401" s="11">
        <f t="shared" si="1"/>
        <v>0</v>
      </c>
      <c r="N401" s="11"/>
      <c r="O401" s="11"/>
      <c r="P401" s="11"/>
      <c r="Q401" s="11"/>
      <c r="R401" s="11"/>
      <c r="S401" s="11"/>
      <c r="T401" s="11"/>
      <c r="U401" s="11"/>
      <c r="V401" s="31">
        <v>1.0</v>
      </c>
      <c r="W401" s="18">
        <v>1.0</v>
      </c>
      <c r="X401" s="11"/>
      <c r="Y401" s="11"/>
      <c r="Z401" s="14">
        <f t="shared" si="3"/>
        <v>2</v>
      </c>
      <c r="AA401" s="15" t="s">
        <v>91</v>
      </c>
    </row>
    <row r="402" ht="14.25" customHeight="1">
      <c r="A402" s="11" t="s">
        <v>1391</v>
      </c>
      <c r="B402" s="11" t="s">
        <v>1392</v>
      </c>
      <c r="C402" s="35" t="s">
        <v>1393</v>
      </c>
      <c r="D402" s="11"/>
      <c r="E402" s="11"/>
      <c r="F402" s="27" t="s">
        <v>1394</v>
      </c>
      <c r="G402" s="11" t="s">
        <v>38</v>
      </c>
      <c r="H402" s="23" t="s">
        <v>606</v>
      </c>
      <c r="I402" s="11"/>
      <c r="J402" s="11"/>
      <c r="K402" s="29" t="s">
        <v>50</v>
      </c>
      <c r="L402" s="12" t="s">
        <v>111</v>
      </c>
      <c r="M402" s="11">
        <f t="shared" si="1"/>
        <v>1</v>
      </c>
      <c r="N402" s="11"/>
      <c r="O402" s="11"/>
      <c r="P402" s="11"/>
      <c r="Q402" s="11"/>
      <c r="R402" s="11"/>
      <c r="S402" s="11"/>
      <c r="T402" s="11"/>
      <c r="U402" s="11"/>
      <c r="V402" s="18"/>
      <c r="W402" s="18">
        <v>1.0</v>
      </c>
      <c r="X402" s="11"/>
      <c r="Y402" s="11"/>
      <c r="Z402" s="14">
        <f t="shared" si="3"/>
        <v>1</v>
      </c>
      <c r="AA402" s="15" t="s">
        <v>52</v>
      </c>
      <c r="AB402" s="14">
        <v>0.5556091703046613</v>
      </c>
    </row>
    <row r="403" ht="14.25" customHeight="1">
      <c r="A403" s="11" t="s">
        <v>1395</v>
      </c>
      <c r="B403" s="11" t="s">
        <v>1396</v>
      </c>
      <c r="C403" s="26" t="s">
        <v>1397</v>
      </c>
      <c r="D403" s="11"/>
      <c r="E403" s="11"/>
      <c r="F403" s="27" t="s">
        <v>77</v>
      </c>
      <c r="G403" s="11" t="s">
        <v>440</v>
      </c>
      <c r="H403" s="28" t="s">
        <v>1398</v>
      </c>
      <c r="I403" s="11"/>
      <c r="J403" s="11"/>
      <c r="K403" s="29" t="s">
        <v>58</v>
      </c>
      <c r="L403" s="12" t="s">
        <v>366</v>
      </c>
      <c r="M403" s="11">
        <f t="shared" si="1"/>
        <v>1</v>
      </c>
      <c r="N403" s="11"/>
      <c r="O403" s="11"/>
      <c r="P403" s="11"/>
      <c r="Q403" s="11"/>
      <c r="R403" s="11"/>
      <c r="S403" s="11"/>
      <c r="T403" s="11"/>
      <c r="U403" s="11"/>
      <c r="V403" s="18"/>
      <c r="W403" s="18">
        <v>1.0</v>
      </c>
      <c r="X403" s="11"/>
      <c r="Y403" s="11"/>
      <c r="Z403" s="14">
        <f t="shared" si="3"/>
        <v>1</v>
      </c>
      <c r="AA403" s="15" t="s">
        <v>33</v>
      </c>
      <c r="AB403" s="14">
        <v>0.5561650463427794</v>
      </c>
    </row>
    <row r="404" ht="14.25" customHeight="1">
      <c r="A404" s="12" t="s">
        <v>1399</v>
      </c>
      <c r="B404" s="12" t="s">
        <v>1400</v>
      </c>
      <c r="C404" s="35" t="s">
        <v>1401</v>
      </c>
      <c r="D404" s="11"/>
      <c r="E404" s="11"/>
      <c r="F404" s="27" t="s">
        <v>62</v>
      </c>
      <c r="G404" s="12" t="s">
        <v>78</v>
      </c>
      <c r="H404" s="28" t="s">
        <v>1402</v>
      </c>
      <c r="I404" s="11"/>
      <c r="J404" s="12"/>
      <c r="K404" s="29" t="s">
        <v>58</v>
      </c>
      <c r="L404" s="12" t="s">
        <v>65</v>
      </c>
      <c r="M404" s="11">
        <f t="shared" si="1"/>
        <v>1</v>
      </c>
      <c r="N404" s="11"/>
      <c r="O404" s="11"/>
      <c r="P404" s="11"/>
      <c r="Q404" s="11"/>
      <c r="R404" s="11"/>
      <c r="S404" s="11"/>
      <c r="T404" s="11"/>
      <c r="U404" s="11"/>
      <c r="V404" s="31">
        <v>1.0</v>
      </c>
      <c r="W404" s="18"/>
      <c r="X404" s="11"/>
      <c r="Y404" s="11"/>
      <c r="Z404" s="14">
        <f t="shared" si="3"/>
        <v>1</v>
      </c>
      <c r="AA404" s="15" t="s">
        <v>33</v>
      </c>
      <c r="AB404" s="14">
        <v>0.5655527157625333</v>
      </c>
    </row>
    <row r="405" ht="14.25" customHeight="1">
      <c r="A405" s="11" t="s">
        <v>1403</v>
      </c>
      <c r="B405" s="11" t="s">
        <v>781</v>
      </c>
      <c r="C405" s="37" t="s">
        <v>1404</v>
      </c>
      <c r="D405" s="11"/>
      <c r="E405" s="11"/>
      <c r="F405" s="27" t="s">
        <v>62</v>
      </c>
      <c r="G405" s="11" t="s">
        <v>427</v>
      </c>
      <c r="H405" s="28" t="s">
        <v>1405</v>
      </c>
      <c r="I405" s="11"/>
      <c r="J405" s="11"/>
      <c r="K405" s="29" t="s">
        <v>58</v>
      </c>
      <c r="L405" s="12" t="s">
        <v>453</v>
      </c>
      <c r="M405" s="11">
        <f t="shared" si="1"/>
        <v>1</v>
      </c>
      <c r="N405" s="11"/>
      <c r="O405" s="11"/>
      <c r="P405" s="11"/>
      <c r="Q405" s="11"/>
      <c r="R405" s="11"/>
      <c r="S405" s="11"/>
      <c r="T405" s="11"/>
      <c r="U405" s="11"/>
      <c r="V405" s="18"/>
      <c r="W405" s="18">
        <v>1.0</v>
      </c>
      <c r="X405" s="11"/>
      <c r="Y405" s="11"/>
      <c r="Z405" s="14">
        <f t="shared" si="3"/>
        <v>1</v>
      </c>
      <c r="AA405" s="15" t="s">
        <v>33</v>
      </c>
      <c r="AB405" s="14">
        <v>0.569317185468383</v>
      </c>
    </row>
    <row r="406" ht="14.25" hidden="1" customHeight="1">
      <c r="A406" s="11" t="s">
        <v>1406</v>
      </c>
      <c r="B406" s="11" t="s">
        <v>953</v>
      </c>
      <c r="C406" s="16" t="s">
        <v>1407</v>
      </c>
      <c r="D406" s="11"/>
      <c r="E406" s="11"/>
      <c r="F406" s="11"/>
      <c r="G406" s="11" t="s">
        <v>38</v>
      </c>
      <c r="H406" s="11"/>
      <c r="I406" s="11"/>
      <c r="J406" s="11"/>
      <c r="K406" s="11" t="s">
        <v>31</v>
      </c>
      <c r="L406" s="12" t="s">
        <v>200</v>
      </c>
      <c r="M406" s="11">
        <f t="shared" si="1"/>
        <v>0</v>
      </c>
      <c r="N406" s="11"/>
      <c r="O406" s="11"/>
      <c r="P406" s="11"/>
      <c r="Q406" s="11"/>
      <c r="R406" s="11"/>
      <c r="S406" s="11"/>
      <c r="T406" s="11"/>
      <c r="U406" s="11"/>
      <c r="V406" s="11"/>
      <c r="W406" s="11"/>
      <c r="X406" s="11"/>
      <c r="Y406" s="11"/>
      <c r="Z406" s="14">
        <f t="shared" si="3"/>
        <v>0</v>
      </c>
      <c r="AA406" s="15" t="s">
        <v>106</v>
      </c>
    </row>
    <row r="407" ht="14.25" customHeight="1">
      <c r="A407" s="19" t="s">
        <v>1408</v>
      </c>
      <c r="B407" s="19" t="s">
        <v>1409</v>
      </c>
      <c r="C407" s="20" t="s">
        <v>1410</v>
      </c>
      <c r="D407" s="21"/>
      <c r="E407" s="21"/>
      <c r="F407" s="27" t="s">
        <v>37</v>
      </c>
      <c r="G407" s="19" t="s">
        <v>78</v>
      </c>
      <c r="H407" s="23" t="s">
        <v>64</v>
      </c>
      <c r="I407" s="21"/>
      <c r="J407" s="21"/>
      <c r="K407" s="25" t="s">
        <v>50</v>
      </c>
      <c r="L407" s="24" t="s">
        <v>65</v>
      </c>
      <c r="M407" s="11">
        <f t="shared" si="1"/>
        <v>1</v>
      </c>
      <c r="N407" s="21"/>
      <c r="O407" s="21"/>
      <c r="P407" s="21"/>
      <c r="Q407" s="21"/>
      <c r="R407" s="21"/>
      <c r="S407" s="21"/>
      <c r="T407" s="21"/>
      <c r="U407" s="21"/>
      <c r="V407" s="21"/>
      <c r="W407" s="24">
        <v>1.0</v>
      </c>
      <c r="X407" s="21"/>
      <c r="Y407" s="21"/>
      <c r="Z407" s="14">
        <f t="shared" si="3"/>
        <v>1</v>
      </c>
      <c r="AA407" s="15" t="s">
        <v>52</v>
      </c>
      <c r="AB407" s="14">
        <v>0.5714598555090348</v>
      </c>
    </row>
    <row r="408" ht="14.25" hidden="1" customHeight="1">
      <c r="A408" s="11" t="s">
        <v>1411</v>
      </c>
      <c r="B408" s="11" t="s">
        <v>953</v>
      </c>
      <c r="C408" s="16" t="s">
        <v>1412</v>
      </c>
      <c r="D408" s="11"/>
      <c r="E408" s="11"/>
      <c r="F408" s="11"/>
      <c r="G408" s="11" t="s">
        <v>38</v>
      </c>
      <c r="H408" s="11"/>
      <c r="I408" s="11"/>
      <c r="J408" s="11"/>
      <c r="K408" s="11" t="s">
        <v>31</v>
      </c>
      <c r="L408" s="12" t="s">
        <v>90</v>
      </c>
      <c r="M408" s="11">
        <f t="shared" si="1"/>
        <v>0</v>
      </c>
      <c r="N408" s="11"/>
      <c r="O408" s="11"/>
      <c r="P408" s="11"/>
      <c r="Q408" s="11"/>
      <c r="R408" s="11"/>
      <c r="S408" s="11"/>
      <c r="T408" s="11"/>
      <c r="U408" s="11"/>
      <c r="V408" s="11"/>
      <c r="W408" s="11"/>
      <c r="X408" s="11"/>
      <c r="Y408" s="11"/>
      <c r="Z408" s="14">
        <f t="shared" si="3"/>
        <v>0</v>
      </c>
      <c r="AA408" s="15" t="s">
        <v>91</v>
      </c>
    </row>
    <row r="409" ht="14.25" customHeight="1">
      <c r="A409" s="11" t="s">
        <v>1413</v>
      </c>
      <c r="B409" s="11" t="s">
        <v>1414</v>
      </c>
      <c r="C409" s="26" t="s">
        <v>1415</v>
      </c>
      <c r="D409" s="11"/>
      <c r="E409" s="11"/>
      <c r="F409" s="27" t="s">
        <v>77</v>
      </c>
      <c r="G409" s="11" t="s">
        <v>628</v>
      </c>
      <c r="H409" s="28" t="s">
        <v>1416</v>
      </c>
      <c r="I409" s="11"/>
      <c r="J409" s="11"/>
      <c r="K409" s="29" t="s">
        <v>50</v>
      </c>
      <c r="L409" s="12" t="s">
        <v>1417</v>
      </c>
      <c r="M409" s="11">
        <f t="shared" si="1"/>
        <v>1</v>
      </c>
      <c r="N409" s="11"/>
      <c r="O409" s="11"/>
      <c r="P409" s="11"/>
      <c r="Q409" s="11"/>
      <c r="R409" s="11"/>
      <c r="S409" s="11"/>
      <c r="T409" s="11"/>
      <c r="U409" s="11"/>
      <c r="V409" s="18"/>
      <c r="W409" s="18">
        <v>1.0</v>
      </c>
      <c r="X409" s="11"/>
      <c r="Y409" s="11"/>
      <c r="Z409" s="14">
        <f t="shared" si="3"/>
        <v>1</v>
      </c>
      <c r="AA409" s="15" t="s">
        <v>91</v>
      </c>
      <c r="AB409" s="14">
        <v>0.5747582264469291</v>
      </c>
    </row>
    <row r="410" ht="14.25" customHeight="1">
      <c r="A410" s="11" t="s">
        <v>1418</v>
      </c>
      <c r="B410" s="11" t="s">
        <v>1419</v>
      </c>
      <c r="C410" s="37" t="s">
        <v>1420</v>
      </c>
      <c r="D410" s="11"/>
      <c r="E410" s="11"/>
      <c r="F410" s="27" t="s">
        <v>62</v>
      </c>
      <c r="G410" s="11" t="s">
        <v>292</v>
      </c>
      <c r="H410" s="28" t="s">
        <v>99</v>
      </c>
      <c r="I410" s="11"/>
      <c r="J410" s="11"/>
      <c r="K410" s="29" t="s">
        <v>50</v>
      </c>
      <c r="L410" s="12" t="s">
        <v>111</v>
      </c>
      <c r="M410" s="11">
        <f t="shared" si="1"/>
        <v>1</v>
      </c>
      <c r="N410" s="11"/>
      <c r="O410" s="11"/>
      <c r="P410" s="11"/>
      <c r="Q410" s="11"/>
      <c r="R410" s="11"/>
      <c r="S410" s="11"/>
      <c r="T410" s="11"/>
      <c r="U410" s="11"/>
      <c r="V410" s="31">
        <v>1.0</v>
      </c>
      <c r="W410" s="18">
        <v>1.0</v>
      </c>
      <c r="X410" s="11"/>
      <c r="Y410" s="11"/>
      <c r="Z410" s="14">
        <f t="shared" si="3"/>
        <v>2</v>
      </c>
      <c r="AA410" s="15" t="s">
        <v>52</v>
      </c>
      <c r="AB410" s="14">
        <v>0.5753021913439299</v>
      </c>
    </row>
    <row r="411" ht="14.25" customHeight="1">
      <c r="A411" s="11" t="s">
        <v>1421</v>
      </c>
      <c r="B411" s="11" t="s">
        <v>269</v>
      </c>
      <c r="C411" s="37" t="s">
        <v>1422</v>
      </c>
      <c r="D411" s="11"/>
      <c r="E411" s="11"/>
      <c r="F411" s="27" t="s">
        <v>37</v>
      </c>
      <c r="G411" s="11" t="s">
        <v>48</v>
      </c>
      <c r="H411" s="28" t="s">
        <v>1423</v>
      </c>
      <c r="I411" s="11"/>
      <c r="J411" s="12"/>
      <c r="K411" s="29" t="s">
        <v>50</v>
      </c>
      <c r="L411" s="12" t="s">
        <v>330</v>
      </c>
      <c r="M411" s="11">
        <f t="shared" si="1"/>
        <v>1</v>
      </c>
      <c r="N411" s="18">
        <v>1.0</v>
      </c>
      <c r="O411" s="11"/>
      <c r="P411" s="11"/>
      <c r="Q411" s="11"/>
      <c r="R411" s="11"/>
      <c r="S411" s="12">
        <v>1.0</v>
      </c>
      <c r="T411" s="12"/>
      <c r="U411" s="12">
        <v>1.0</v>
      </c>
      <c r="V411" s="31">
        <v>1.0</v>
      </c>
      <c r="W411" s="18">
        <v>1.0</v>
      </c>
      <c r="X411" s="12">
        <v>1.0</v>
      </c>
      <c r="Y411" s="11"/>
      <c r="Z411" s="14">
        <f t="shared" si="3"/>
        <v>6</v>
      </c>
      <c r="AA411" s="15" t="s">
        <v>106</v>
      </c>
      <c r="AB411" s="14">
        <v>0.5793133685961382</v>
      </c>
    </row>
    <row r="412" ht="14.25" hidden="1" customHeight="1">
      <c r="A412" s="19" t="s">
        <v>1424</v>
      </c>
      <c r="B412" s="19" t="s">
        <v>1425</v>
      </c>
      <c r="C412" s="52" t="s">
        <v>1426</v>
      </c>
      <c r="D412" s="21"/>
      <c r="E412" s="21"/>
      <c r="F412" s="21"/>
      <c r="G412" s="19" t="s">
        <v>132</v>
      </c>
      <c r="H412" s="21"/>
      <c r="I412" s="21"/>
      <c r="J412" s="24"/>
      <c r="K412" s="24" t="s">
        <v>89</v>
      </c>
      <c r="L412" s="24" t="s">
        <v>1427</v>
      </c>
      <c r="M412" s="11">
        <f t="shared" si="1"/>
        <v>0</v>
      </c>
      <c r="N412" s="21"/>
      <c r="O412" s="21"/>
      <c r="P412" s="21"/>
      <c r="Q412" s="21"/>
      <c r="R412" s="21"/>
      <c r="S412" s="21"/>
      <c r="T412" s="21"/>
      <c r="U412" s="21"/>
      <c r="V412" s="21"/>
      <c r="W412" s="24">
        <v>1.0</v>
      </c>
      <c r="X412" s="21"/>
      <c r="Y412" s="21"/>
      <c r="Z412" s="14">
        <f t="shared" si="3"/>
        <v>1</v>
      </c>
      <c r="AA412" s="15" t="s">
        <v>91</v>
      </c>
    </row>
    <row r="413" ht="14.25" hidden="1" customHeight="1">
      <c r="A413" s="11" t="s">
        <v>1428</v>
      </c>
      <c r="B413" s="11" t="s">
        <v>1429</v>
      </c>
      <c r="C413" s="42" t="s">
        <v>1430</v>
      </c>
      <c r="D413" s="11"/>
      <c r="E413" s="11"/>
      <c r="F413" s="11"/>
      <c r="G413" s="11" t="s">
        <v>427</v>
      </c>
      <c r="H413" s="11"/>
      <c r="I413" s="11"/>
      <c r="J413" s="11"/>
      <c r="K413" s="12" t="s">
        <v>89</v>
      </c>
      <c r="L413" s="12" t="s">
        <v>1431</v>
      </c>
      <c r="M413" s="11">
        <f t="shared" si="1"/>
        <v>0</v>
      </c>
      <c r="N413" s="11"/>
      <c r="O413" s="11"/>
      <c r="P413" s="11"/>
      <c r="Q413" s="11"/>
      <c r="R413" s="11"/>
      <c r="S413" s="11"/>
      <c r="T413" s="11"/>
      <c r="U413" s="11"/>
      <c r="V413" s="18"/>
      <c r="W413" s="18">
        <v>1.0</v>
      </c>
      <c r="X413" s="11"/>
      <c r="Y413" s="11"/>
      <c r="Z413" s="14">
        <f t="shared" si="3"/>
        <v>1</v>
      </c>
      <c r="AA413" s="15" t="s">
        <v>91</v>
      </c>
    </row>
    <row r="414" ht="14.25" hidden="1" customHeight="1">
      <c r="A414" s="19" t="s">
        <v>1432</v>
      </c>
      <c r="B414" s="19" t="s">
        <v>1433</v>
      </c>
      <c r="C414" s="52" t="s">
        <v>1434</v>
      </c>
      <c r="D414" s="21"/>
      <c r="E414" s="21"/>
      <c r="F414" s="21"/>
      <c r="G414" s="19" t="s">
        <v>1435</v>
      </c>
      <c r="H414" s="21"/>
      <c r="I414" s="21"/>
      <c r="J414" s="21"/>
      <c r="K414" s="24" t="s">
        <v>31</v>
      </c>
      <c r="L414" s="24" t="s">
        <v>252</v>
      </c>
      <c r="M414" s="11">
        <f t="shared" si="1"/>
        <v>0</v>
      </c>
      <c r="N414" s="21"/>
      <c r="O414" s="21"/>
      <c r="P414" s="21"/>
      <c r="Q414" s="21"/>
      <c r="R414" s="21"/>
      <c r="S414" s="21"/>
      <c r="T414" s="21"/>
      <c r="U414" s="21"/>
      <c r="V414" s="21"/>
      <c r="W414" s="24">
        <v>1.0</v>
      </c>
      <c r="X414" s="21"/>
      <c r="Y414" s="21"/>
      <c r="Z414" s="14">
        <f t="shared" si="3"/>
        <v>1</v>
      </c>
      <c r="AA414" s="15" t="s">
        <v>33</v>
      </c>
    </row>
    <row r="415" ht="14.25" customHeight="1">
      <c r="A415" s="19" t="s">
        <v>1436</v>
      </c>
      <c r="B415" s="19" t="s">
        <v>1437</v>
      </c>
      <c r="C415" s="20" t="s">
        <v>1438</v>
      </c>
      <c r="D415" s="21"/>
      <c r="E415" s="21"/>
      <c r="F415" s="22" t="s">
        <v>103</v>
      </c>
      <c r="G415" s="19" t="s">
        <v>38</v>
      </c>
      <c r="H415" s="23" t="s">
        <v>49</v>
      </c>
      <c r="I415" s="21"/>
      <c r="J415" s="24"/>
      <c r="K415" s="25" t="s">
        <v>50</v>
      </c>
      <c r="L415" s="24" t="s">
        <v>448</v>
      </c>
      <c r="M415" s="11">
        <f t="shared" si="1"/>
        <v>1</v>
      </c>
      <c r="N415" s="21"/>
      <c r="O415" s="21"/>
      <c r="P415" s="21"/>
      <c r="Q415" s="21"/>
      <c r="R415" s="21"/>
      <c r="S415" s="21"/>
      <c r="T415" s="21"/>
      <c r="U415" s="21"/>
      <c r="V415" s="21"/>
      <c r="W415" s="24">
        <v>1.0</v>
      </c>
      <c r="X415" s="21"/>
      <c r="Y415" s="21"/>
      <c r="Z415" s="14">
        <f t="shared" si="3"/>
        <v>1</v>
      </c>
      <c r="AA415" s="15" t="s">
        <v>52</v>
      </c>
      <c r="AB415" s="14">
        <v>0.5834892462446214</v>
      </c>
    </row>
    <row r="416" ht="14.25" hidden="1" customHeight="1">
      <c r="A416" s="11" t="s">
        <v>1439</v>
      </c>
      <c r="B416" s="11" t="s">
        <v>1440</v>
      </c>
      <c r="C416" s="34" t="s">
        <v>1441</v>
      </c>
      <c r="D416" s="11"/>
      <c r="E416" s="11"/>
      <c r="F416" s="11"/>
      <c r="G416" s="11" t="s">
        <v>204</v>
      </c>
      <c r="H416" s="11"/>
      <c r="I416" s="11"/>
      <c r="J416" s="11"/>
      <c r="K416" s="12" t="s">
        <v>89</v>
      </c>
      <c r="L416" s="12" t="s">
        <v>1442</v>
      </c>
      <c r="M416" s="11">
        <f t="shared" si="1"/>
        <v>0</v>
      </c>
      <c r="N416" s="11"/>
      <c r="O416" s="11"/>
      <c r="P416" s="11"/>
      <c r="Q416" s="11"/>
      <c r="R416" s="11"/>
      <c r="S416" s="11"/>
      <c r="T416" s="11"/>
      <c r="U416" s="11"/>
      <c r="V416" s="18"/>
      <c r="W416" s="18">
        <v>1.0</v>
      </c>
      <c r="X416" s="11"/>
      <c r="Y416" s="11"/>
      <c r="Z416" s="14">
        <f t="shared" si="3"/>
        <v>1</v>
      </c>
      <c r="AA416" s="15" t="s">
        <v>91</v>
      </c>
    </row>
    <row r="417" ht="14.25" hidden="1" customHeight="1">
      <c r="A417" s="11" t="s">
        <v>1443</v>
      </c>
      <c r="B417" s="11" t="s">
        <v>1444</v>
      </c>
      <c r="C417" s="16" t="s">
        <v>1445</v>
      </c>
      <c r="D417" s="12" t="s">
        <v>29</v>
      </c>
      <c r="E417" s="12" t="s">
        <v>29</v>
      </c>
      <c r="F417" s="12" t="s">
        <v>37</v>
      </c>
      <c r="G417" s="11" t="s">
        <v>204</v>
      </c>
      <c r="H417" s="12">
        <v>2017.0</v>
      </c>
      <c r="I417" s="11"/>
      <c r="J417" s="11"/>
      <c r="K417" s="12" t="s">
        <v>31</v>
      </c>
      <c r="L417" s="12" t="s">
        <v>43</v>
      </c>
      <c r="M417" s="11">
        <f t="shared" si="1"/>
        <v>0</v>
      </c>
      <c r="N417" s="18">
        <v>1.0</v>
      </c>
      <c r="O417" s="11"/>
      <c r="P417" s="11"/>
      <c r="Q417" s="11"/>
      <c r="R417" s="11"/>
      <c r="S417" s="12">
        <v>1.0</v>
      </c>
      <c r="T417" s="12"/>
      <c r="U417" s="12">
        <v>1.0</v>
      </c>
      <c r="V417" s="31">
        <v>1.0</v>
      </c>
      <c r="W417" s="18">
        <v>1.0</v>
      </c>
      <c r="X417" s="12">
        <v>1.0</v>
      </c>
      <c r="Y417" s="11"/>
      <c r="Z417" s="14">
        <f t="shared" si="3"/>
        <v>6</v>
      </c>
      <c r="AA417" s="15" t="s">
        <v>33</v>
      </c>
    </row>
    <row r="418" ht="14.25" customHeight="1">
      <c r="A418" s="11" t="s">
        <v>1446</v>
      </c>
      <c r="B418" s="11" t="s">
        <v>1447</v>
      </c>
      <c r="C418" s="38" t="s">
        <v>1448</v>
      </c>
      <c r="D418" s="11"/>
      <c r="E418" s="11"/>
      <c r="F418" s="27" t="s">
        <v>77</v>
      </c>
      <c r="G418" s="11" t="s">
        <v>132</v>
      </c>
      <c r="H418" s="28" t="s">
        <v>1449</v>
      </c>
      <c r="I418" s="11"/>
      <c r="J418" s="11"/>
      <c r="K418" s="29" t="s">
        <v>50</v>
      </c>
      <c r="L418" s="12" t="s">
        <v>51</v>
      </c>
      <c r="M418" s="11">
        <f t="shared" si="1"/>
        <v>1</v>
      </c>
      <c r="N418" s="18">
        <v>1.0</v>
      </c>
      <c r="O418" s="11"/>
      <c r="P418" s="11"/>
      <c r="Q418" s="11"/>
      <c r="R418" s="11"/>
      <c r="S418" s="11"/>
      <c r="T418" s="11"/>
      <c r="U418" s="11"/>
      <c r="V418" s="12">
        <v>1.0</v>
      </c>
      <c r="W418" s="12">
        <v>1.0</v>
      </c>
      <c r="X418" s="11"/>
      <c r="Y418" s="11"/>
      <c r="Z418" s="14">
        <f t="shared" si="3"/>
        <v>3</v>
      </c>
      <c r="AA418" s="15" t="s">
        <v>106</v>
      </c>
      <c r="AB418" s="14">
        <v>0.586580823697385</v>
      </c>
    </row>
    <row r="419" ht="14.25" hidden="1" customHeight="1">
      <c r="A419" s="11" t="s">
        <v>1450</v>
      </c>
      <c r="B419" s="11" t="s">
        <v>1451</v>
      </c>
      <c r="C419" s="42" t="s">
        <v>1452</v>
      </c>
      <c r="D419" s="11"/>
      <c r="E419" s="11"/>
      <c r="F419" s="11"/>
      <c r="G419" s="11" t="s">
        <v>1453</v>
      </c>
      <c r="H419" s="11"/>
      <c r="I419" s="11"/>
      <c r="J419" s="11"/>
      <c r="K419" s="11" t="s">
        <v>31</v>
      </c>
      <c r="L419" s="12" t="s">
        <v>252</v>
      </c>
      <c r="M419" s="11">
        <f t="shared" si="1"/>
        <v>0</v>
      </c>
      <c r="N419" s="11"/>
      <c r="O419" s="11"/>
      <c r="P419" s="11"/>
      <c r="Q419" s="11"/>
      <c r="R419" s="11"/>
      <c r="S419" s="11"/>
      <c r="T419" s="11"/>
      <c r="U419" s="11"/>
      <c r="V419" s="18"/>
      <c r="W419" s="18">
        <v>1.0</v>
      </c>
      <c r="X419" s="11"/>
      <c r="Y419" s="11"/>
      <c r="Z419" s="14">
        <f t="shared" si="3"/>
        <v>1</v>
      </c>
      <c r="AA419" s="15" t="s">
        <v>33</v>
      </c>
    </row>
    <row r="420" ht="14.25" hidden="1" customHeight="1">
      <c r="A420" s="11" t="s">
        <v>1454</v>
      </c>
      <c r="B420" s="11" t="s">
        <v>1455</v>
      </c>
      <c r="C420" s="42" t="s">
        <v>1456</v>
      </c>
      <c r="D420" s="11"/>
      <c r="E420" s="11"/>
      <c r="F420" s="11"/>
      <c r="G420" s="11" t="s">
        <v>196</v>
      </c>
      <c r="H420" s="11"/>
      <c r="I420" s="11"/>
      <c r="J420" s="11"/>
      <c r="K420" s="12" t="s">
        <v>89</v>
      </c>
      <c r="L420" s="11" t="s">
        <v>69</v>
      </c>
      <c r="M420" s="11">
        <f t="shared" si="1"/>
        <v>0</v>
      </c>
      <c r="N420" s="11"/>
      <c r="O420" s="11"/>
      <c r="P420" s="11"/>
      <c r="Q420" s="11"/>
      <c r="R420" s="11"/>
      <c r="S420" s="11"/>
      <c r="T420" s="11"/>
      <c r="U420" s="11"/>
      <c r="V420" s="18"/>
      <c r="W420" s="18">
        <v>1.0</v>
      </c>
      <c r="X420" s="11"/>
      <c r="Y420" s="11"/>
      <c r="Z420" s="14">
        <f t="shared" si="3"/>
        <v>1</v>
      </c>
      <c r="AA420" s="15" t="s">
        <v>91</v>
      </c>
    </row>
    <row r="421" ht="14.25" hidden="1" customHeight="1">
      <c r="A421" s="12" t="s">
        <v>1457</v>
      </c>
      <c r="B421" s="12" t="s">
        <v>1458</v>
      </c>
      <c r="C421" s="30" t="s">
        <v>1459</v>
      </c>
      <c r="D421" s="11"/>
      <c r="E421" s="11"/>
      <c r="F421" s="11"/>
      <c r="G421" s="12" t="s">
        <v>196</v>
      </c>
      <c r="H421" s="11"/>
      <c r="I421" s="11"/>
      <c r="J421" s="12"/>
      <c r="K421" s="12" t="s">
        <v>89</v>
      </c>
      <c r="L421" s="12" t="s">
        <v>69</v>
      </c>
      <c r="M421" s="11">
        <f t="shared" si="1"/>
        <v>0</v>
      </c>
      <c r="N421" s="11"/>
      <c r="O421" s="11"/>
      <c r="P421" s="11"/>
      <c r="Q421" s="11"/>
      <c r="R421" s="11"/>
      <c r="S421" s="11"/>
      <c r="T421" s="11"/>
      <c r="U421" s="11"/>
      <c r="V421" s="31">
        <v>1.0</v>
      </c>
      <c r="W421" s="18"/>
      <c r="X421" s="11"/>
      <c r="Y421" s="11"/>
      <c r="Z421" s="14">
        <f t="shared" si="3"/>
        <v>1</v>
      </c>
      <c r="AA421" s="15" t="s">
        <v>91</v>
      </c>
    </row>
    <row r="422" ht="14.25" customHeight="1">
      <c r="A422" s="12" t="s">
        <v>1460</v>
      </c>
      <c r="B422" s="12"/>
      <c r="C422" s="35" t="s">
        <v>1461</v>
      </c>
      <c r="D422" s="11"/>
      <c r="E422" s="11"/>
      <c r="F422" s="27" t="s">
        <v>171</v>
      </c>
      <c r="G422" s="12" t="s">
        <v>48</v>
      </c>
      <c r="H422" s="28" t="s">
        <v>1462</v>
      </c>
      <c r="I422" s="11"/>
      <c r="J422" s="11"/>
      <c r="K422" s="29" t="s">
        <v>58</v>
      </c>
      <c r="L422" s="12" t="s">
        <v>111</v>
      </c>
      <c r="M422" s="11">
        <f t="shared" si="1"/>
        <v>1</v>
      </c>
      <c r="N422" s="11"/>
      <c r="O422" s="11"/>
      <c r="P422" s="11"/>
      <c r="Q422" s="11"/>
      <c r="R422" s="11"/>
      <c r="S422" s="11"/>
      <c r="T422" s="11"/>
      <c r="U422" s="11"/>
      <c r="V422" s="18"/>
      <c r="W422" s="18"/>
      <c r="X422" s="12">
        <v>1.0</v>
      </c>
      <c r="Y422" s="11"/>
      <c r="Z422" s="14">
        <f t="shared" si="3"/>
        <v>1</v>
      </c>
      <c r="AA422" s="15" t="s">
        <v>33</v>
      </c>
      <c r="AB422" s="14">
        <v>0.5900937491575334</v>
      </c>
    </row>
    <row r="423" ht="14.25" hidden="1" customHeight="1">
      <c r="A423" s="19" t="s">
        <v>1463</v>
      </c>
      <c r="B423" s="47" t="s">
        <v>1205</v>
      </c>
      <c r="C423" s="44" t="s">
        <v>1464</v>
      </c>
      <c r="D423" s="21"/>
      <c r="E423" s="21"/>
      <c r="F423" s="21"/>
      <c r="G423" s="19" t="s">
        <v>196</v>
      </c>
      <c r="H423" s="21"/>
      <c r="I423" s="21"/>
      <c r="J423" s="24"/>
      <c r="K423" s="24" t="s">
        <v>89</v>
      </c>
      <c r="L423" s="24" t="s">
        <v>119</v>
      </c>
      <c r="M423" s="11">
        <f t="shared" si="1"/>
        <v>0</v>
      </c>
      <c r="N423" s="21"/>
      <c r="O423" s="21"/>
      <c r="P423" s="21"/>
      <c r="Q423" s="21"/>
      <c r="R423" s="21"/>
      <c r="S423" s="21"/>
      <c r="T423" s="21"/>
      <c r="U423" s="21"/>
      <c r="V423" s="21"/>
      <c r="W423" s="24">
        <v>1.0</v>
      </c>
      <c r="X423" s="21"/>
      <c r="Y423" s="21"/>
      <c r="Z423" s="14">
        <f t="shared" si="3"/>
        <v>1</v>
      </c>
      <c r="AA423" s="15" t="s">
        <v>91</v>
      </c>
    </row>
    <row r="424" ht="14.25" hidden="1" customHeight="1">
      <c r="A424" s="19" t="s">
        <v>1465</v>
      </c>
      <c r="B424" s="47" t="s">
        <v>1205</v>
      </c>
      <c r="C424" s="44" t="s">
        <v>1466</v>
      </c>
      <c r="D424" s="21"/>
      <c r="E424" s="21"/>
      <c r="F424" s="21"/>
      <c r="G424" s="19" t="s">
        <v>196</v>
      </c>
      <c r="H424" s="21"/>
      <c r="I424" s="21"/>
      <c r="J424" s="24"/>
      <c r="K424" s="24" t="s">
        <v>89</v>
      </c>
      <c r="L424" s="24" t="s">
        <v>119</v>
      </c>
      <c r="M424" s="11">
        <f t="shared" si="1"/>
        <v>0</v>
      </c>
      <c r="N424" s="21"/>
      <c r="O424" s="21"/>
      <c r="P424" s="21"/>
      <c r="Q424" s="21"/>
      <c r="R424" s="21"/>
      <c r="S424" s="21"/>
      <c r="T424" s="21"/>
      <c r="U424" s="21"/>
      <c r="V424" s="21"/>
      <c r="W424" s="24">
        <v>1.0</v>
      </c>
      <c r="X424" s="21"/>
      <c r="Y424" s="21"/>
      <c r="Z424" s="14">
        <f t="shared" si="3"/>
        <v>1</v>
      </c>
      <c r="AA424" s="15" t="s">
        <v>91</v>
      </c>
    </row>
    <row r="425" ht="14.25" customHeight="1">
      <c r="A425" s="19" t="s">
        <v>1467</v>
      </c>
      <c r="B425" s="19" t="s">
        <v>310</v>
      </c>
      <c r="C425" s="55" t="s">
        <v>1468</v>
      </c>
      <c r="D425" s="21"/>
      <c r="E425" s="21"/>
      <c r="F425" s="27" t="s">
        <v>56</v>
      </c>
      <c r="G425" s="19" t="s">
        <v>83</v>
      </c>
      <c r="H425" s="23" t="s">
        <v>898</v>
      </c>
      <c r="I425" s="21"/>
      <c r="J425" s="24"/>
      <c r="K425" s="25" t="s">
        <v>50</v>
      </c>
      <c r="L425" s="24" t="s">
        <v>152</v>
      </c>
      <c r="M425" s="11">
        <f t="shared" si="1"/>
        <v>1</v>
      </c>
      <c r="N425" s="21"/>
      <c r="O425" s="21"/>
      <c r="P425" s="21"/>
      <c r="Q425" s="21"/>
      <c r="R425" s="21"/>
      <c r="S425" s="21"/>
      <c r="T425" s="21"/>
      <c r="U425" s="21"/>
      <c r="V425" s="21"/>
      <c r="W425" s="24">
        <v>1.0</v>
      </c>
      <c r="X425" s="21"/>
      <c r="Y425" s="21"/>
      <c r="Z425" s="14">
        <f t="shared" si="3"/>
        <v>1</v>
      </c>
      <c r="AA425" s="15" t="s">
        <v>91</v>
      </c>
      <c r="AB425" s="14">
        <v>0.5936389415026906</v>
      </c>
    </row>
    <row r="426" ht="14.25" hidden="1" customHeight="1">
      <c r="A426" s="11" t="s">
        <v>1469</v>
      </c>
      <c r="B426" s="11" t="s">
        <v>1470</v>
      </c>
      <c r="C426" s="16" t="s">
        <v>1471</v>
      </c>
      <c r="D426" s="11"/>
      <c r="E426" s="11"/>
      <c r="F426" s="11"/>
      <c r="G426" s="11" t="s">
        <v>38</v>
      </c>
      <c r="H426" s="11"/>
      <c r="I426" s="11"/>
      <c r="J426" s="11"/>
      <c r="K426" s="12" t="s">
        <v>89</v>
      </c>
      <c r="L426" s="11" t="s">
        <v>646</v>
      </c>
      <c r="M426" s="11">
        <f t="shared" si="1"/>
        <v>0</v>
      </c>
      <c r="N426" s="11"/>
      <c r="O426" s="11"/>
      <c r="P426" s="11"/>
      <c r="Q426" s="11"/>
      <c r="R426" s="11"/>
      <c r="S426" s="11"/>
      <c r="T426" s="11"/>
      <c r="U426" s="11"/>
      <c r="V426" s="18"/>
      <c r="W426" s="18">
        <v>1.0</v>
      </c>
      <c r="X426" s="11"/>
      <c r="Y426" s="11"/>
      <c r="Z426" s="14">
        <f t="shared" si="3"/>
        <v>1</v>
      </c>
      <c r="AA426" s="15" t="s">
        <v>91</v>
      </c>
    </row>
    <row r="427" ht="14.25" hidden="1" customHeight="1">
      <c r="A427" s="11" t="s">
        <v>1472</v>
      </c>
      <c r="B427" s="11" t="s">
        <v>1473</v>
      </c>
      <c r="C427" s="57" t="s">
        <v>1474</v>
      </c>
      <c r="D427" s="11"/>
      <c r="E427" s="11"/>
      <c r="F427" s="11"/>
      <c r="G427" s="11" t="s">
        <v>132</v>
      </c>
      <c r="H427" s="11"/>
      <c r="I427" s="11"/>
      <c r="J427" s="11"/>
      <c r="K427" s="12" t="s">
        <v>89</v>
      </c>
      <c r="L427" s="11" t="s">
        <v>69</v>
      </c>
      <c r="M427" s="11">
        <f t="shared" si="1"/>
        <v>0</v>
      </c>
      <c r="N427" s="11"/>
      <c r="O427" s="11"/>
      <c r="P427" s="11"/>
      <c r="Q427" s="11"/>
      <c r="R427" s="11"/>
      <c r="S427" s="11"/>
      <c r="T427" s="11"/>
      <c r="U427" s="11"/>
      <c r="V427" s="18"/>
      <c r="W427" s="18">
        <v>1.0</v>
      </c>
      <c r="X427" s="11"/>
      <c r="Y427" s="11"/>
      <c r="Z427" s="14">
        <f t="shared" si="3"/>
        <v>1</v>
      </c>
      <c r="AA427" s="15" t="s">
        <v>91</v>
      </c>
    </row>
    <row r="428" ht="14.25" hidden="1" customHeight="1">
      <c r="A428" s="11" t="s">
        <v>1475</v>
      </c>
      <c r="B428" s="11" t="s">
        <v>1476</v>
      </c>
      <c r="C428" s="42" t="s">
        <v>1477</v>
      </c>
      <c r="D428" s="11"/>
      <c r="E428" s="11"/>
      <c r="F428" s="11"/>
      <c r="G428" s="11" t="s">
        <v>132</v>
      </c>
      <c r="H428" s="11"/>
      <c r="I428" s="11"/>
      <c r="J428" s="11"/>
      <c r="K428" s="11" t="s">
        <v>31</v>
      </c>
      <c r="L428" s="12" t="s">
        <v>200</v>
      </c>
      <c r="M428" s="11">
        <f t="shared" si="1"/>
        <v>0</v>
      </c>
      <c r="N428" s="11"/>
      <c r="O428" s="11"/>
      <c r="P428" s="11"/>
      <c r="Q428" s="11"/>
      <c r="R428" s="11"/>
      <c r="S428" s="11"/>
      <c r="T428" s="11"/>
      <c r="U428" s="11"/>
      <c r="V428" s="18"/>
      <c r="W428" s="18">
        <v>1.0</v>
      </c>
      <c r="X428" s="11"/>
      <c r="Y428" s="11"/>
      <c r="Z428" s="14">
        <f t="shared" si="3"/>
        <v>1</v>
      </c>
      <c r="AA428" s="15" t="s">
        <v>91</v>
      </c>
    </row>
    <row r="429" ht="14.25" customHeight="1">
      <c r="A429" s="19" t="s">
        <v>1478</v>
      </c>
      <c r="B429" s="19" t="s">
        <v>54</v>
      </c>
      <c r="C429" s="20" t="s">
        <v>1479</v>
      </c>
      <c r="D429" s="21"/>
      <c r="E429" s="21"/>
      <c r="F429" s="27" t="s">
        <v>56</v>
      </c>
      <c r="G429" s="19" t="s">
        <v>83</v>
      </c>
      <c r="H429" s="23" t="s">
        <v>652</v>
      </c>
      <c r="I429" s="21"/>
      <c r="J429" s="21"/>
      <c r="K429" s="25" t="s">
        <v>58</v>
      </c>
      <c r="L429" s="24" t="s">
        <v>1480</v>
      </c>
      <c r="M429" s="11">
        <f t="shared" si="1"/>
        <v>1</v>
      </c>
      <c r="N429" s="21"/>
      <c r="O429" s="21"/>
      <c r="P429" s="21"/>
      <c r="Q429" s="21"/>
      <c r="R429" s="21"/>
      <c r="S429" s="21"/>
      <c r="T429" s="21"/>
      <c r="U429" s="21"/>
      <c r="V429" s="21"/>
      <c r="W429" s="24">
        <v>1.0</v>
      </c>
      <c r="X429" s="21"/>
      <c r="Y429" s="21"/>
      <c r="Z429" s="14">
        <f t="shared" si="3"/>
        <v>1</v>
      </c>
      <c r="AA429" s="15" t="s">
        <v>33</v>
      </c>
      <c r="AB429" s="14">
        <v>0.5961294300701562</v>
      </c>
    </row>
    <row r="430" ht="14.25" customHeight="1">
      <c r="A430" s="11" t="s">
        <v>1481</v>
      </c>
      <c r="B430" s="11" t="s">
        <v>1482</v>
      </c>
      <c r="C430" s="26" t="s">
        <v>1172</v>
      </c>
      <c r="D430" s="11"/>
      <c r="E430" s="11"/>
      <c r="F430" s="27" t="s">
        <v>77</v>
      </c>
      <c r="G430" s="11" t="s">
        <v>1483</v>
      </c>
      <c r="H430" s="28" t="s">
        <v>239</v>
      </c>
      <c r="I430" s="11"/>
      <c r="J430" s="11"/>
      <c r="K430" s="29" t="s">
        <v>50</v>
      </c>
      <c r="L430" s="12" t="s">
        <v>51</v>
      </c>
      <c r="M430" s="11">
        <f t="shared" si="1"/>
        <v>1</v>
      </c>
      <c r="N430" s="11"/>
      <c r="O430" s="11"/>
      <c r="P430" s="11"/>
      <c r="Q430" s="11"/>
      <c r="R430" s="11"/>
      <c r="S430" s="11"/>
      <c r="T430" s="11"/>
      <c r="U430" s="11"/>
      <c r="V430" s="18"/>
      <c r="W430" s="18">
        <v>1.0</v>
      </c>
      <c r="X430" s="11"/>
      <c r="Y430" s="11"/>
      <c r="Z430" s="14">
        <f t="shared" si="3"/>
        <v>1</v>
      </c>
      <c r="AA430" s="15" t="s">
        <v>52</v>
      </c>
      <c r="AB430" s="14">
        <v>0.5962933381926646</v>
      </c>
    </row>
    <row r="431" ht="14.25" customHeight="1">
      <c r="A431" s="19" t="s">
        <v>1484</v>
      </c>
      <c r="B431" s="19" t="s">
        <v>668</v>
      </c>
      <c r="C431" s="35" t="s">
        <v>1485</v>
      </c>
      <c r="D431" s="21"/>
      <c r="E431" s="21"/>
      <c r="F431" s="27" t="s">
        <v>56</v>
      </c>
      <c r="G431" s="19" t="s">
        <v>83</v>
      </c>
      <c r="H431" s="23" t="s">
        <v>239</v>
      </c>
      <c r="I431" s="21"/>
      <c r="J431" s="21"/>
      <c r="K431" s="25" t="s">
        <v>50</v>
      </c>
      <c r="L431" s="24" t="s">
        <v>366</v>
      </c>
      <c r="M431" s="11">
        <f t="shared" si="1"/>
        <v>1</v>
      </c>
      <c r="N431" s="21"/>
      <c r="O431" s="21"/>
      <c r="P431" s="21"/>
      <c r="Q431" s="21"/>
      <c r="R431" s="21"/>
      <c r="S431" s="21"/>
      <c r="T431" s="21"/>
      <c r="U431" s="21"/>
      <c r="V431" s="21"/>
      <c r="W431" s="24">
        <v>1.0</v>
      </c>
      <c r="X431" s="21"/>
      <c r="Y431" s="21"/>
      <c r="Z431" s="14">
        <f t="shared" si="3"/>
        <v>1</v>
      </c>
      <c r="AA431" s="15" t="s">
        <v>91</v>
      </c>
      <c r="AB431" s="14">
        <v>0.5968760935197698</v>
      </c>
    </row>
    <row r="432" ht="14.25" hidden="1" customHeight="1">
      <c r="A432" s="11" t="s">
        <v>1486</v>
      </c>
      <c r="B432" s="11" t="s">
        <v>1487</v>
      </c>
      <c r="C432" s="42" t="s">
        <v>1488</v>
      </c>
      <c r="D432" s="11"/>
      <c r="E432" s="11"/>
      <c r="F432" s="11"/>
      <c r="G432" s="11" t="s">
        <v>740</v>
      </c>
      <c r="H432" s="11"/>
      <c r="I432" s="11"/>
      <c r="J432" s="11"/>
      <c r="K432" s="12" t="s">
        <v>89</v>
      </c>
      <c r="L432" s="12" t="s">
        <v>589</v>
      </c>
      <c r="M432" s="11">
        <f t="shared" si="1"/>
        <v>0</v>
      </c>
      <c r="N432" s="11"/>
      <c r="O432" s="11"/>
      <c r="P432" s="11"/>
      <c r="Q432" s="11"/>
      <c r="R432" s="11"/>
      <c r="S432" s="11"/>
      <c r="T432" s="11"/>
      <c r="U432" s="11"/>
      <c r="V432" s="18"/>
      <c r="W432" s="18">
        <v>1.0</v>
      </c>
      <c r="X432" s="11"/>
      <c r="Y432" s="11"/>
      <c r="Z432" s="14">
        <f t="shared" si="3"/>
        <v>1</v>
      </c>
      <c r="AA432" s="15" t="s">
        <v>91</v>
      </c>
    </row>
    <row r="433" ht="14.25" hidden="1" customHeight="1">
      <c r="A433" s="45" t="s">
        <v>1489</v>
      </c>
      <c r="B433" s="45" t="s">
        <v>1490</v>
      </c>
      <c r="C433" s="81" t="s">
        <v>1491</v>
      </c>
      <c r="D433" s="45"/>
      <c r="E433" s="45"/>
      <c r="F433" s="45"/>
      <c r="G433" s="45" t="s">
        <v>48</v>
      </c>
      <c r="H433" s="45"/>
      <c r="I433" s="45"/>
      <c r="J433" s="45"/>
      <c r="K433" s="45" t="s">
        <v>31</v>
      </c>
      <c r="L433" s="24" t="s">
        <v>252</v>
      </c>
      <c r="M433" s="11">
        <f t="shared" si="1"/>
        <v>0</v>
      </c>
      <c r="N433" s="45"/>
      <c r="O433" s="45"/>
      <c r="P433" s="45">
        <v>1.0</v>
      </c>
      <c r="Q433" s="45"/>
      <c r="R433" s="45"/>
      <c r="S433" s="45"/>
      <c r="T433" s="45"/>
      <c r="U433" s="45"/>
      <c r="V433" s="45"/>
      <c r="W433" s="45"/>
      <c r="X433" s="45"/>
      <c r="Y433" s="45"/>
      <c r="Z433" s="14">
        <f t="shared" si="3"/>
        <v>1</v>
      </c>
      <c r="AA433" s="15" t="s">
        <v>106</v>
      </c>
    </row>
    <row r="434" ht="14.25" hidden="1" customHeight="1">
      <c r="A434" s="12" t="s">
        <v>1492</v>
      </c>
      <c r="B434" s="12" t="s">
        <v>1493</v>
      </c>
      <c r="C434" s="82" t="s">
        <v>1494</v>
      </c>
      <c r="D434" s="11"/>
      <c r="E434" s="11"/>
      <c r="F434" s="11"/>
      <c r="G434" s="12" t="s">
        <v>48</v>
      </c>
      <c r="H434" s="11"/>
      <c r="I434" s="11"/>
      <c r="J434" s="12"/>
      <c r="K434" s="12" t="s">
        <v>31</v>
      </c>
      <c r="L434" s="12" t="s">
        <v>252</v>
      </c>
      <c r="M434" s="11">
        <f t="shared" si="1"/>
        <v>0</v>
      </c>
      <c r="N434" s="11"/>
      <c r="O434" s="11"/>
      <c r="P434" s="11"/>
      <c r="Q434" s="11"/>
      <c r="R434" s="11"/>
      <c r="S434" s="11"/>
      <c r="T434" s="11"/>
      <c r="U434" s="11"/>
      <c r="V434" s="31">
        <v>1.0</v>
      </c>
      <c r="W434" s="31">
        <v>1.0</v>
      </c>
      <c r="X434" s="11"/>
      <c r="Y434" s="11"/>
      <c r="Z434" s="14">
        <f t="shared" si="3"/>
        <v>2</v>
      </c>
      <c r="AA434" s="15" t="s">
        <v>106</v>
      </c>
    </row>
    <row r="435" ht="14.25" hidden="1" customHeight="1">
      <c r="A435" s="19" t="s">
        <v>1495</v>
      </c>
      <c r="B435" s="19" t="s">
        <v>1496</v>
      </c>
      <c r="C435" s="52" t="s">
        <v>1497</v>
      </c>
      <c r="D435" s="21"/>
      <c r="E435" s="21"/>
      <c r="F435" s="21"/>
      <c r="G435" s="19" t="s">
        <v>48</v>
      </c>
      <c r="H435" s="21"/>
      <c r="I435" s="21"/>
      <c r="J435" s="21"/>
      <c r="K435" s="24" t="s">
        <v>31</v>
      </c>
      <c r="L435" s="24" t="s">
        <v>252</v>
      </c>
      <c r="M435" s="11">
        <f t="shared" si="1"/>
        <v>0</v>
      </c>
      <c r="N435" s="21"/>
      <c r="O435" s="21"/>
      <c r="P435" s="21"/>
      <c r="Q435" s="21"/>
      <c r="R435" s="21"/>
      <c r="S435" s="21"/>
      <c r="T435" s="21"/>
      <c r="U435" s="21"/>
      <c r="V435" s="21"/>
      <c r="W435" s="24">
        <v>1.0</v>
      </c>
      <c r="X435" s="21"/>
      <c r="Y435" s="21"/>
      <c r="Z435" s="14">
        <f t="shared" si="3"/>
        <v>1</v>
      </c>
      <c r="AA435" s="15" t="s">
        <v>33</v>
      </c>
    </row>
    <row r="436" ht="14.25" customHeight="1">
      <c r="A436" s="11" t="s">
        <v>1498</v>
      </c>
      <c r="B436" s="11" t="s">
        <v>1499</v>
      </c>
      <c r="C436" s="35" t="s">
        <v>1500</v>
      </c>
      <c r="D436" s="11"/>
      <c r="E436" s="11"/>
      <c r="F436" s="22" t="s">
        <v>77</v>
      </c>
      <c r="G436" s="11" t="s">
        <v>78</v>
      </c>
      <c r="H436" s="28" t="s">
        <v>1501</v>
      </c>
      <c r="I436" s="11"/>
      <c r="J436" s="11"/>
      <c r="K436" s="29" t="s">
        <v>50</v>
      </c>
      <c r="L436" s="12" t="s">
        <v>51</v>
      </c>
      <c r="M436" s="11">
        <f t="shared" si="1"/>
        <v>1</v>
      </c>
      <c r="N436" s="11"/>
      <c r="O436" s="11"/>
      <c r="P436" s="11"/>
      <c r="Q436" s="11"/>
      <c r="R436" s="11"/>
      <c r="S436" s="11"/>
      <c r="T436" s="11"/>
      <c r="U436" s="11"/>
      <c r="V436" s="18"/>
      <c r="W436" s="18">
        <v>1.0</v>
      </c>
      <c r="X436" s="11"/>
      <c r="Y436" s="11"/>
      <c r="Z436" s="14">
        <f t="shared" si="3"/>
        <v>1</v>
      </c>
      <c r="AA436" s="15" t="s">
        <v>106</v>
      </c>
      <c r="AB436" s="14">
        <v>0.6017652199777954</v>
      </c>
    </row>
    <row r="437" ht="14.25" customHeight="1">
      <c r="A437" s="11" t="s">
        <v>1502</v>
      </c>
      <c r="B437" s="11" t="s">
        <v>1503</v>
      </c>
      <c r="C437" s="37" t="s">
        <v>1504</v>
      </c>
      <c r="D437" s="11"/>
      <c r="E437" s="11"/>
      <c r="F437" s="27" t="s">
        <v>171</v>
      </c>
      <c r="G437" s="11" t="s">
        <v>38</v>
      </c>
      <c r="H437" s="28" t="s">
        <v>239</v>
      </c>
      <c r="I437" s="11"/>
      <c r="J437" s="11"/>
      <c r="K437" s="29" t="s">
        <v>50</v>
      </c>
      <c r="L437" s="12" t="s">
        <v>235</v>
      </c>
      <c r="M437" s="11">
        <f t="shared" si="1"/>
        <v>1</v>
      </c>
      <c r="N437" s="18">
        <v>1.0</v>
      </c>
      <c r="O437" s="11"/>
      <c r="P437" s="11"/>
      <c r="Q437" s="11"/>
      <c r="R437" s="11"/>
      <c r="S437" s="11"/>
      <c r="T437" s="11"/>
      <c r="U437" s="11"/>
      <c r="V437" s="12">
        <v>1.0</v>
      </c>
      <c r="W437" s="12">
        <v>1.0</v>
      </c>
      <c r="X437" s="11"/>
      <c r="Y437" s="11"/>
      <c r="Z437" s="14">
        <f t="shared" si="3"/>
        <v>3</v>
      </c>
      <c r="AA437" s="15" t="s">
        <v>52</v>
      </c>
      <c r="AB437" s="14">
        <v>0.606773904043164</v>
      </c>
    </row>
    <row r="438" ht="14.25" hidden="1" customHeight="1">
      <c r="A438" s="12" t="s">
        <v>1505</v>
      </c>
      <c r="B438" s="12" t="s">
        <v>374</v>
      </c>
      <c r="C438" s="51" t="s">
        <v>1506</v>
      </c>
      <c r="D438" s="11"/>
      <c r="E438" s="11"/>
      <c r="F438" s="11"/>
      <c r="G438" s="12" t="s">
        <v>48</v>
      </c>
      <c r="H438" s="11"/>
      <c r="I438" s="11"/>
      <c r="J438" s="12"/>
      <c r="K438" s="12" t="s">
        <v>31</v>
      </c>
      <c r="L438" s="12" t="s">
        <v>1305</v>
      </c>
      <c r="M438" s="11">
        <f t="shared" si="1"/>
        <v>0</v>
      </c>
      <c r="N438" s="18"/>
      <c r="O438" s="11"/>
      <c r="P438" s="11"/>
      <c r="Q438" s="11"/>
      <c r="R438" s="11"/>
      <c r="S438" s="11"/>
      <c r="T438" s="11"/>
      <c r="U438" s="11"/>
      <c r="V438" s="18"/>
      <c r="W438" s="18"/>
      <c r="X438" s="11"/>
      <c r="Y438" s="11"/>
      <c r="Z438" s="14">
        <f t="shared" si="3"/>
        <v>0</v>
      </c>
      <c r="AA438" s="15" t="s">
        <v>33</v>
      </c>
    </row>
    <row r="439" ht="14.25" customHeight="1">
      <c r="A439" s="19" t="s">
        <v>1507</v>
      </c>
      <c r="B439" s="19" t="s">
        <v>1508</v>
      </c>
      <c r="C439" s="83" t="s">
        <v>1509</v>
      </c>
      <c r="D439" s="21"/>
      <c r="E439" s="21"/>
      <c r="F439" s="27" t="s">
        <v>77</v>
      </c>
      <c r="G439" s="19" t="s">
        <v>68</v>
      </c>
      <c r="H439" s="23" t="s">
        <v>99</v>
      </c>
      <c r="I439" s="21"/>
      <c r="J439" s="21"/>
      <c r="K439" s="25" t="s">
        <v>58</v>
      </c>
      <c r="L439" s="24" t="s">
        <v>288</v>
      </c>
      <c r="M439" s="11">
        <f t="shared" si="1"/>
        <v>1</v>
      </c>
      <c r="N439" s="21"/>
      <c r="O439" s="21"/>
      <c r="P439" s="21"/>
      <c r="Q439" s="21"/>
      <c r="R439" s="21"/>
      <c r="S439" s="21"/>
      <c r="T439" s="21"/>
      <c r="U439" s="21"/>
      <c r="V439" s="21"/>
      <c r="W439" s="24">
        <v>1.0</v>
      </c>
      <c r="X439" s="21"/>
      <c r="Y439" s="21"/>
      <c r="Z439" s="14">
        <f t="shared" si="3"/>
        <v>1</v>
      </c>
      <c r="AA439" s="15" t="s">
        <v>33</v>
      </c>
      <c r="AB439" s="14">
        <v>0.6097487447912633</v>
      </c>
    </row>
    <row r="440" ht="14.25" customHeight="1">
      <c r="A440" s="19" t="s">
        <v>1510</v>
      </c>
      <c r="B440" s="19" t="s">
        <v>1511</v>
      </c>
      <c r="C440" s="35" t="s">
        <v>1512</v>
      </c>
      <c r="D440" s="21"/>
      <c r="E440" s="21"/>
      <c r="F440" s="22" t="s">
        <v>103</v>
      </c>
      <c r="G440" s="19" t="s">
        <v>38</v>
      </c>
      <c r="H440" s="23" t="s">
        <v>104</v>
      </c>
      <c r="I440" s="21"/>
      <c r="J440" s="21"/>
      <c r="K440" s="25" t="s">
        <v>50</v>
      </c>
      <c r="L440" s="24" t="s">
        <v>65</v>
      </c>
      <c r="M440" s="11">
        <f t="shared" si="1"/>
        <v>1</v>
      </c>
      <c r="N440" s="21"/>
      <c r="O440" s="21"/>
      <c r="P440" s="21"/>
      <c r="Q440" s="21"/>
      <c r="R440" s="21"/>
      <c r="S440" s="21"/>
      <c r="T440" s="21"/>
      <c r="U440" s="21"/>
      <c r="V440" s="21"/>
      <c r="W440" s="24">
        <v>1.0</v>
      </c>
      <c r="X440" s="21"/>
      <c r="Y440" s="21"/>
      <c r="Z440" s="14">
        <f t="shared" si="3"/>
        <v>1</v>
      </c>
      <c r="AA440" s="15" t="s">
        <v>52</v>
      </c>
      <c r="AB440" s="14">
        <v>0.6112389390368679</v>
      </c>
    </row>
    <row r="441" ht="14.25" customHeight="1">
      <c r="A441" s="12" t="s">
        <v>1513</v>
      </c>
      <c r="B441" s="12" t="s">
        <v>1514</v>
      </c>
      <c r="C441" s="35" t="s">
        <v>1515</v>
      </c>
      <c r="D441" s="11"/>
      <c r="E441" s="11"/>
      <c r="F441" s="22" t="s">
        <v>62</v>
      </c>
      <c r="G441" s="12" t="s">
        <v>48</v>
      </c>
      <c r="H441" s="28" t="s">
        <v>1516</v>
      </c>
      <c r="I441" s="11"/>
      <c r="J441" s="12"/>
      <c r="K441" s="29" t="s">
        <v>50</v>
      </c>
      <c r="L441" s="12"/>
      <c r="M441" s="11">
        <f t="shared" si="1"/>
        <v>1</v>
      </c>
      <c r="N441" s="11"/>
      <c r="O441" s="11"/>
      <c r="P441" s="11"/>
      <c r="Q441" s="11"/>
      <c r="R441" s="11"/>
      <c r="S441" s="12">
        <v>1.0</v>
      </c>
      <c r="T441" s="12"/>
      <c r="U441" s="12"/>
      <c r="V441" s="31"/>
      <c r="W441" s="18"/>
      <c r="X441" s="11"/>
      <c r="Y441" s="11"/>
      <c r="Z441" s="14">
        <f t="shared" si="3"/>
        <v>1</v>
      </c>
      <c r="AA441" s="15" t="s">
        <v>52</v>
      </c>
      <c r="AB441" s="14">
        <v>0.6118942525778995</v>
      </c>
    </row>
    <row r="442" ht="14.25" customHeight="1">
      <c r="A442" s="19" t="s">
        <v>1517</v>
      </c>
      <c r="B442" s="19" t="s">
        <v>1518</v>
      </c>
      <c r="C442" s="20" t="s">
        <v>1519</v>
      </c>
      <c r="D442" s="21"/>
      <c r="E442" s="21"/>
      <c r="F442" s="22" t="s">
        <v>47</v>
      </c>
      <c r="G442" s="19" t="s">
        <v>48</v>
      </c>
      <c r="H442" s="23" t="s">
        <v>365</v>
      </c>
      <c r="I442" s="21"/>
      <c r="J442" s="21"/>
      <c r="K442" s="25" t="s">
        <v>50</v>
      </c>
      <c r="L442" s="24" t="s">
        <v>51</v>
      </c>
      <c r="M442" s="11">
        <f t="shared" si="1"/>
        <v>1</v>
      </c>
      <c r="N442" s="21"/>
      <c r="O442" s="21"/>
      <c r="P442" s="21"/>
      <c r="Q442" s="21"/>
      <c r="R442" s="21"/>
      <c r="S442" s="21"/>
      <c r="T442" s="21"/>
      <c r="U442" s="21"/>
      <c r="V442" s="21"/>
      <c r="W442" s="24">
        <v>1.0</v>
      </c>
      <c r="X442" s="21"/>
      <c r="Y442" s="21"/>
      <c r="Z442" s="14">
        <f t="shared" si="3"/>
        <v>1</v>
      </c>
      <c r="AA442" s="15" t="s">
        <v>52</v>
      </c>
      <c r="AB442" s="14">
        <v>0.6149239352959853</v>
      </c>
    </row>
    <row r="443" ht="14.25" hidden="1" customHeight="1">
      <c r="A443" s="12" t="s">
        <v>1520</v>
      </c>
      <c r="B443" s="12" t="s">
        <v>1521</v>
      </c>
      <c r="C443" s="51" t="s">
        <v>1522</v>
      </c>
      <c r="D443" s="11"/>
      <c r="E443" s="11"/>
      <c r="F443" s="11"/>
      <c r="G443" s="12" t="s">
        <v>48</v>
      </c>
      <c r="H443" s="11"/>
      <c r="I443" s="11"/>
      <c r="J443" s="12"/>
      <c r="K443" s="12" t="s">
        <v>89</v>
      </c>
      <c r="L443" s="12" t="s">
        <v>922</v>
      </c>
      <c r="M443" s="11">
        <f t="shared" si="1"/>
        <v>0</v>
      </c>
      <c r="N443" s="18"/>
      <c r="O443" s="11"/>
      <c r="P443" s="11"/>
      <c r="Q443" s="11"/>
      <c r="R443" s="11"/>
      <c r="S443" s="11"/>
      <c r="T443" s="11"/>
      <c r="U443" s="11"/>
      <c r="V443" s="18"/>
      <c r="W443" s="18"/>
      <c r="X443" s="11"/>
      <c r="Y443" s="11"/>
      <c r="Z443" s="14">
        <f t="shared" si="3"/>
        <v>0</v>
      </c>
      <c r="AA443" s="15" t="s">
        <v>91</v>
      </c>
    </row>
    <row r="444" ht="14.25" hidden="1" customHeight="1">
      <c r="A444" s="11" t="s">
        <v>1523</v>
      </c>
      <c r="B444" s="11" t="s">
        <v>1524</v>
      </c>
      <c r="C444" s="42" t="s">
        <v>1525</v>
      </c>
      <c r="D444" s="11"/>
      <c r="E444" s="11"/>
      <c r="F444" s="11"/>
      <c r="G444" s="11" t="s">
        <v>1526</v>
      </c>
      <c r="H444" s="11"/>
      <c r="I444" s="11"/>
      <c r="J444" s="11"/>
      <c r="K444" s="12" t="s">
        <v>89</v>
      </c>
      <c r="L444" s="12" t="s">
        <v>43</v>
      </c>
      <c r="M444" s="11">
        <f t="shared" si="1"/>
        <v>0</v>
      </c>
      <c r="N444" s="11"/>
      <c r="O444" s="11"/>
      <c r="P444" s="11"/>
      <c r="Q444" s="11"/>
      <c r="R444" s="11"/>
      <c r="S444" s="11"/>
      <c r="T444" s="11"/>
      <c r="U444" s="11"/>
      <c r="V444" s="18"/>
      <c r="W444" s="18">
        <v>1.0</v>
      </c>
      <c r="X444" s="11"/>
      <c r="Y444" s="11"/>
      <c r="Z444" s="14">
        <f t="shared" si="3"/>
        <v>1</v>
      </c>
      <c r="AA444" s="15" t="s">
        <v>91</v>
      </c>
    </row>
    <row r="445" ht="14.25" hidden="1" customHeight="1">
      <c r="A445" s="11" t="s">
        <v>1527</v>
      </c>
      <c r="B445" s="11" t="s">
        <v>1528</v>
      </c>
      <c r="C445" s="42" t="s">
        <v>1529</v>
      </c>
      <c r="D445" s="11"/>
      <c r="E445" s="11"/>
      <c r="F445" s="11"/>
      <c r="G445" s="11" t="s">
        <v>132</v>
      </c>
      <c r="H445" s="11"/>
      <c r="I445" s="11"/>
      <c r="J445" s="11"/>
      <c r="K445" s="11" t="s">
        <v>31</v>
      </c>
      <c r="L445" s="11" t="s">
        <v>69</v>
      </c>
      <c r="M445" s="11">
        <f t="shared" si="1"/>
        <v>0</v>
      </c>
      <c r="N445" s="11"/>
      <c r="O445" s="11"/>
      <c r="P445" s="11"/>
      <c r="Q445" s="11"/>
      <c r="R445" s="11"/>
      <c r="S445" s="11"/>
      <c r="T445" s="11"/>
      <c r="U445" s="11"/>
      <c r="V445" s="18"/>
      <c r="W445" s="18">
        <v>1.0</v>
      </c>
      <c r="X445" s="11"/>
      <c r="Y445" s="11"/>
      <c r="Z445" s="14">
        <f t="shared" si="3"/>
        <v>1</v>
      </c>
      <c r="AA445" s="15" t="s">
        <v>106</v>
      </c>
    </row>
    <row r="446" ht="14.25" hidden="1" customHeight="1">
      <c r="A446" s="11" t="s">
        <v>1530</v>
      </c>
      <c r="B446" s="11" t="s">
        <v>1531</v>
      </c>
      <c r="C446" s="16" t="s">
        <v>1532</v>
      </c>
      <c r="D446" s="11"/>
      <c r="E446" s="11"/>
      <c r="F446" s="11"/>
      <c r="G446" s="11" t="s">
        <v>1210</v>
      </c>
      <c r="H446" s="11"/>
      <c r="I446" s="11"/>
      <c r="J446" s="11"/>
      <c r="K446" s="12" t="s">
        <v>89</v>
      </c>
      <c r="L446" s="12" t="s">
        <v>1340</v>
      </c>
      <c r="M446" s="11">
        <f t="shared" si="1"/>
        <v>0</v>
      </c>
      <c r="N446" s="11"/>
      <c r="O446" s="11"/>
      <c r="P446" s="11"/>
      <c r="Q446" s="11"/>
      <c r="R446" s="11"/>
      <c r="S446" s="11"/>
      <c r="T446" s="11"/>
      <c r="U446" s="11"/>
      <c r="V446" s="18"/>
      <c r="W446" s="18">
        <v>1.0</v>
      </c>
      <c r="X446" s="11"/>
      <c r="Y446" s="11"/>
      <c r="Z446" s="14">
        <f t="shared" si="3"/>
        <v>1</v>
      </c>
      <c r="AA446" s="15" t="s">
        <v>106</v>
      </c>
    </row>
    <row r="447" ht="14.25" hidden="1" customHeight="1">
      <c r="A447" s="11" t="s">
        <v>1533</v>
      </c>
      <c r="B447" s="11" t="s">
        <v>1534</v>
      </c>
      <c r="C447" s="42" t="s">
        <v>1535</v>
      </c>
      <c r="D447" s="11"/>
      <c r="E447" s="11"/>
      <c r="F447" s="11"/>
      <c r="G447" s="11" t="s">
        <v>1536</v>
      </c>
      <c r="H447" s="11"/>
      <c r="I447" s="11"/>
      <c r="J447" s="11"/>
      <c r="K447" s="11" t="s">
        <v>31</v>
      </c>
      <c r="L447" s="11" t="s">
        <v>69</v>
      </c>
      <c r="M447" s="11">
        <f t="shared" si="1"/>
        <v>0</v>
      </c>
      <c r="N447" s="11"/>
      <c r="O447" s="11"/>
      <c r="P447" s="11"/>
      <c r="Q447" s="11"/>
      <c r="R447" s="11"/>
      <c r="S447" s="11"/>
      <c r="T447" s="11"/>
      <c r="U447" s="11"/>
      <c r="V447" s="18"/>
      <c r="W447" s="18">
        <v>1.0</v>
      </c>
      <c r="X447" s="11"/>
      <c r="Y447" s="11"/>
      <c r="Z447" s="14">
        <f t="shared" si="3"/>
        <v>1</v>
      </c>
      <c r="AA447" s="15" t="s">
        <v>106</v>
      </c>
    </row>
    <row r="448" ht="14.25" hidden="1" customHeight="1">
      <c r="A448" s="11" t="s">
        <v>1537</v>
      </c>
      <c r="B448" s="11" t="s">
        <v>1538</v>
      </c>
      <c r="C448" s="42" t="s">
        <v>1539</v>
      </c>
      <c r="D448" s="11"/>
      <c r="E448" s="11"/>
      <c r="F448" s="11"/>
      <c r="G448" s="11" t="s">
        <v>1540</v>
      </c>
      <c r="H448" s="11"/>
      <c r="I448" s="11"/>
      <c r="J448" s="11"/>
      <c r="K448" s="11" t="s">
        <v>31</v>
      </c>
      <c r="L448" s="12" t="s">
        <v>69</v>
      </c>
      <c r="M448" s="11">
        <f t="shared" si="1"/>
        <v>0</v>
      </c>
      <c r="N448" s="11"/>
      <c r="O448" s="11"/>
      <c r="P448" s="11"/>
      <c r="Q448" s="11"/>
      <c r="R448" s="11"/>
      <c r="S448" s="11"/>
      <c r="T448" s="11"/>
      <c r="U448" s="11"/>
      <c r="V448" s="18"/>
      <c r="W448" s="18">
        <v>1.0</v>
      </c>
      <c r="X448" s="11"/>
      <c r="Y448" s="11"/>
      <c r="Z448" s="14">
        <f t="shared" si="3"/>
        <v>1</v>
      </c>
      <c r="AA448" s="15" t="s">
        <v>106</v>
      </c>
    </row>
    <row r="449" ht="14.25" hidden="1" customHeight="1">
      <c r="A449" s="11" t="s">
        <v>1541</v>
      </c>
      <c r="B449" s="11" t="s">
        <v>1542</v>
      </c>
      <c r="C449" s="42" t="s">
        <v>1543</v>
      </c>
      <c r="D449" s="11"/>
      <c r="E449" s="11"/>
      <c r="F449" s="11"/>
      <c r="G449" s="11" t="s">
        <v>1360</v>
      </c>
      <c r="H449" s="11"/>
      <c r="I449" s="11"/>
      <c r="J449" s="11"/>
      <c r="K449" s="11" t="s">
        <v>31</v>
      </c>
      <c r="L449" s="11" t="s">
        <v>69</v>
      </c>
      <c r="M449" s="11">
        <f t="shared" si="1"/>
        <v>0</v>
      </c>
      <c r="N449" s="11"/>
      <c r="O449" s="11"/>
      <c r="P449" s="11"/>
      <c r="Q449" s="11"/>
      <c r="R449" s="11"/>
      <c r="S449" s="11"/>
      <c r="T449" s="11"/>
      <c r="U449" s="11"/>
      <c r="V449" s="18"/>
      <c r="W449" s="18">
        <v>1.0</v>
      </c>
      <c r="X449" s="11"/>
      <c r="Y449" s="11"/>
      <c r="Z449" s="14">
        <f t="shared" si="3"/>
        <v>1</v>
      </c>
      <c r="AA449" s="15" t="s">
        <v>106</v>
      </c>
    </row>
    <row r="450" ht="14.25" hidden="1" customHeight="1">
      <c r="A450" s="11" t="s">
        <v>1544</v>
      </c>
      <c r="B450" s="11" t="s">
        <v>1542</v>
      </c>
      <c r="C450" s="42" t="s">
        <v>1545</v>
      </c>
      <c r="D450" s="11"/>
      <c r="E450" s="11"/>
      <c r="F450" s="11"/>
      <c r="G450" s="11" t="s">
        <v>1360</v>
      </c>
      <c r="H450" s="11"/>
      <c r="I450" s="11"/>
      <c r="J450" s="11"/>
      <c r="K450" s="12" t="s">
        <v>89</v>
      </c>
      <c r="L450" s="11" t="s">
        <v>1108</v>
      </c>
      <c r="M450" s="11">
        <f t="shared" si="1"/>
        <v>0</v>
      </c>
      <c r="N450" s="11"/>
      <c r="O450" s="11"/>
      <c r="P450" s="11"/>
      <c r="Q450" s="11"/>
      <c r="R450" s="11"/>
      <c r="S450" s="11"/>
      <c r="T450" s="11"/>
      <c r="U450" s="11"/>
      <c r="V450" s="18"/>
      <c r="W450" s="18">
        <v>1.0</v>
      </c>
      <c r="X450" s="11"/>
      <c r="Y450" s="11"/>
      <c r="Z450" s="14">
        <f t="shared" si="3"/>
        <v>1</v>
      </c>
      <c r="AA450" s="15" t="s">
        <v>91</v>
      </c>
    </row>
    <row r="451" ht="14.25" hidden="1" customHeight="1">
      <c r="A451" s="11" t="s">
        <v>1546</v>
      </c>
      <c r="B451" s="11" t="s">
        <v>1297</v>
      </c>
      <c r="C451" s="42" t="s">
        <v>1547</v>
      </c>
      <c r="D451" s="11"/>
      <c r="E451" s="11"/>
      <c r="F451" s="11"/>
      <c r="G451" s="11" t="s">
        <v>361</v>
      </c>
      <c r="H451" s="11"/>
      <c r="I451" s="11"/>
      <c r="J451" s="11"/>
      <c r="K451" s="12" t="s">
        <v>89</v>
      </c>
      <c r="L451" s="12" t="s">
        <v>90</v>
      </c>
      <c r="M451" s="11">
        <f t="shared" si="1"/>
        <v>0</v>
      </c>
      <c r="N451" s="11"/>
      <c r="O451" s="11"/>
      <c r="P451" s="11"/>
      <c r="Q451" s="11"/>
      <c r="R451" s="11"/>
      <c r="S451" s="11"/>
      <c r="T451" s="11"/>
      <c r="U451" s="11"/>
      <c r="V451" s="18"/>
      <c r="W451" s="18">
        <v>1.0</v>
      </c>
      <c r="X451" s="11"/>
      <c r="Y451" s="11"/>
      <c r="Z451" s="14">
        <f t="shared" si="3"/>
        <v>1</v>
      </c>
      <c r="AA451" s="15" t="s">
        <v>91</v>
      </c>
    </row>
    <row r="452" ht="14.25" customHeight="1">
      <c r="A452" s="11" t="s">
        <v>1548</v>
      </c>
      <c r="B452" s="12" t="s">
        <v>1549</v>
      </c>
      <c r="C452" s="35" t="s">
        <v>1550</v>
      </c>
      <c r="D452" s="11"/>
      <c r="E452" s="11"/>
      <c r="F452" s="22" t="s">
        <v>103</v>
      </c>
      <c r="G452" s="11" t="s">
        <v>38</v>
      </c>
      <c r="H452" s="28" t="s">
        <v>104</v>
      </c>
      <c r="I452" s="11"/>
      <c r="J452" s="11"/>
      <c r="K452" s="29" t="s">
        <v>50</v>
      </c>
      <c r="L452" s="12" t="s">
        <v>235</v>
      </c>
      <c r="M452" s="11">
        <f t="shared" si="1"/>
        <v>1</v>
      </c>
      <c r="N452" s="11"/>
      <c r="O452" s="11"/>
      <c r="P452" s="11"/>
      <c r="Q452" s="11"/>
      <c r="R452" s="11"/>
      <c r="S452" s="12">
        <v>1.0</v>
      </c>
      <c r="T452" s="12"/>
      <c r="U452" s="12"/>
      <c r="V452" s="18"/>
      <c r="W452" s="18">
        <v>1.0</v>
      </c>
      <c r="X452" s="11"/>
      <c r="Y452" s="11"/>
      <c r="Z452" s="14">
        <f t="shared" si="3"/>
        <v>2</v>
      </c>
      <c r="AA452" s="15" t="s">
        <v>52</v>
      </c>
      <c r="AB452" s="14">
        <v>0.6166793325835882</v>
      </c>
      <c r="AD452" s="71" t="s">
        <v>1551</v>
      </c>
    </row>
    <row r="453" ht="14.25" customHeight="1">
      <c r="A453" s="11" t="s">
        <v>1552</v>
      </c>
      <c r="B453" s="11" t="s">
        <v>1553</v>
      </c>
      <c r="C453" s="37" t="s">
        <v>1554</v>
      </c>
      <c r="D453" s="11"/>
      <c r="E453" s="11"/>
      <c r="F453" s="27" t="s">
        <v>77</v>
      </c>
      <c r="G453" s="11" t="s">
        <v>440</v>
      </c>
      <c r="H453" s="28" t="s">
        <v>1398</v>
      </c>
      <c r="I453" s="11"/>
      <c r="J453" s="11"/>
      <c r="K453" s="29" t="s">
        <v>58</v>
      </c>
      <c r="L453" s="12" t="s">
        <v>366</v>
      </c>
      <c r="M453" s="11">
        <f t="shared" si="1"/>
        <v>1</v>
      </c>
      <c r="N453" s="18">
        <v>1.0</v>
      </c>
      <c r="O453" s="11"/>
      <c r="P453" s="11"/>
      <c r="Q453" s="11"/>
      <c r="R453" s="11"/>
      <c r="S453" s="11"/>
      <c r="T453" s="11"/>
      <c r="U453" s="11"/>
      <c r="V453" s="12">
        <v>1.0</v>
      </c>
      <c r="W453" s="12">
        <v>1.0</v>
      </c>
      <c r="X453" s="11"/>
      <c r="Y453" s="11"/>
      <c r="Z453" s="14">
        <f t="shared" si="3"/>
        <v>3</v>
      </c>
      <c r="AA453" s="15" t="s">
        <v>33</v>
      </c>
      <c r="AB453" s="14">
        <v>0.6264873477887318</v>
      </c>
    </row>
    <row r="454" ht="14.25" hidden="1" customHeight="1">
      <c r="A454" s="11" t="s">
        <v>1555</v>
      </c>
      <c r="B454" s="11" t="s">
        <v>1396</v>
      </c>
      <c r="C454" s="42" t="s">
        <v>1556</v>
      </c>
      <c r="D454" s="11"/>
      <c r="E454" s="11"/>
      <c r="F454" s="11"/>
      <c r="G454" s="11" t="s">
        <v>440</v>
      </c>
      <c r="H454" s="11"/>
      <c r="I454" s="11"/>
      <c r="J454" s="11"/>
      <c r="K454" s="11" t="s">
        <v>31</v>
      </c>
      <c r="L454" s="12" t="s">
        <v>43</v>
      </c>
      <c r="M454" s="11">
        <f t="shared" si="1"/>
        <v>0</v>
      </c>
      <c r="N454" s="11"/>
      <c r="O454" s="11"/>
      <c r="P454" s="11"/>
      <c r="Q454" s="11"/>
      <c r="R454" s="11"/>
      <c r="S454" s="11"/>
      <c r="T454" s="11"/>
      <c r="U454" s="11"/>
      <c r="V454" s="18"/>
      <c r="W454" s="18">
        <v>1.0</v>
      </c>
      <c r="X454" s="11"/>
      <c r="Y454" s="11"/>
      <c r="Z454" s="14">
        <f t="shared" si="3"/>
        <v>1</v>
      </c>
      <c r="AA454" s="15" t="s">
        <v>33</v>
      </c>
    </row>
    <row r="455" ht="14.25" customHeight="1">
      <c r="A455" s="19" t="s">
        <v>1557</v>
      </c>
      <c r="B455" s="19" t="s">
        <v>396</v>
      </c>
      <c r="C455" s="55" t="s">
        <v>1558</v>
      </c>
      <c r="D455" s="21"/>
      <c r="E455" s="21"/>
      <c r="F455" s="22" t="s">
        <v>103</v>
      </c>
      <c r="G455" s="19" t="s">
        <v>38</v>
      </c>
      <c r="H455" s="23" t="s">
        <v>99</v>
      </c>
      <c r="I455" s="21"/>
      <c r="J455" s="21"/>
      <c r="K455" s="25" t="s">
        <v>50</v>
      </c>
      <c r="L455" s="24" t="s">
        <v>51</v>
      </c>
      <c r="M455" s="11">
        <f t="shared" si="1"/>
        <v>1</v>
      </c>
      <c r="N455" s="21"/>
      <c r="O455" s="21"/>
      <c r="P455" s="21"/>
      <c r="Q455" s="21"/>
      <c r="R455" s="21"/>
      <c r="S455" s="21"/>
      <c r="T455" s="21"/>
      <c r="U455" s="21"/>
      <c r="V455" s="21"/>
      <c r="W455" s="24">
        <v>1.0</v>
      </c>
      <c r="X455" s="21"/>
      <c r="Y455" s="21"/>
      <c r="Z455" s="14">
        <f t="shared" si="3"/>
        <v>1</v>
      </c>
      <c r="AA455" s="15" t="s">
        <v>52</v>
      </c>
      <c r="AB455" s="14">
        <v>0.6298621144102327</v>
      </c>
    </row>
    <row r="456" ht="14.25" hidden="1" customHeight="1">
      <c r="A456" s="11" t="s">
        <v>1559</v>
      </c>
      <c r="B456" s="11" t="s">
        <v>1396</v>
      </c>
      <c r="C456" s="42" t="s">
        <v>1560</v>
      </c>
      <c r="D456" s="11"/>
      <c r="E456" s="11"/>
      <c r="F456" s="11"/>
      <c r="G456" s="11" t="s">
        <v>440</v>
      </c>
      <c r="H456" s="11"/>
      <c r="I456" s="11"/>
      <c r="J456" s="11"/>
      <c r="K456" s="11" t="s">
        <v>31</v>
      </c>
      <c r="L456" s="12" t="s">
        <v>90</v>
      </c>
      <c r="M456" s="11">
        <f t="shared" si="1"/>
        <v>0</v>
      </c>
      <c r="N456" s="11"/>
      <c r="O456" s="11"/>
      <c r="P456" s="11"/>
      <c r="Q456" s="11"/>
      <c r="R456" s="11"/>
      <c r="S456" s="11"/>
      <c r="T456" s="11"/>
      <c r="U456" s="11"/>
      <c r="V456" s="18"/>
      <c r="W456" s="18">
        <v>1.0</v>
      </c>
      <c r="X456" s="11"/>
      <c r="Y456" s="11"/>
      <c r="Z456" s="14">
        <f t="shared" si="3"/>
        <v>1</v>
      </c>
      <c r="AA456" s="15" t="s">
        <v>91</v>
      </c>
    </row>
    <row r="457" ht="14.25" customHeight="1">
      <c r="A457" s="19" t="s">
        <v>1561</v>
      </c>
      <c r="B457" s="19" t="s">
        <v>318</v>
      </c>
      <c r="C457" s="20" t="s">
        <v>1562</v>
      </c>
      <c r="D457" s="21"/>
      <c r="E457" s="21"/>
      <c r="F457" s="27" t="s">
        <v>77</v>
      </c>
      <c r="G457" s="19" t="s">
        <v>48</v>
      </c>
      <c r="H457" s="23" t="s">
        <v>1563</v>
      </c>
      <c r="I457" s="21"/>
      <c r="J457" s="24"/>
      <c r="K457" s="25" t="s">
        <v>50</v>
      </c>
      <c r="L457" s="24" t="s">
        <v>51</v>
      </c>
      <c r="M457" s="11">
        <f t="shared" si="1"/>
        <v>1</v>
      </c>
      <c r="N457" s="21"/>
      <c r="O457" s="21"/>
      <c r="P457" s="21"/>
      <c r="Q457" s="21"/>
      <c r="R457" s="21"/>
      <c r="S457" s="21"/>
      <c r="T457" s="21"/>
      <c r="U457" s="21"/>
      <c r="V457" s="21"/>
      <c r="W457" s="24">
        <v>1.0</v>
      </c>
      <c r="X457" s="21"/>
      <c r="Y457" s="21"/>
      <c r="Z457" s="14">
        <f t="shared" si="3"/>
        <v>1</v>
      </c>
      <c r="AA457" s="15" t="s">
        <v>106</v>
      </c>
      <c r="AB457" s="14">
        <v>0.6301419612259412</v>
      </c>
    </row>
    <row r="458" ht="14.25" hidden="1" customHeight="1">
      <c r="A458" s="11" t="s">
        <v>1211</v>
      </c>
      <c r="B458" s="11" t="s">
        <v>1564</v>
      </c>
      <c r="C458" s="42" t="s">
        <v>1565</v>
      </c>
      <c r="D458" s="11"/>
      <c r="E458" s="11"/>
      <c r="F458" s="11"/>
      <c r="G458" s="11" t="s">
        <v>1435</v>
      </c>
      <c r="H458" s="11"/>
      <c r="I458" s="11"/>
      <c r="J458" s="11"/>
      <c r="K458" s="12" t="s">
        <v>89</v>
      </c>
      <c r="L458" s="11" t="s">
        <v>1108</v>
      </c>
      <c r="M458" s="11">
        <f t="shared" si="1"/>
        <v>0</v>
      </c>
      <c r="N458" s="11"/>
      <c r="O458" s="11"/>
      <c r="P458" s="11"/>
      <c r="Q458" s="11"/>
      <c r="R458" s="11"/>
      <c r="S458" s="11"/>
      <c r="T458" s="11"/>
      <c r="U458" s="11"/>
      <c r="V458" s="18"/>
      <c r="W458" s="18">
        <v>1.0</v>
      </c>
      <c r="X458" s="11"/>
      <c r="Y458" s="11"/>
      <c r="Z458" s="14">
        <f t="shared" si="3"/>
        <v>1</v>
      </c>
      <c r="AA458" s="15" t="s">
        <v>91</v>
      </c>
    </row>
    <row r="459" ht="14.25" customHeight="1">
      <c r="A459" s="19" t="s">
        <v>1566</v>
      </c>
      <c r="B459" s="19" t="s">
        <v>310</v>
      </c>
      <c r="C459" s="33" t="s">
        <v>1567</v>
      </c>
      <c r="D459" s="21"/>
      <c r="E459" s="21"/>
      <c r="F459" s="27" t="s">
        <v>56</v>
      </c>
      <c r="G459" s="19" t="s">
        <v>83</v>
      </c>
      <c r="H459" s="23" t="s">
        <v>878</v>
      </c>
      <c r="I459" s="21"/>
      <c r="J459" s="24"/>
      <c r="K459" s="25" t="s">
        <v>50</v>
      </c>
      <c r="L459" s="24" t="s">
        <v>366</v>
      </c>
      <c r="M459" s="11">
        <f t="shared" si="1"/>
        <v>1</v>
      </c>
      <c r="N459" s="21"/>
      <c r="O459" s="21"/>
      <c r="P459" s="21"/>
      <c r="Q459" s="21"/>
      <c r="R459" s="21"/>
      <c r="S459" s="21"/>
      <c r="T459" s="21"/>
      <c r="U459" s="21"/>
      <c r="V459" s="21"/>
      <c r="W459" s="24">
        <v>1.0</v>
      </c>
      <c r="X459" s="21"/>
      <c r="Y459" s="21"/>
      <c r="Z459" s="14">
        <f t="shared" si="3"/>
        <v>1</v>
      </c>
      <c r="AA459" s="15" t="s">
        <v>91</v>
      </c>
      <c r="AB459" s="14">
        <v>0.6314512370650264</v>
      </c>
    </row>
    <row r="460" ht="14.25" hidden="1" customHeight="1">
      <c r="A460" s="11" t="s">
        <v>1568</v>
      </c>
      <c r="B460" s="11" t="s">
        <v>1569</v>
      </c>
      <c r="C460" s="42" t="s">
        <v>1570</v>
      </c>
      <c r="D460" s="11"/>
      <c r="E460" s="11"/>
      <c r="F460" s="11"/>
      <c r="G460" s="11" t="s">
        <v>1571</v>
      </c>
      <c r="H460" s="11"/>
      <c r="I460" s="11"/>
      <c r="J460" s="11"/>
      <c r="K460" s="12" t="s">
        <v>89</v>
      </c>
      <c r="L460" s="12" t="s">
        <v>43</v>
      </c>
      <c r="M460" s="11">
        <f t="shared" si="1"/>
        <v>0</v>
      </c>
      <c r="N460" s="11"/>
      <c r="O460" s="11"/>
      <c r="P460" s="11"/>
      <c r="Q460" s="11"/>
      <c r="R460" s="11"/>
      <c r="S460" s="11"/>
      <c r="T460" s="11"/>
      <c r="U460" s="11"/>
      <c r="V460" s="18"/>
      <c r="W460" s="18">
        <v>1.0</v>
      </c>
      <c r="X460" s="11"/>
      <c r="Y460" s="11"/>
      <c r="Z460" s="14">
        <f t="shared" si="3"/>
        <v>1</v>
      </c>
      <c r="AA460" s="15" t="s">
        <v>91</v>
      </c>
    </row>
    <row r="461" ht="14.25" hidden="1" customHeight="1">
      <c r="A461" s="11" t="s">
        <v>1572</v>
      </c>
      <c r="B461" s="11" t="s">
        <v>1573</v>
      </c>
      <c r="C461" s="42" t="s">
        <v>1574</v>
      </c>
      <c r="D461" s="11"/>
      <c r="E461" s="11"/>
      <c r="F461" s="11"/>
      <c r="G461" s="11" t="s">
        <v>1255</v>
      </c>
      <c r="H461" s="11"/>
      <c r="I461" s="11"/>
      <c r="J461" s="11"/>
      <c r="K461" s="11" t="s">
        <v>31</v>
      </c>
      <c r="L461" s="12" t="s">
        <v>43</v>
      </c>
      <c r="M461" s="11">
        <f t="shared" si="1"/>
        <v>0</v>
      </c>
      <c r="N461" s="11"/>
      <c r="O461" s="11"/>
      <c r="P461" s="11"/>
      <c r="Q461" s="11"/>
      <c r="R461" s="11"/>
      <c r="S461" s="11"/>
      <c r="T461" s="11"/>
      <c r="U461" s="11"/>
      <c r="V461" s="18"/>
      <c r="W461" s="18">
        <v>1.0</v>
      </c>
      <c r="X461" s="11"/>
      <c r="Y461" s="11"/>
      <c r="Z461" s="14">
        <f t="shared" si="3"/>
        <v>1</v>
      </c>
      <c r="AA461" s="15" t="s">
        <v>91</v>
      </c>
    </row>
    <row r="462" ht="14.25" hidden="1" customHeight="1">
      <c r="A462" s="11" t="s">
        <v>1575</v>
      </c>
      <c r="B462" s="11" t="s">
        <v>1576</v>
      </c>
      <c r="C462" s="42" t="s">
        <v>1577</v>
      </c>
      <c r="D462" s="11"/>
      <c r="E462" s="11"/>
      <c r="F462" s="11"/>
      <c r="G462" s="11" t="s">
        <v>440</v>
      </c>
      <c r="H462" s="11"/>
      <c r="I462" s="11"/>
      <c r="J462" s="11"/>
      <c r="K462" s="12" t="s">
        <v>89</v>
      </c>
      <c r="L462" s="12" t="s">
        <v>43</v>
      </c>
      <c r="M462" s="11">
        <f t="shared" si="1"/>
        <v>0</v>
      </c>
      <c r="N462" s="11"/>
      <c r="O462" s="11"/>
      <c r="P462" s="11"/>
      <c r="Q462" s="11"/>
      <c r="R462" s="11"/>
      <c r="S462" s="11"/>
      <c r="T462" s="11"/>
      <c r="U462" s="11"/>
      <c r="V462" s="18"/>
      <c r="W462" s="18">
        <v>1.0</v>
      </c>
      <c r="X462" s="11"/>
      <c r="Y462" s="11"/>
      <c r="Z462" s="14">
        <f t="shared" si="3"/>
        <v>1</v>
      </c>
      <c r="AA462" s="15" t="s">
        <v>91</v>
      </c>
    </row>
    <row r="463" ht="14.25" customHeight="1">
      <c r="A463" s="19" t="s">
        <v>1578</v>
      </c>
      <c r="B463" s="19" t="s">
        <v>310</v>
      </c>
      <c r="C463" s="33" t="s">
        <v>1579</v>
      </c>
      <c r="D463" s="21"/>
      <c r="E463" s="21"/>
      <c r="F463" s="27" t="s">
        <v>56</v>
      </c>
      <c r="G463" s="19" t="s">
        <v>83</v>
      </c>
      <c r="H463" s="23" t="s">
        <v>1063</v>
      </c>
      <c r="I463" s="21"/>
      <c r="J463" s="24"/>
      <c r="K463" s="25" t="s">
        <v>50</v>
      </c>
      <c r="L463" s="24"/>
      <c r="M463" s="11">
        <f t="shared" si="1"/>
        <v>1</v>
      </c>
      <c r="N463" s="21"/>
      <c r="O463" s="21"/>
      <c r="P463" s="21"/>
      <c r="Q463" s="21"/>
      <c r="R463" s="21"/>
      <c r="S463" s="21"/>
      <c r="T463" s="21"/>
      <c r="U463" s="21"/>
      <c r="V463" s="21"/>
      <c r="W463" s="24">
        <v>1.0</v>
      </c>
      <c r="X463" s="21"/>
      <c r="Y463" s="21"/>
      <c r="Z463" s="14">
        <f t="shared" si="3"/>
        <v>1</v>
      </c>
      <c r="AA463" s="15" t="s">
        <v>91</v>
      </c>
      <c r="AB463" s="14">
        <v>0.6335125050567791</v>
      </c>
    </row>
    <row r="464" ht="14.25" hidden="1" customHeight="1">
      <c r="A464" s="11" t="s">
        <v>1580</v>
      </c>
      <c r="B464" s="11" t="s">
        <v>1581</v>
      </c>
      <c r="C464" s="42" t="s">
        <v>1582</v>
      </c>
      <c r="D464" s="11"/>
      <c r="E464" s="11"/>
      <c r="F464" s="11"/>
      <c r="G464" s="11" t="s">
        <v>68</v>
      </c>
      <c r="H464" s="11"/>
      <c r="I464" s="11"/>
      <c r="J464" s="11"/>
      <c r="K464" s="12" t="s">
        <v>89</v>
      </c>
      <c r="L464" s="12" t="s">
        <v>1442</v>
      </c>
      <c r="M464" s="11">
        <f t="shared" si="1"/>
        <v>0</v>
      </c>
      <c r="N464" s="11"/>
      <c r="O464" s="11"/>
      <c r="P464" s="11"/>
      <c r="Q464" s="11"/>
      <c r="R464" s="11"/>
      <c r="S464" s="11"/>
      <c r="T464" s="11"/>
      <c r="U464" s="11"/>
      <c r="V464" s="18"/>
      <c r="W464" s="18">
        <v>1.0</v>
      </c>
      <c r="X464" s="11"/>
      <c r="Y464" s="11"/>
      <c r="Z464" s="14">
        <f t="shared" si="3"/>
        <v>1</v>
      </c>
      <c r="AA464" s="15" t="s">
        <v>91</v>
      </c>
    </row>
    <row r="465" ht="14.25" customHeight="1">
      <c r="A465" s="12" t="s">
        <v>1583</v>
      </c>
      <c r="B465" s="12" t="s">
        <v>1584</v>
      </c>
      <c r="C465" s="38" t="s">
        <v>1585</v>
      </c>
      <c r="D465" s="11"/>
      <c r="E465" s="11"/>
      <c r="F465" s="27" t="s">
        <v>103</v>
      </c>
      <c r="G465" s="12" t="s">
        <v>38</v>
      </c>
      <c r="H465" s="28" t="s">
        <v>1586</v>
      </c>
      <c r="I465" s="11"/>
      <c r="J465" s="11"/>
      <c r="K465" s="29" t="s">
        <v>58</v>
      </c>
      <c r="L465" s="11"/>
      <c r="M465" s="11">
        <f t="shared" si="1"/>
        <v>1</v>
      </c>
      <c r="N465" s="18"/>
      <c r="O465" s="11"/>
      <c r="P465" s="11"/>
      <c r="Q465" s="11"/>
      <c r="R465" s="11"/>
      <c r="S465" s="12">
        <v>1.0</v>
      </c>
      <c r="T465" s="12"/>
      <c r="U465" s="12"/>
      <c r="V465" s="12"/>
      <c r="W465" s="11"/>
      <c r="X465" s="11"/>
      <c r="Y465" s="11"/>
      <c r="Z465" s="14">
        <f t="shared" si="3"/>
        <v>1</v>
      </c>
      <c r="AA465" s="15" t="s">
        <v>33</v>
      </c>
      <c r="AB465" s="14">
        <v>0.6394851619837749</v>
      </c>
    </row>
    <row r="466" ht="14.25" customHeight="1">
      <c r="A466" s="32" t="s">
        <v>1587</v>
      </c>
      <c r="B466" s="19" t="s">
        <v>602</v>
      </c>
      <c r="C466" s="60" t="s">
        <v>1588</v>
      </c>
      <c r="D466" s="21"/>
      <c r="E466" s="21"/>
      <c r="F466" s="27" t="s">
        <v>103</v>
      </c>
      <c r="G466" s="19" t="s">
        <v>38</v>
      </c>
      <c r="H466" s="23" t="s">
        <v>1589</v>
      </c>
      <c r="I466" s="21"/>
      <c r="J466" s="24"/>
      <c r="K466" s="25" t="s">
        <v>50</v>
      </c>
      <c r="L466" s="24" t="s">
        <v>51</v>
      </c>
      <c r="M466" s="11">
        <f t="shared" si="1"/>
        <v>1</v>
      </c>
      <c r="N466" s="21"/>
      <c r="O466" s="21"/>
      <c r="P466" s="21"/>
      <c r="Q466" s="21"/>
      <c r="R466" s="21"/>
      <c r="S466" s="21"/>
      <c r="T466" s="21"/>
      <c r="U466" s="21"/>
      <c r="V466" s="21"/>
      <c r="W466" s="24">
        <v>1.0</v>
      </c>
      <c r="X466" s="21"/>
      <c r="Y466" s="21"/>
      <c r="Z466" s="14">
        <f t="shared" si="3"/>
        <v>1</v>
      </c>
      <c r="AA466" s="15" t="s">
        <v>52</v>
      </c>
      <c r="AB466" s="14">
        <v>0.6426642187514302</v>
      </c>
    </row>
    <row r="467" ht="14.25" hidden="1" customHeight="1">
      <c r="A467" s="19" t="s">
        <v>1590</v>
      </c>
      <c r="B467" s="19" t="s">
        <v>1591</v>
      </c>
      <c r="C467" s="40" t="s">
        <v>1592</v>
      </c>
      <c r="D467" s="21"/>
      <c r="E467" s="21"/>
      <c r="F467" s="21"/>
      <c r="G467" s="19" t="s">
        <v>1255</v>
      </c>
      <c r="H467" s="21"/>
      <c r="I467" s="21"/>
      <c r="J467" s="21"/>
      <c r="K467" s="24" t="s">
        <v>31</v>
      </c>
      <c r="L467" s="24" t="s">
        <v>43</v>
      </c>
      <c r="M467" s="11">
        <f t="shared" si="1"/>
        <v>0</v>
      </c>
      <c r="N467" s="21"/>
      <c r="O467" s="21"/>
      <c r="P467" s="21"/>
      <c r="Q467" s="21"/>
      <c r="R467" s="21"/>
      <c r="S467" s="21"/>
      <c r="T467" s="21"/>
      <c r="U467" s="21"/>
      <c r="V467" s="21"/>
      <c r="W467" s="24">
        <v>1.0</v>
      </c>
      <c r="X467" s="21"/>
      <c r="Y467" s="21"/>
      <c r="Z467" s="14">
        <f t="shared" si="3"/>
        <v>1</v>
      </c>
      <c r="AA467" s="15" t="s">
        <v>33</v>
      </c>
    </row>
    <row r="468" ht="14.25" customHeight="1">
      <c r="A468" s="11" t="s">
        <v>1593</v>
      </c>
      <c r="B468" s="11" t="s">
        <v>1593</v>
      </c>
      <c r="C468" s="49" t="s">
        <v>1594</v>
      </c>
      <c r="D468" s="11"/>
      <c r="E468" s="11"/>
      <c r="F468" s="27" t="s">
        <v>62</v>
      </c>
      <c r="G468" s="11" t="s">
        <v>196</v>
      </c>
      <c r="H468" s="28" t="s">
        <v>104</v>
      </c>
      <c r="I468" s="11"/>
      <c r="J468" s="11"/>
      <c r="K468" s="29" t="s">
        <v>50</v>
      </c>
      <c r="L468" s="12" t="s">
        <v>65</v>
      </c>
      <c r="M468" s="11">
        <f t="shared" si="1"/>
        <v>1</v>
      </c>
      <c r="N468" s="11"/>
      <c r="O468" s="11"/>
      <c r="P468" s="11"/>
      <c r="Q468" s="11"/>
      <c r="R468" s="11"/>
      <c r="S468" s="11"/>
      <c r="T468" s="11"/>
      <c r="U468" s="11"/>
      <c r="V468" s="18"/>
      <c r="W468" s="18">
        <v>1.0</v>
      </c>
      <c r="X468" s="11"/>
      <c r="Y468" s="11"/>
      <c r="Z468" s="14">
        <f t="shared" si="3"/>
        <v>1</v>
      </c>
      <c r="AA468" s="15" t="s">
        <v>52</v>
      </c>
      <c r="AB468" s="14">
        <v>0.646251419162984</v>
      </c>
    </row>
    <row r="469" ht="14.25" hidden="1" customHeight="1">
      <c r="A469" s="11" t="s">
        <v>1595</v>
      </c>
      <c r="B469" s="11" t="s">
        <v>1596</v>
      </c>
      <c r="C469" s="42" t="s">
        <v>1597</v>
      </c>
      <c r="D469" s="11"/>
      <c r="E469" s="11"/>
      <c r="F469" s="11"/>
      <c r="G469" s="11" t="s">
        <v>1598</v>
      </c>
      <c r="H469" s="11"/>
      <c r="I469" s="11"/>
      <c r="J469" s="11"/>
      <c r="K469" s="11" t="s">
        <v>31</v>
      </c>
      <c r="L469" s="12" t="s">
        <v>69</v>
      </c>
      <c r="M469" s="11">
        <f t="shared" si="1"/>
        <v>0</v>
      </c>
      <c r="N469" s="11"/>
      <c r="O469" s="11"/>
      <c r="P469" s="11"/>
      <c r="Q469" s="11"/>
      <c r="R469" s="11"/>
      <c r="S469" s="11"/>
      <c r="T469" s="11"/>
      <c r="U469" s="11"/>
      <c r="V469" s="18"/>
      <c r="W469" s="18">
        <v>1.0</v>
      </c>
      <c r="X469" s="11"/>
      <c r="Y469" s="11"/>
      <c r="Z469" s="14">
        <f t="shared" si="3"/>
        <v>1</v>
      </c>
      <c r="AA469" s="15" t="s">
        <v>106</v>
      </c>
    </row>
    <row r="470" ht="14.25" customHeight="1">
      <c r="A470" s="19" t="s">
        <v>1599</v>
      </c>
      <c r="B470" s="19" t="s">
        <v>1600</v>
      </c>
      <c r="C470" s="33" t="s">
        <v>1601</v>
      </c>
      <c r="D470" s="21"/>
      <c r="E470" s="21"/>
      <c r="F470" s="27" t="s">
        <v>103</v>
      </c>
      <c r="G470" s="19" t="s">
        <v>83</v>
      </c>
      <c r="H470" s="23" t="s">
        <v>1602</v>
      </c>
      <c r="I470" s="21"/>
      <c r="J470" s="24"/>
      <c r="K470" s="25" t="s">
        <v>50</v>
      </c>
      <c r="L470" s="24" t="s">
        <v>407</v>
      </c>
      <c r="M470" s="11">
        <f t="shared" si="1"/>
        <v>1</v>
      </c>
      <c r="N470" s="21"/>
      <c r="O470" s="21"/>
      <c r="P470" s="21"/>
      <c r="Q470" s="21"/>
      <c r="R470" s="21"/>
      <c r="S470" s="21"/>
      <c r="T470" s="21"/>
      <c r="U470" s="21"/>
      <c r="V470" s="21"/>
      <c r="W470" s="24">
        <v>1.0</v>
      </c>
      <c r="X470" s="21"/>
      <c r="Y470" s="21"/>
      <c r="Z470" s="14">
        <f t="shared" si="3"/>
        <v>1</v>
      </c>
      <c r="AA470" s="15" t="s">
        <v>91</v>
      </c>
      <c r="AB470" s="14">
        <v>0.6507284171586049</v>
      </c>
    </row>
    <row r="471" ht="14.25" customHeight="1">
      <c r="A471" s="11" t="s">
        <v>1603</v>
      </c>
      <c r="B471" s="11" t="s">
        <v>54</v>
      </c>
      <c r="C471" s="37" t="s">
        <v>1604</v>
      </c>
      <c r="D471" s="12" t="s">
        <v>29</v>
      </c>
      <c r="E471" s="12" t="s">
        <v>29</v>
      </c>
      <c r="F471" s="27" t="s">
        <v>56</v>
      </c>
      <c r="G471" s="11" t="s">
        <v>83</v>
      </c>
      <c r="H471" s="28" t="s">
        <v>1605</v>
      </c>
      <c r="I471" s="11"/>
      <c r="J471" s="11"/>
      <c r="K471" s="29" t="s">
        <v>50</v>
      </c>
      <c r="L471" s="12" t="s">
        <v>51</v>
      </c>
      <c r="M471" s="11">
        <f t="shared" si="1"/>
        <v>1</v>
      </c>
      <c r="N471" s="11"/>
      <c r="O471" s="18">
        <v>1.0</v>
      </c>
      <c r="P471" s="11"/>
      <c r="Q471" s="11"/>
      <c r="R471" s="11"/>
      <c r="S471" s="11"/>
      <c r="T471" s="12">
        <v>1.0</v>
      </c>
      <c r="U471" s="12"/>
      <c r="V471" s="18"/>
      <c r="W471" s="18">
        <v>1.0</v>
      </c>
      <c r="X471" s="11"/>
      <c r="Y471" s="11"/>
      <c r="Z471" s="14">
        <f t="shared" si="3"/>
        <v>3</v>
      </c>
      <c r="AA471" s="15" t="s">
        <v>106</v>
      </c>
      <c r="AB471" s="14">
        <v>0.653643395321316</v>
      </c>
    </row>
    <row r="472" ht="14.25" hidden="1" customHeight="1">
      <c r="A472" s="19" t="s">
        <v>1606</v>
      </c>
      <c r="B472" s="19" t="s">
        <v>1607</v>
      </c>
      <c r="C472" s="44" t="s">
        <v>1608</v>
      </c>
      <c r="D472" s="21"/>
      <c r="E472" s="21"/>
      <c r="F472" s="21"/>
      <c r="G472" s="19" t="s">
        <v>264</v>
      </c>
      <c r="H472" s="21"/>
      <c r="I472" s="21"/>
      <c r="J472" s="21"/>
      <c r="K472" s="24" t="s">
        <v>89</v>
      </c>
      <c r="L472" s="24" t="s">
        <v>119</v>
      </c>
      <c r="M472" s="11">
        <f t="shared" si="1"/>
        <v>0</v>
      </c>
      <c r="N472" s="21"/>
      <c r="O472" s="21"/>
      <c r="P472" s="21"/>
      <c r="Q472" s="21"/>
      <c r="R472" s="21"/>
      <c r="S472" s="21"/>
      <c r="T472" s="21"/>
      <c r="U472" s="21"/>
      <c r="V472" s="21"/>
      <c r="W472" s="24">
        <v>1.0</v>
      </c>
      <c r="X472" s="21"/>
      <c r="Y472" s="21"/>
      <c r="Z472" s="14">
        <f t="shared" si="3"/>
        <v>1</v>
      </c>
      <c r="AA472" s="15" t="s">
        <v>91</v>
      </c>
    </row>
    <row r="473" ht="14.25" hidden="1" customHeight="1">
      <c r="A473" s="19" t="s">
        <v>1609</v>
      </c>
      <c r="B473" s="19" t="s">
        <v>1607</v>
      </c>
      <c r="C473" s="52" t="s">
        <v>1610</v>
      </c>
      <c r="D473" s="21"/>
      <c r="E473" s="21"/>
      <c r="F473" s="21"/>
      <c r="G473" s="19" t="s">
        <v>264</v>
      </c>
      <c r="H473" s="21"/>
      <c r="I473" s="21"/>
      <c r="J473" s="21"/>
      <c r="K473" s="24" t="s">
        <v>89</v>
      </c>
      <c r="L473" s="24" t="s">
        <v>119</v>
      </c>
      <c r="M473" s="11">
        <f t="shared" si="1"/>
        <v>0</v>
      </c>
      <c r="N473" s="21"/>
      <c r="O473" s="21"/>
      <c r="P473" s="21"/>
      <c r="Q473" s="21"/>
      <c r="R473" s="21"/>
      <c r="S473" s="21"/>
      <c r="T473" s="21"/>
      <c r="U473" s="21"/>
      <c r="V473" s="21"/>
      <c r="W473" s="24">
        <v>1.0</v>
      </c>
      <c r="X473" s="21"/>
      <c r="Y473" s="21"/>
      <c r="Z473" s="14">
        <f t="shared" si="3"/>
        <v>1</v>
      </c>
      <c r="AA473" s="15" t="s">
        <v>91</v>
      </c>
    </row>
    <row r="474" ht="14.25" hidden="1" customHeight="1">
      <c r="A474" s="12" t="s">
        <v>1611</v>
      </c>
      <c r="B474" s="12" t="s">
        <v>1612</v>
      </c>
      <c r="C474" s="30" t="s">
        <v>1613</v>
      </c>
      <c r="D474" s="11"/>
      <c r="E474" s="11"/>
      <c r="F474" s="11"/>
      <c r="G474" s="12" t="s">
        <v>48</v>
      </c>
      <c r="H474" s="11"/>
      <c r="I474" s="11"/>
      <c r="J474" s="12"/>
      <c r="K474" s="12" t="s">
        <v>31</v>
      </c>
      <c r="L474" s="12" t="s">
        <v>252</v>
      </c>
      <c r="M474" s="11">
        <f t="shared" si="1"/>
        <v>0</v>
      </c>
      <c r="N474" s="11"/>
      <c r="O474" s="11"/>
      <c r="P474" s="11"/>
      <c r="Q474" s="11"/>
      <c r="R474" s="11"/>
      <c r="S474" s="11"/>
      <c r="T474" s="11"/>
      <c r="U474" s="11"/>
      <c r="V474" s="31">
        <v>1.0</v>
      </c>
      <c r="W474" s="18"/>
      <c r="X474" s="11"/>
      <c r="Y474" s="11"/>
      <c r="Z474" s="14">
        <f t="shared" si="3"/>
        <v>1</v>
      </c>
      <c r="AA474" s="15" t="s">
        <v>106</v>
      </c>
    </row>
    <row r="475" ht="14.25" hidden="1" customHeight="1">
      <c r="A475" s="11" t="s">
        <v>1614</v>
      </c>
      <c r="B475" s="11" t="s">
        <v>1615</v>
      </c>
      <c r="C475" s="16" t="s">
        <v>1616</v>
      </c>
      <c r="D475" s="11"/>
      <c r="E475" s="11"/>
      <c r="F475" s="11"/>
      <c r="G475" s="11" t="s">
        <v>48</v>
      </c>
      <c r="H475" s="11"/>
      <c r="I475" s="11"/>
      <c r="J475" s="11"/>
      <c r="K475" s="12" t="s">
        <v>89</v>
      </c>
      <c r="L475" s="12" t="s">
        <v>43</v>
      </c>
      <c r="M475" s="11">
        <f t="shared" si="1"/>
        <v>0</v>
      </c>
      <c r="N475" s="11"/>
      <c r="O475" s="11"/>
      <c r="P475" s="11"/>
      <c r="Q475" s="11"/>
      <c r="R475" s="11"/>
      <c r="S475" s="11"/>
      <c r="T475" s="11"/>
      <c r="U475" s="11"/>
      <c r="V475" s="18"/>
      <c r="W475" s="18">
        <v>1.0</v>
      </c>
      <c r="X475" s="11"/>
      <c r="Y475" s="11"/>
      <c r="Z475" s="14">
        <f t="shared" si="3"/>
        <v>1</v>
      </c>
      <c r="AA475" s="15" t="s">
        <v>91</v>
      </c>
    </row>
    <row r="476" ht="14.25" customHeight="1">
      <c r="A476" s="11" t="s">
        <v>1617</v>
      </c>
      <c r="B476" s="11" t="s">
        <v>1618</v>
      </c>
      <c r="C476" s="43" t="s">
        <v>1619</v>
      </c>
      <c r="D476" s="11"/>
      <c r="E476" s="11"/>
      <c r="F476" s="27" t="s">
        <v>95</v>
      </c>
      <c r="G476" s="12" t="s">
        <v>132</v>
      </c>
      <c r="H476" s="28" t="s">
        <v>49</v>
      </c>
      <c r="I476" s="11"/>
      <c r="J476" s="11"/>
      <c r="K476" s="29" t="s">
        <v>50</v>
      </c>
      <c r="L476" s="12" t="s">
        <v>565</v>
      </c>
      <c r="M476" s="11">
        <f t="shared" si="1"/>
        <v>1</v>
      </c>
      <c r="N476" s="11"/>
      <c r="O476" s="11"/>
      <c r="P476" s="11"/>
      <c r="Q476" s="11"/>
      <c r="R476" s="11"/>
      <c r="S476" s="11"/>
      <c r="T476" s="11"/>
      <c r="U476" s="11"/>
      <c r="V476" s="18"/>
      <c r="W476" s="31">
        <v>0.0</v>
      </c>
      <c r="X476" s="11"/>
      <c r="Y476" s="11"/>
      <c r="Z476" s="14">
        <f t="shared" si="3"/>
        <v>0</v>
      </c>
      <c r="AA476" s="15" t="s">
        <v>52</v>
      </c>
      <c r="AB476" s="14">
        <v>0.6539985446141036</v>
      </c>
      <c r="AD476" s="15" t="s">
        <v>1620</v>
      </c>
    </row>
    <row r="477" ht="14.25" customHeight="1">
      <c r="A477" s="19" t="s">
        <v>1621</v>
      </c>
      <c r="B477" s="32" t="s">
        <v>54</v>
      </c>
      <c r="C477" s="33" t="s">
        <v>1622</v>
      </c>
      <c r="D477" s="21"/>
      <c r="E477" s="21"/>
      <c r="F477" s="27" t="s">
        <v>56</v>
      </c>
      <c r="G477" s="19" t="s">
        <v>83</v>
      </c>
      <c r="H477" s="23" t="s">
        <v>998</v>
      </c>
      <c r="I477" s="21"/>
      <c r="J477" s="21"/>
      <c r="K477" s="25" t="s">
        <v>58</v>
      </c>
      <c r="L477" s="24" t="s">
        <v>51</v>
      </c>
      <c r="M477" s="11">
        <f t="shared" si="1"/>
        <v>1</v>
      </c>
      <c r="N477" s="21"/>
      <c r="O477" s="21"/>
      <c r="P477" s="21"/>
      <c r="Q477" s="21"/>
      <c r="R477" s="21"/>
      <c r="S477" s="21"/>
      <c r="T477" s="21"/>
      <c r="U477" s="21"/>
      <c r="V477" s="21"/>
      <c r="W477" s="24">
        <v>1.0</v>
      </c>
      <c r="X477" s="21"/>
      <c r="Y477" s="21"/>
      <c r="Z477" s="14">
        <f t="shared" si="3"/>
        <v>1</v>
      </c>
      <c r="AA477" s="15" t="s">
        <v>33</v>
      </c>
      <c r="AB477" s="14">
        <v>0.6553680310583175</v>
      </c>
    </row>
    <row r="478" ht="14.25" customHeight="1">
      <c r="A478" s="19" t="s">
        <v>1623</v>
      </c>
      <c r="B478" s="19" t="s">
        <v>1624</v>
      </c>
      <c r="C478" s="35" t="s">
        <v>1625</v>
      </c>
      <c r="D478" s="21"/>
      <c r="E478" s="21"/>
      <c r="F478" s="27" t="s">
        <v>103</v>
      </c>
      <c r="G478" s="19" t="s">
        <v>83</v>
      </c>
      <c r="H478" s="23" t="s">
        <v>1626</v>
      </c>
      <c r="I478" s="21"/>
      <c r="J478" s="21"/>
      <c r="K478" s="25" t="s">
        <v>50</v>
      </c>
      <c r="L478" s="24" t="s">
        <v>1160</v>
      </c>
      <c r="M478" s="11">
        <f t="shared" si="1"/>
        <v>1</v>
      </c>
      <c r="N478" s="21"/>
      <c r="O478" s="21"/>
      <c r="P478" s="21"/>
      <c r="Q478" s="21"/>
      <c r="R478" s="21"/>
      <c r="S478" s="21"/>
      <c r="T478" s="21"/>
      <c r="U478" s="21"/>
      <c r="V478" s="21"/>
      <c r="W478" s="24">
        <v>1.0</v>
      </c>
      <c r="X478" s="21"/>
      <c r="Y478" s="21"/>
      <c r="Z478" s="14">
        <f t="shared" si="3"/>
        <v>1</v>
      </c>
      <c r="AA478" s="15" t="s">
        <v>106</v>
      </c>
      <c r="AB478" s="14">
        <v>0.6568730287200342</v>
      </c>
    </row>
    <row r="479" ht="14.25" customHeight="1">
      <c r="A479" s="19" t="s">
        <v>1627</v>
      </c>
      <c r="B479" s="19" t="s">
        <v>1628</v>
      </c>
      <c r="C479" s="20" t="s">
        <v>1629</v>
      </c>
      <c r="D479" s="21"/>
      <c r="E479" s="21"/>
      <c r="F479" s="27" t="s">
        <v>171</v>
      </c>
      <c r="G479" s="19" t="s">
        <v>83</v>
      </c>
      <c r="H479" s="23" t="s">
        <v>365</v>
      </c>
      <c r="I479" s="21"/>
      <c r="J479" s="21"/>
      <c r="K479" s="25" t="s">
        <v>50</v>
      </c>
      <c r="L479" s="24" t="s">
        <v>124</v>
      </c>
      <c r="M479" s="11">
        <f t="shared" si="1"/>
        <v>1</v>
      </c>
      <c r="N479" s="21"/>
      <c r="O479" s="21"/>
      <c r="P479" s="21"/>
      <c r="Q479" s="21"/>
      <c r="R479" s="21"/>
      <c r="S479" s="21"/>
      <c r="T479" s="21"/>
      <c r="U479" s="21"/>
      <c r="V479" s="21"/>
      <c r="W479" s="24">
        <v>1.0</v>
      </c>
      <c r="X479" s="21"/>
      <c r="Y479" s="21"/>
      <c r="Z479" s="14">
        <f t="shared" si="3"/>
        <v>1</v>
      </c>
      <c r="AA479" s="15" t="s">
        <v>52</v>
      </c>
      <c r="AB479" s="14">
        <v>0.6589925303137014</v>
      </c>
    </row>
    <row r="480" ht="14.25" customHeight="1">
      <c r="A480" s="12" t="s">
        <v>1630</v>
      </c>
      <c r="B480" s="12" t="s">
        <v>1631</v>
      </c>
      <c r="C480" s="35" t="s">
        <v>1632</v>
      </c>
      <c r="D480" s="11"/>
      <c r="E480" s="11"/>
      <c r="F480" s="27" t="s">
        <v>351</v>
      </c>
      <c r="G480" s="12" t="s">
        <v>132</v>
      </c>
      <c r="H480" s="28" t="s">
        <v>823</v>
      </c>
      <c r="I480" s="11"/>
      <c r="J480" s="12"/>
      <c r="K480" s="29" t="s">
        <v>50</v>
      </c>
      <c r="L480" s="12" t="s">
        <v>1160</v>
      </c>
      <c r="M480" s="11">
        <f t="shared" si="1"/>
        <v>1</v>
      </c>
      <c r="N480" s="11"/>
      <c r="O480" s="11"/>
      <c r="P480" s="11"/>
      <c r="Q480" s="11"/>
      <c r="R480" s="11"/>
      <c r="S480" s="11"/>
      <c r="T480" s="11"/>
      <c r="U480" s="11"/>
      <c r="V480" s="31">
        <v>1.0</v>
      </c>
      <c r="W480" s="31">
        <v>1.0</v>
      </c>
      <c r="X480" s="11"/>
      <c r="Y480" s="11"/>
      <c r="Z480" s="14">
        <f t="shared" si="3"/>
        <v>2</v>
      </c>
      <c r="AA480" s="15" t="s">
        <v>106</v>
      </c>
      <c r="AB480" s="14">
        <v>0.6610616806019868</v>
      </c>
    </row>
    <row r="481" ht="14.25" customHeight="1">
      <c r="A481" s="12" t="s">
        <v>1633</v>
      </c>
      <c r="B481" s="12" t="s">
        <v>1634</v>
      </c>
      <c r="C481" s="43" t="s">
        <v>1635</v>
      </c>
      <c r="D481" s="12" t="s">
        <v>29</v>
      </c>
      <c r="E481" s="12" t="s">
        <v>29</v>
      </c>
      <c r="F481" s="27" t="s">
        <v>37</v>
      </c>
      <c r="G481" s="11" t="s">
        <v>196</v>
      </c>
      <c r="H481" s="28" t="s">
        <v>1636</v>
      </c>
      <c r="I481" s="11"/>
      <c r="J481" s="11"/>
      <c r="K481" s="29" t="s">
        <v>50</v>
      </c>
      <c r="L481" s="12" t="s">
        <v>111</v>
      </c>
      <c r="M481" s="11">
        <f t="shared" si="1"/>
        <v>1</v>
      </c>
      <c r="N481" s="11"/>
      <c r="O481" s="11"/>
      <c r="P481" s="11"/>
      <c r="Q481" s="11"/>
      <c r="R481" s="11"/>
      <c r="S481" s="11"/>
      <c r="T481" s="11"/>
      <c r="U481" s="11"/>
      <c r="V481" s="31">
        <v>1.0</v>
      </c>
      <c r="W481" s="18">
        <v>1.0</v>
      </c>
      <c r="X481" s="11"/>
      <c r="Y481" s="11"/>
      <c r="Z481" s="14">
        <f t="shared" si="3"/>
        <v>2</v>
      </c>
      <c r="AA481" s="15" t="s">
        <v>106</v>
      </c>
      <c r="AB481" s="14">
        <v>0.6610742166511736</v>
      </c>
    </row>
    <row r="482" ht="14.25" customHeight="1">
      <c r="A482" s="11" t="s">
        <v>1637</v>
      </c>
      <c r="B482" s="12" t="s">
        <v>809</v>
      </c>
      <c r="C482" s="37" t="s">
        <v>1638</v>
      </c>
      <c r="D482" s="11"/>
      <c r="E482" s="11"/>
      <c r="F482" s="27" t="s">
        <v>95</v>
      </c>
      <c r="G482" s="12" t="s">
        <v>78</v>
      </c>
      <c r="H482" s="28" t="s">
        <v>99</v>
      </c>
      <c r="I482" s="11"/>
      <c r="J482" s="11"/>
      <c r="K482" s="29" t="s">
        <v>50</v>
      </c>
      <c r="L482" s="12" t="s">
        <v>51</v>
      </c>
      <c r="M482" s="11">
        <f t="shared" si="1"/>
        <v>1</v>
      </c>
      <c r="N482" s="11"/>
      <c r="O482" s="11"/>
      <c r="P482" s="11"/>
      <c r="Q482" s="11"/>
      <c r="R482" s="11"/>
      <c r="S482" s="11"/>
      <c r="T482" s="11"/>
      <c r="U482" s="11"/>
      <c r="V482" s="31">
        <v>1.0</v>
      </c>
      <c r="W482" s="18">
        <v>1.0</v>
      </c>
      <c r="X482" s="11"/>
      <c r="Y482" s="11"/>
      <c r="Z482" s="14">
        <f t="shared" si="3"/>
        <v>2</v>
      </c>
      <c r="AA482" s="15" t="s">
        <v>52</v>
      </c>
      <c r="AB482" s="14">
        <v>0.6670343375289824</v>
      </c>
    </row>
    <row r="483" ht="14.25" customHeight="1">
      <c r="A483" s="11" t="s">
        <v>1639</v>
      </c>
      <c r="B483" s="11" t="s">
        <v>1640</v>
      </c>
      <c r="C483" s="37" t="s">
        <v>1641</v>
      </c>
      <c r="D483" s="11"/>
      <c r="E483" s="11"/>
      <c r="F483" s="27" t="s">
        <v>140</v>
      </c>
      <c r="G483" s="11" t="s">
        <v>361</v>
      </c>
      <c r="H483" s="28" t="s">
        <v>1642</v>
      </c>
      <c r="I483" s="11"/>
      <c r="J483" s="11"/>
      <c r="K483" s="29" t="s">
        <v>50</v>
      </c>
      <c r="L483" s="12" t="s">
        <v>51</v>
      </c>
      <c r="M483" s="11">
        <f t="shared" si="1"/>
        <v>1</v>
      </c>
      <c r="N483" s="11"/>
      <c r="O483" s="11"/>
      <c r="P483" s="18">
        <v>1.0</v>
      </c>
      <c r="Q483" s="18"/>
      <c r="R483" s="18"/>
      <c r="S483" s="18"/>
      <c r="T483" s="18"/>
      <c r="U483" s="18"/>
      <c r="V483" s="11"/>
      <c r="W483" s="11"/>
      <c r="X483" s="18"/>
      <c r="Y483" s="18">
        <v>1.0</v>
      </c>
      <c r="Z483" s="14">
        <f t="shared" si="3"/>
        <v>2</v>
      </c>
      <c r="AA483" s="15" t="s">
        <v>106</v>
      </c>
      <c r="AB483" s="14">
        <v>0.6684876783463972</v>
      </c>
    </row>
    <row r="484" ht="14.25" customHeight="1">
      <c r="A484" s="12" t="s">
        <v>1643</v>
      </c>
      <c r="B484" s="11" t="s">
        <v>1644</v>
      </c>
      <c r="C484" s="37" t="s">
        <v>1645</v>
      </c>
      <c r="D484" s="12" t="s">
        <v>1646</v>
      </c>
      <c r="E484" s="12" t="s">
        <v>1647</v>
      </c>
      <c r="F484" s="27" t="s">
        <v>77</v>
      </c>
      <c r="G484" s="11" t="s">
        <v>1483</v>
      </c>
      <c r="H484" s="28" t="s">
        <v>1648</v>
      </c>
      <c r="I484" s="11"/>
      <c r="J484" s="11"/>
      <c r="K484" s="29" t="s">
        <v>50</v>
      </c>
      <c r="L484" s="11"/>
      <c r="M484" s="11">
        <f t="shared" si="1"/>
        <v>1</v>
      </c>
      <c r="N484" s="18">
        <v>1.0</v>
      </c>
      <c r="O484" s="18">
        <v>1.0</v>
      </c>
      <c r="P484" s="18"/>
      <c r="Q484" s="18"/>
      <c r="R484" s="18"/>
      <c r="S484" s="31">
        <v>1.0</v>
      </c>
      <c r="T484" s="31">
        <v>1.0</v>
      </c>
      <c r="U484" s="31"/>
      <c r="V484" s="31">
        <v>1.0</v>
      </c>
      <c r="W484" s="18">
        <v>1.0</v>
      </c>
      <c r="X484" s="18"/>
      <c r="Y484" s="18">
        <v>1.0</v>
      </c>
      <c r="Z484" s="14">
        <f t="shared" si="3"/>
        <v>7</v>
      </c>
      <c r="AA484" s="15" t="s">
        <v>106</v>
      </c>
      <c r="AB484" s="14">
        <v>0.6706536691351042</v>
      </c>
    </row>
    <row r="485" ht="14.25" hidden="1" customHeight="1">
      <c r="A485" s="11" t="s">
        <v>1649</v>
      </c>
      <c r="B485" s="11" t="s">
        <v>1650</v>
      </c>
      <c r="C485" s="42" t="s">
        <v>1651</v>
      </c>
      <c r="D485" s="11"/>
      <c r="E485" s="11"/>
      <c r="F485" s="11"/>
      <c r="G485" s="11" t="s">
        <v>158</v>
      </c>
      <c r="H485" s="11"/>
      <c r="I485" s="11"/>
      <c r="J485" s="11"/>
      <c r="K485" s="11" t="s">
        <v>31</v>
      </c>
      <c r="L485" s="12" t="s">
        <v>200</v>
      </c>
      <c r="M485" s="11">
        <f t="shared" si="1"/>
        <v>0</v>
      </c>
      <c r="N485" s="11"/>
      <c r="O485" s="11"/>
      <c r="P485" s="11"/>
      <c r="Q485" s="11"/>
      <c r="R485" s="11"/>
      <c r="S485" s="11"/>
      <c r="T485" s="11"/>
      <c r="U485" s="11"/>
      <c r="V485" s="18"/>
      <c r="W485" s="18">
        <v>1.0</v>
      </c>
      <c r="X485" s="11"/>
      <c r="Y485" s="11"/>
      <c r="Z485" s="14">
        <f t="shared" si="3"/>
        <v>1</v>
      </c>
      <c r="AA485" s="15" t="s">
        <v>33</v>
      </c>
    </row>
    <row r="486" ht="14.25" customHeight="1">
      <c r="A486" s="11" t="s">
        <v>1652</v>
      </c>
      <c r="B486" s="11" t="s">
        <v>1653</v>
      </c>
      <c r="C486" s="38" t="s">
        <v>1654</v>
      </c>
      <c r="D486" s="11"/>
      <c r="E486" s="11"/>
      <c r="F486" s="27" t="s">
        <v>140</v>
      </c>
      <c r="G486" s="11" t="s">
        <v>48</v>
      </c>
      <c r="H486" s="28" t="s">
        <v>1655</v>
      </c>
      <c r="I486" s="11"/>
      <c r="J486" s="11"/>
      <c r="K486" s="29" t="s">
        <v>50</v>
      </c>
      <c r="L486" s="12" t="s">
        <v>111</v>
      </c>
      <c r="M486" s="11">
        <f t="shared" si="1"/>
        <v>1</v>
      </c>
      <c r="N486" s="11"/>
      <c r="O486" s="11"/>
      <c r="P486" s="11"/>
      <c r="Q486" s="11"/>
      <c r="R486" s="11"/>
      <c r="S486" s="11"/>
      <c r="T486" s="11"/>
      <c r="U486" s="11"/>
      <c r="V486" s="18"/>
      <c r="W486" s="18">
        <v>1.0</v>
      </c>
      <c r="X486" s="11"/>
      <c r="Y486" s="11"/>
      <c r="Z486" s="14">
        <f t="shared" si="3"/>
        <v>1</v>
      </c>
      <c r="AA486" s="15" t="s">
        <v>52</v>
      </c>
      <c r="AB486" s="14">
        <v>0.6710242342439466</v>
      </c>
    </row>
    <row r="487" ht="14.25" customHeight="1">
      <c r="A487" s="19" t="s">
        <v>1656</v>
      </c>
      <c r="B487" s="19" t="s">
        <v>1657</v>
      </c>
      <c r="C487" s="55" t="s">
        <v>1658</v>
      </c>
      <c r="D487" s="21"/>
      <c r="E487" s="21"/>
      <c r="F487" s="27" t="s">
        <v>351</v>
      </c>
      <c r="G487" s="19" t="s">
        <v>132</v>
      </c>
      <c r="H487" s="23" t="s">
        <v>1659</v>
      </c>
      <c r="I487" s="21"/>
      <c r="J487" s="21"/>
      <c r="K487" s="25" t="s">
        <v>50</v>
      </c>
      <c r="L487" s="24" t="s">
        <v>235</v>
      </c>
      <c r="M487" s="11">
        <f t="shared" si="1"/>
        <v>1</v>
      </c>
      <c r="N487" s="21"/>
      <c r="O487" s="21"/>
      <c r="P487" s="21"/>
      <c r="Q487" s="21"/>
      <c r="R487" s="21"/>
      <c r="S487" s="21"/>
      <c r="T487" s="21"/>
      <c r="U487" s="21"/>
      <c r="V487" s="21"/>
      <c r="W487" s="24">
        <v>1.0</v>
      </c>
      <c r="X487" s="21"/>
      <c r="Y487" s="21"/>
      <c r="Z487" s="14">
        <f t="shared" si="3"/>
        <v>1</v>
      </c>
      <c r="AA487" s="15" t="s">
        <v>106</v>
      </c>
      <c r="AB487" s="14">
        <v>0.6727032356101315</v>
      </c>
    </row>
    <row r="488" ht="14.25" hidden="1" customHeight="1">
      <c r="A488" s="19" t="s">
        <v>1660</v>
      </c>
      <c r="B488" s="19" t="s">
        <v>1661</v>
      </c>
      <c r="C488" s="44" t="s">
        <v>1662</v>
      </c>
      <c r="D488" s="21"/>
      <c r="E488" s="21"/>
      <c r="F488" s="21"/>
      <c r="G488" s="19" t="s">
        <v>48</v>
      </c>
      <c r="H488" s="21"/>
      <c r="I488" s="21"/>
      <c r="J488" s="24"/>
      <c r="K488" s="24" t="s">
        <v>89</v>
      </c>
      <c r="L488" s="24" t="s">
        <v>252</v>
      </c>
      <c r="M488" s="11">
        <f t="shared" si="1"/>
        <v>0</v>
      </c>
      <c r="N488" s="21"/>
      <c r="O488" s="21"/>
      <c r="P488" s="21"/>
      <c r="Q488" s="21"/>
      <c r="R488" s="21"/>
      <c r="S488" s="21"/>
      <c r="T488" s="21"/>
      <c r="U488" s="21"/>
      <c r="V488" s="21"/>
      <c r="W488" s="24">
        <v>1.0</v>
      </c>
      <c r="X488" s="21"/>
      <c r="Y488" s="21"/>
      <c r="Z488" s="14">
        <f t="shared" si="3"/>
        <v>1</v>
      </c>
      <c r="AA488" s="15" t="s">
        <v>91</v>
      </c>
    </row>
    <row r="489" ht="14.25" customHeight="1">
      <c r="A489" s="11" t="s">
        <v>1663</v>
      </c>
      <c r="B489" s="11" t="s">
        <v>1664</v>
      </c>
      <c r="C489" s="37" t="s">
        <v>1665</v>
      </c>
      <c r="D489" s="11" t="s">
        <v>1666</v>
      </c>
      <c r="E489" s="11"/>
      <c r="F489" s="27" t="s">
        <v>95</v>
      </c>
      <c r="G489" s="11" t="s">
        <v>1667</v>
      </c>
      <c r="H489" s="28" t="s">
        <v>1668</v>
      </c>
      <c r="I489" s="11"/>
      <c r="J489" s="12"/>
      <c r="K489" s="29" t="s">
        <v>50</v>
      </c>
      <c r="L489" s="11"/>
      <c r="M489" s="11">
        <f t="shared" si="1"/>
        <v>1</v>
      </c>
      <c r="N489" s="11"/>
      <c r="O489" s="11"/>
      <c r="P489" s="11"/>
      <c r="Q489" s="11"/>
      <c r="R489" s="11"/>
      <c r="S489" s="11"/>
      <c r="T489" s="11"/>
      <c r="U489" s="11"/>
      <c r="V489" s="31">
        <v>1.0</v>
      </c>
      <c r="W489" s="18">
        <v>1.0</v>
      </c>
      <c r="X489" s="12">
        <v>1.0</v>
      </c>
      <c r="Y489" s="11"/>
      <c r="Z489" s="14">
        <f t="shared" si="3"/>
        <v>3</v>
      </c>
      <c r="AA489" s="15" t="s">
        <v>106</v>
      </c>
      <c r="AB489" s="14">
        <v>0.6745720044161655</v>
      </c>
    </row>
    <row r="490" ht="14.25" customHeight="1">
      <c r="A490" s="19" t="s">
        <v>1669</v>
      </c>
      <c r="B490" s="19" t="s">
        <v>1670</v>
      </c>
      <c r="C490" s="33" t="s">
        <v>1671</v>
      </c>
      <c r="D490" s="21"/>
      <c r="E490" s="21"/>
      <c r="F490" s="27" t="s">
        <v>140</v>
      </c>
      <c r="G490" s="19" t="s">
        <v>284</v>
      </c>
      <c r="H490" s="23" t="s">
        <v>104</v>
      </c>
      <c r="I490" s="21"/>
      <c r="J490" s="24"/>
      <c r="K490" s="25" t="s">
        <v>50</v>
      </c>
      <c r="L490" s="24" t="s">
        <v>51</v>
      </c>
      <c r="M490" s="11">
        <f t="shared" si="1"/>
        <v>1</v>
      </c>
      <c r="N490" s="21"/>
      <c r="O490" s="21"/>
      <c r="P490" s="21"/>
      <c r="Q490" s="21"/>
      <c r="R490" s="21"/>
      <c r="S490" s="21"/>
      <c r="T490" s="21"/>
      <c r="U490" s="21"/>
      <c r="V490" s="21"/>
      <c r="W490" s="24">
        <v>1.0</v>
      </c>
      <c r="X490" s="21"/>
      <c r="Y490" s="21"/>
      <c r="Z490" s="14">
        <f t="shared" si="3"/>
        <v>1</v>
      </c>
      <c r="AA490" s="15" t="s">
        <v>52</v>
      </c>
      <c r="AB490" s="14">
        <v>0.676729987907556</v>
      </c>
    </row>
    <row r="491" ht="14.25" customHeight="1">
      <c r="A491" s="11" t="s">
        <v>1672</v>
      </c>
      <c r="B491" s="11" t="s">
        <v>551</v>
      </c>
      <c r="C491" s="37" t="s">
        <v>1673</v>
      </c>
      <c r="D491" s="11"/>
      <c r="E491" s="11"/>
      <c r="F491" s="27" t="s">
        <v>103</v>
      </c>
      <c r="G491" s="19" t="s">
        <v>83</v>
      </c>
      <c r="H491" s="28" t="s">
        <v>1674</v>
      </c>
      <c r="I491" s="11"/>
      <c r="J491" s="11"/>
      <c r="K491" s="29" t="s">
        <v>50</v>
      </c>
      <c r="L491" s="11"/>
      <c r="M491" s="11">
        <f t="shared" si="1"/>
        <v>1</v>
      </c>
      <c r="N491" s="11"/>
      <c r="O491" s="11"/>
      <c r="P491" s="11"/>
      <c r="Q491" s="11"/>
      <c r="R491" s="11"/>
      <c r="S491" s="11"/>
      <c r="T491" s="11"/>
      <c r="U491" s="11"/>
      <c r="V491" s="31">
        <v>1.0</v>
      </c>
      <c r="W491" s="18">
        <v>1.0</v>
      </c>
      <c r="X491" s="11"/>
      <c r="Y491" s="11"/>
      <c r="Z491" s="14">
        <f t="shared" si="3"/>
        <v>2</v>
      </c>
      <c r="AA491" s="15" t="s">
        <v>106</v>
      </c>
      <c r="AB491" s="14">
        <v>0.6803940561392277</v>
      </c>
    </row>
    <row r="492" ht="14.25" customHeight="1">
      <c r="A492" s="19" t="s">
        <v>1675</v>
      </c>
      <c r="B492" s="19" t="s">
        <v>1676</v>
      </c>
      <c r="C492" s="35" t="s">
        <v>1677</v>
      </c>
      <c r="D492" s="21"/>
      <c r="E492" s="21"/>
      <c r="F492" s="27" t="s">
        <v>171</v>
      </c>
      <c r="G492" s="19" t="s">
        <v>196</v>
      </c>
      <c r="H492" s="23" t="s">
        <v>1678</v>
      </c>
      <c r="I492" s="21"/>
      <c r="J492" s="24"/>
      <c r="K492" s="25" t="s">
        <v>50</v>
      </c>
      <c r="L492" s="24" t="s">
        <v>51</v>
      </c>
      <c r="M492" s="11">
        <f t="shared" si="1"/>
        <v>1</v>
      </c>
      <c r="N492" s="21"/>
      <c r="O492" s="21"/>
      <c r="P492" s="21"/>
      <c r="Q492" s="21"/>
      <c r="R492" s="21"/>
      <c r="S492" s="21"/>
      <c r="T492" s="21"/>
      <c r="U492" s="21"/>
      <c r="V492" s="21"/>
      <c r="W492" s="24">
        <v>1.0</v>
      </c>
      <c r="X492" s="21"/>
      <c r="Y492" s="21"/>
      <c r="Z492" s="14">
        <f t="shared" si="3"/>
        <v>1</v>
      </c>
      <c r="AA492" s="15" t="s">
        <v>91</v>
      </c>
      <c r="AB492" s="14">
        <v>0.6814602259432583</v>
      </c>
    </row>
    <row r="493" ht="14.25" hidden="1" customHeight="1">
      <c r="A493" s="11" t="s">
        <v>1679</v>
      </c>
      <c r="B493" s="11" t="s">
        <v>1680</v>
      </c>
      <c r="C493" s="16" t="s">
        <v>1681</v>
      </c>
      <c r="D493" s="12" t="s">
        <v>1682</v>
      </c>
      <c r="E493" s="12" t="s">
        <v>1683</v>
      </c>
      <c r="F493" s="12" t="s">
        <v>77</v>
      </c>
      <c r="G493" s="11" t="s">
        <v>132</v>
      </c>
      <c r="H493" s="12">
        <v>2021.0</v>
      </c>
      <c r="I493" s="11"/>
      <c r="J493" s="11"/>
      <c r="K493" s="12" t="s">
        <v>31</v>
      </c>
      <c r="L493" s="12" t="s">
        <v>1305</v>
      </c>
      <c r="M493" s="11">
        <f t="shared" si="1"/>
        <v>0</v>
      </c>
      <c r="N493" s="11"/>
      <c r="O493" s="11"/>
      <c r="P493" s="11"/>
      <c r="Q493" s="11"/>
      <c r="R493" s="11"/>
      <c r="S493" s="11"/>
      <c r="T493" s="11"/>
      <c r="U493" s="11"/>
      <c r="V493" s="11"/>
      <c r="W493" s="11"/>
      <c r="X493" s="11"/>
      <c r="Y493" s="11"/>
      <c r="Z493" s="14">
        <f t="shared" si="3"/>
        <v>0</v>
      </c>
      <c r="AA493" s="15" t="s">
        <v>33</v>
      </c>
    </row>
    <row r="494" ht="14.25" hidden="1" customHeight="1">
      <c r="A494" s="70" t="s">
        <v>1684</v>
      </c>
      <c r="B494" s="24" t="s">
        <v>1680</v>
      </c>
      <c r="C494" s="46" t="s">
        <v>1685</v>
      </c>
      <c r="D494" s="21"/>
      <c r="E494" s="21"/>
      <c r="F494" s="21"/>
      <c r="G494" s="21"/>
      <c r="H494" s="21"/>
      <c r="I494" s="21"/>
      <c r="J494" s="24"/>
      <c r="K494" s="24" t="s">
        <v>31</v>
      </c>
      <c r="L494" s="24" t="s">
        <v>1305</v>
      </c>
      <c r="M494" s="11">
        <f t="shared" si="1"/>
        <v>0</v>
      </c>
      <c r="N494" s="21"/>
      <c r="O494" s="21"/>
      <c r="P494" s="21"/>
      <c r="Q494" s="21"/>
      <c r="R494" s="21"/>
      <c r="S494" s="21"/>
      <c r="T494" s="21"/>
      <c r="U494" s="21"/>
      <c r="V494" s="21"/>
      <c r="W494" s="21"/>
      <c r="X494" s="21"/>
      <c r="Y494" s="21"/>
      <c r="Z494" s="14">
        <f t="shared" si="3"/>
        <v>0</v>
      </c>
      <c r="AA494" s="15" t="s">
        <v>33</v>
      </c>
    </row>
    <row r="495" ht="14.25" hidden="1" customHeight="1">
      <c r="A495" s="11" t="s">
        <v>1686</v>
      </c>
      <c r="B495" s="11" t="s">
        <v>1687</v>
      </c>
      <c r="C495" s="42" t="s">
        <v>1688</v>
      </c>
      <c r="D495" s="11"/>
      <c r="E495" s="11"/>
      <c r="F495" s="11"/>
      <c r="G495" s="11" t="s">
        <v>48</v>
      </c>
      <c r="H495" s="11"/>
      <c r="I495" s="11"/>
      <c r="J495" s="11"/>
      <c r="K495" s="12" t="s">
        <v>89</v>
      </c>
      <c r="L495" s="12" t="s">
        <v>90</v>
      </c>
      <c r="M495" s="11">
        <f t="shared" si="1"/>
        <v>0</v>
      </c>
      <c r="N495" s="11"/>
      <c r="O495" s="11"/>
      <c r="P495" s="11"/>
      <c r="Q495" s="11"/>
      <c r="R495" s="11"/>
      <c r="S495" s="11"/>
      <c r="T495" s="11"/>
      <c r="U495" s="11"/>
      <c r="V495" s="18"/>
      <c r="W495" s="18">
        <v>1.0</v>
      </c>
      <c r="X495" s="11"/>
      <c r="Y495" s="11"/>
      <c r="Z495" s="14">
        <f t="shared" si="3"/>
        <v>1</v>
      </c>
      <c r="AA495" s="15" t="s">
        <v>91</v>
      </c>
    </row>
    <row r="496" ht="14.25" hidden="1" customHeight="1">
      <c r="A496" s="19" t="s">
        <v>1689</v>
      </c>
      <c r="B496" s="19" t="s">
        <v>1690</v>
      </c>
      <c r="C496" s="52" t="s">
        <v>1691</v>
      </c>
      <c r="D496" s="21"/>
      <c r="E496" s="21"/>
      <c r="F496" s="21"/>
      <c r="G496" s="19" t="s">
        <v>264</v>
      </c>
      <c r="H496" s="21"/>
      <c r="I496" s="21"/>
      <c r="J496" s="21"/>
      <c r="K496" s="24" t="s">
        <v>31</v>
      </c>
      <c r="L496" s="24" t="s">
        <v>1692</v>
      </c>
      <c r="M496" s="11">
        <f t="shared" si="1"/>
        <v>0</v>
      </c>
      <c r="N496" s="21"/>
      <c r="O496" s="21"/>
      <c r="P496" s="21"/>
      <c r="Q496" s="21"/>
      <c r="R496" s="21"/>
      <c r="S496" s="21"/>
      <c r="T496" s="21"/>
      <c r="U496" s="21"/>
      <c r="V496" s="21"/>
      <c r="W496" s="24">
        <v>1.0</v>
      </c>
      <c r="X496" s="21"/>
      <c r="Y496" s="21"/>
      <c r="Z496" s="14">
        <f t="shared" si="3"/>
        <v>1</v>
      </c>
      <c r="AA496" s="15" t="s">
        <v>33</v>
      </c>
    </row>
    <row r="497" ht="14.25" customHeight="1">
      <c r="A497" s="11" t="s">
        <v>1693</v>
      </c>
      <c r="B497" s="11" t="s">
        <v>1618</v>
      </c>
      <c r="C497" s="84" t="s">
        <v>1694</v>
      </c>
      <c r="D497" s="11"/>
      <c r="E497" s="11"/>
      <c r="F497" s="27" t="s">
        <v>95</v>
      </c>
      <c r="G497" s="11" t="s">
        <v>132</v>
      </c>
      <c r="H497" s="28" t="s">
        <v>1163</v>
      </c>
      <c r="I497" s="11"/>
      <c r="J497" s="11"/>
      <c r="K497" s="29" t="s">
        <v>50</v>
      </c>
      <c r="L497" s="12" t="s">
        <v>288</v>
      </c>
      <c r="M497" s="11">
        <f t="shared" si="1"/>
        <v>1</v>
      </c>
      <c r="N497" s="11"/>
      <c r="O497" s="11"/>
      <c r="P497" s="11"/>
      <c r="Q497" s="11"/>
      <c r="R497" s="11"/>
      <c r="S497" s="11"/>
      <c r="T497" s="11"/>
      <c r="U497" s="11"/>
      <c r="V497" s="18"/>
      <c r="W497" s="18">
        <v>1.0</v>
      </c>
      <c r="X497" s="11"/>
      <c r="Y497" s="11"/>
      <c r="Z497" s="14">
        <f t="shared" si="3"/>
        <v>1</v>
      </c>
      <c r="AA497" s="15" t="s">
        <v>52</v>
      </c>
      <c r="AB497" s="14">
        <v>0.6815541809620893</v>
      </c>
    </row>
    <row r="498" ht="14.25" hidden="1" customHeight="1">
      <c r="A498" s="11" t="s">
        <v>1695</v>
      </c>
      <c r="B498" s="11" t="s">
        <v>1696</v>
      </c>
      <c r="C498" s="42" t="s">
        <v>1697</v>
      </c>
      <c r="D498" s="11"/>
      <c r="E498" s="11"/>
      <c r="F498" s="11"/>
      <c r="G498" s="11" t="s">
        <v>748</v>
      </c>
      <c r="H498" s="11"/>
      <c r="I498" s="11"/>
      <c r="J498" s="11"/>
      <c r="K498" s="12" t="s">
        <v>89</v>
      </c>
      <c r="L498" s="12" t="s">
        <v>43</v>
      </c>
      <c r="M498" s="11">
        <f t="shared" si="1"/>
        <v>0</v>
      </c>
      <c r="N498" s="11"/>
      <c r="O498" s="11"/>
      <c r="P498" s="11"/>
      <c r="Q498" s="11"/>
      <c r="R498" s="11"/>
      <c r="S498" s="11"/>
      <c r="T498" s="11"/>
      <c r="U498" s="11"/>
      <c r="V498" s="18"/>
      <c r="W498" s="18">
        <v>1.0</v>
      </c>
      <c r="X498" s="11"/>
      <c r="Y498" s="11"/>
      <c r="Z498" s="14">
        <f t="shared" si="3"/>
        <v>1</v>
      </c>
      <c r="AA498" s="15" t="s">
        <v>91</v>
      </c>
    </row>
    <row r="499" ht="14.25" hidden="1" customHeight="1">
      <c r="A499" s="19" t="s">
        <v>1698</v>
      </c>
      <c r="B499" s="19" t="s">
        <v>1699</v>
      </c>
      <c r="C499" s="40" t="s">
        <v>1700</v>
      </c>
      <c r="D499" s="21"/>
      <c r="E499" s="21"/>
      <c r="F499" s="21"/>
      <c r="G499" s="19" t="s">
        <v>132</v>
      </c>
      <c r="H499" s="21"/>
      <c r="I499" s="21"/>
      <c r="J499" s="24"/>
      <c r="K499" s="24" t="s">
        <v>89</v>
      </c>
      <c r="L499" s="24" t="s">
        <v>69</v>
      </c>
      <c r="M499" s="11">
        <f t="shared" si="1"/>
        <v>0</v>
      </c>
      <c r="N499" s="21"/>
      <c r="O499" s="21"/>
      <c r="P499" s="21"/>
      <c r="Q499" s="21"/>
      <c r="R499" s="21"/>
      <c r="S499" s="21"/>
      <c r="T499" s="21"/>
      <c r="U499" s="21"/>
      <c r="V499" s="21"/>
      <c r="W499" s="24">
        <v>1.0</v>
      </c>
      <c r="X499" s="21"/>
      <c r="Y499" s="21"/>
      <c r="Z499" s="14">
        <f t="shared" si="3"/>
        <v>1</v>
      </c>
      <c r="AA499" s="15" t="s">
        <v>106</v>
      </c>
    </row>
    <row r="500" ht="14.25" customHeight="1">
      <c r="A500" s="19" t="s">
        <v>1701</v>
      </c>
      <c r="B500" s="19" t="s">
        <v>1702</v>
      </c>
      <c r="C500" s="35" t="s">
        <v>1703</v>
      </c>
      <c r="D500" s="21"/>
      <c r="E500" s="21"/>
      <c r="F500" s="27" t="s">
        <v>103</v>
      </c>
      <c r="G500" s="19" t="s">
        <v>83</v>
      </c>
      <c r="H500" s="23" t="s">
        <v>239</v>
      </c>
      <c r="I500" s="21"/>
      <c r="J500" s="21"/>
      <c r="K500" s="25" t="s">
        <v>50</v>
      </c>
      <c r="L500" s="24" t="s">
        <v>105</v>
      </c>
      <c r="M500" s="11">
        <f t="shared" si="1"/>
        <v>1</v>
      </c>
      <c r="N500" s="21"/>
      <c r="O500" s="21"/>
      <c r="P500" s="21"/>
      <c r="Q500" s="21"/>
      <c r="R500" s="21"/>
      <c r="S500" s="21"/>
      <c r="T500" s="21"/>
      <c r="U500" s="21"/>
      <c r="V500" s="21"/>
      <c r="W500" s="24">
        <v>1.0</v>
      </c>
      <c r="X500" s="21"/>
      <c r="Y500" s="21"/>
      <c r="Z500" s="14">
        <f t="shared" si="3"/>
        <v>1</v>
      </c>
      <c r="AA500" s="15" t="s">
        <v>106</v>
      </c>
      <c r="AB500" s="14">
        <v>0.6822157506104911</v>
      </c>
    </row>
    <row r="501" ht="14.25" hidden="1" customHeight="1">
      <c r="A501" s="11" t="s">
        <v>1704</v>
      </c>
      <c r="B501" s="11" t="s">
        <v>1705</v>
      </c>
      <c r="C501" s="16" t="s">
        <v>1706</v>
      </c>
      <c r="D501" s="12" t="s">
        <v>29</v>
      </c>
      <c r="E501" s="12" t="s">
        <v>29</v>
      </c>
      <c r="F501" s="12" t="s">
        <v>37</v>
      </c>
      <c r="G501" s="12" t="s">
        <v>83</v>
      </c>
      <c r="H501" s="12">
        <v>2018.0</v>
      </c>
      <c r="I501" s="12" t="s">
        <v>1707</v>
      </c>
      <c r="J501" s="11"/>
      <c r="K501" s="12" t="s">
        <v>89</v>
      </c>
      <c r="L501" s="12" t="s">
        <v>252</v>
      </c>
      <c r="M501" s="11">
        <f t="shared" si="1"/>
        <v>0</v>
      </c>
      <c r="N501" s="11"/>
      <c r="O501" s="11"/>
      <c r="P501" s="11"/>
      <c r="Q501" s="11"/>
      <c r="R501" s="11"/>
      <c r="S501" s="11"/>
      <c r="T501" s="11"/>
      <c r="U501" s="11"/>
      <c r="V501" s="11"/>
      <c r="W501" s="11"/>
      <c r="X501" s="11"/>
      <c r="Y501" s="11"/>
      <c r="Z501" s="14">
        <f t="shared" si="3"/>
        <v>0</v>
      </c>
      <c r="AA501" s="15" t="s">
        <v>106</v>
      </c>
    </row>
    <row r="502" ht="14.25" hidden="1" customHeight="1">
      <c r="A502" s="11" t="s">
        <v>1708</v>
      </c>
      <c r="B502" s="11" t="s">
        <v>1709</v>
      </c>
      <c r="C502" s="85" t="s">
        <v>1710</v>
      </c>
      <c r="D502" s="11"/>
      <c r="E502" s="11"/>
      <c r="F502" s="11"/>
      <c r="G502" s="11" t="s">
        <v>38</v>
      </c>
      <c r="H502" s="11"/>
      <c r="I502" s="11"/>
      <c r="J502" s="11"/>
      <c r="K502" s="12" t="s">
        <v>89</v>
      </c>
      <c r="L502" s="12" t="s">
        <v>200</v>
      </c>
      <c r="M502" s="11">
        <f t="shared" si="1"/>
        <v>0</v>
      </c>
      <c r="N502" s="11"/>
      <c r="O502" s="11"/>
      <c r="P502" s="11"/>
      <c r="Q502" s="11"/>
      <c r="R502" s="11"/>
      <c r="S502" s="11"/>
      <c r="T502" s="11"/>
      <c r="U502" s="11"/>
      <c r="V502" s="18"/>
      <c r="W502" s="18">
        <v>1.0</v>
      </c>
      <c r="X502" s="11"/>
      <c r="Y502" s="11"/>
      <c r="Z502" s="14">
        <f t="shared" si="3"/>
        <v>1</v>
      </c>
      <c r="AA502" s="15" t="s">
        <v>91</v>
      </c>
    </row>
    <row r="503" ht="14.25" customHeight="1">
      <c r="A503" s="12" t="s">
        <v>1711</v>
      </c>
      <c r="B503" s="11" t="s">
        <v>374</v>
      </c>
      <c r="C503" s="38" t="s">
        <v>1712</v>
      </c>
      <c r="D503" s="11"/>
      <c r="E503" s="11"/>
      <c r="F503" s="27" t="s">
        <v>95</v>
      </c>
      <c r="G503" s="11" t="s">
        <v>48</v>
      </c>
      <c r="H503" s="28" t="s">
        <v>239</v>
      </c>
      <c r="I503" s="11"/>
      <c r="J503" s="12"/>
      <c r="K503" s="29" t="s">
        <v>50</v>
      </c>
      <c r="L503" s="11"/>
      <c r="M503" s="11">
        <f t="shared" si="1"/>
        <v>1</v>
      </c>
      <c r="N503" s="18">
        <v>1.0</v>
      </c>
      <c r="O503" s="18">
        <v>1.0</v>
      </c>
      <c r="P503" s="11"/>
      <c r="Q503" s="12">
        <v>1.0</v>
      </c>
      <c r="R503" s="11"/>
      <c r="S503" s="12">
        <v>1.0</v>
      </c>
      <c r="T503" s="12"/>
      <c r="U503" s="12"/>
      <c r="V503" s="31">
        <v>1.0</v>
      </c>
      <c r="W503" s="18">
        <v>1.0</v>
      </c>
      <c r="X503" s="11"/>
      <c r="Y503" s="11"/>
      <c r="Z503" s="14">
        <f t="shared" si="3"/>
        <v>6</v>
      </c>
      <c r="AA503" s="15" t="s">
        <v>106</v>
      </c>
      <c r="AB503" s="14">
        <v>0.6823522231396335</v>
      </c>
    </row>
    <row r="504" ht="14.25" customHeight="1">
      <c r="A504" s="11" t="s">
        <v>1713</v>
      </c>
      <c r="B504" s="11" t="s">
        <v>227</v>
      </c>
      <c r="C504" s="26" t="s">
        <v>1714</v>
      </c>
      <c r="D504" s="11"/>
      <c r="E504" s="11"/>
      <c r="F504" s="27" t="s">
        <v>103</v>
      </c>
      <c r="G504" s="19" t="s">
        <v>83</v>
      </c>
      <c r="H504" s="28" t="s">
        <v>1715</v>
      </c>
      <c r="I504" s="11"/>
      <c r="J504" s="11"/>
      <c r="K504" s="29" t="s">
        <v>50</v>
      </c>
      <c r="L504" s="12" t="s">
        <v>51</v>
      </c>
      <c r="M504" s="11">
        <f t="shared" si="1"/>
        <v>1</v>
      </c>
      <c r="N504" s="11"/>
      <c r="O504" s="11"/>
      <c r="P504" s="11"/>
      <c r="Q504" s="11"/>
      <c r="R504" s="11"/>
      <c r="S504" s="11"/>
      <c r="T504" s="11"/>
      <c r="U504" s="11"/>
      <c r="V504" s="18"/>
      <c r="W504" s="18">
        <v>1.0</v>
      </c>
      <c r="X504" s="11"/>
      <c r="Y504" s="11"/>
      <c r="Z504" s="14">
        <f t="shared" si="3"/>
        <v>1</v>
      </c>
      <c r="AA504" s="15" t="s">
        <v>106</v>
      </c>
      <c r="AB504" s="14">
        <v>0.6826355301022251</v>
      </c>
    </row>
    <row r="505" ht="14.25" hidden="1" customHeight="1">
      <c r="A505" s="11" t="s">
        <v>1716</v>
      </c>
      <c r="B505" s="11" t="s">
        <v>567</v>
      </c>
      <c r="C505" s="57" t="s">
        <v>1717</v>
      </c>
      <c r="D505" s="11"/>
      <c r="E505" s="11"/>
      <c r="F505" s="11"/>
      <c r="G505" s="11" t="s">
        <v>132</v>
      </c>
      <c r="H505" s="11"/>
      <c r="I505" s="11"/>
      <c r="J505" s="11"/>
      <c r="K505" s="12" t="s">
        <v>89</v>
      </c>
      <c r="L505" s="12" t="s">
        <v>638</v>
      </c>
      <c r="M505" s="11">
        <f t="shared" si="1"/>
        <v>0</v>
      </c>
      <c r="N505" s="11"/>
      <c r="O505" s="11"/>
      <c r="P505" s="11"/>
      <c r="Q505" s="11"/>
      <c r="R505" s="11"/>
      <c r="S505" s="11"/>
      <c r="T505" s="11"/>
      <c r="U505" s="11"/>
      <c r="V505" s="18"/>
      <c r="W505" s="18">
        <v>1.0</v>
      </c>
      <c r="X505" s="11"/>
      <c r="Y505" s="11"/>
      <c r="Z505" s="14">
        <f t="shared" si="3"/>
        <v>1</v>
      </c>
      <c r="AA505" s="15" t="s">
        <v>91</v>
      </c>
    </row>
    <row r="506" ht="14.25" customHeight="1">
      <c r="A506" s="19" t="s">
        <v>1718</v>
      </c>
      <c r="B506" s="19" t="s">
        <v>54</v>
      </c>
      <c r="C506" s="20" t="s">
        <v>1719</v>
      </c>
      <c r="D506" s="21"/>
      <c r="E506" s="21"/>
      <c r="F506" s="27" t="s">
        <v>56</v>
      </c>
      <c r="G506" s="19" t="s">
        <v>83</v>
      </c>
      <c r="H506" s="23" t="s">
        <v>1586</v>
      </c>
      <c r="I506" s="21"/>
      <c r="J506" s="21"/>
      <c r="K506" s="25" t="s">
        <v>58</v>
      </c>
      <c r="L506" s="24" t="s">
        <v>1480</v>
      </c>
      <c r="M506" s="11">
        <f t="shared" si="1"/>
        <v>1</v>
      </c>
      <c r="N506" s="21"/>
      <c r="O506" s="21"/>
      <c r="P506" s="21"/>
      <c r="Q506" s="21"/>
      <c r="R506" s="21"/>
      <c r="S506" s="21"/>
      <c r="T506" s="21"/>
      <c r="U506" s="21"/>
      <c r="V506" s="21"/>
      <c r="W506" s="24">
        <v>1.0</v>
      </c>
      <c r="X506" s="21"/>
      <c r="Y506" s="21"/>
      <c r="Z506" s="14">
        <f t="shared" si="3"/>
        <v>1</v>
      </c>
      <c r="AA506" s="15" t="s">
        <v>33</v>
      </c>
      <c r="AB506" s="14">
        <v>0.6832533026448294</v>
      </c>
    </row>
    <row r="507" ht="14.25" hidden="1" customHeight="1">
      <c r="A507" s="19" t="s">
        <v>1720</v>
      </c>
      <c r="B507" s="19" t="s">
        <v>602</v>
      </c>
      <c r="C507" s="52" t="s">
        <v>1721</v>
      </c>
      <c r="D507" s="21"/>
      <c r="E507" s="21"/>
      <c r="F507" s="21"/>
      <c r="G507" s="19" t="s">
        <v>1722</v>
      </c>
      <c r="H507" s="21"/>
      <c r="I507" s="21"/>
      <c r="J507" s="24"/>
      <c r="K507" s="24" t="s">
        <v>89</v>
      </c>
      <c r="L507" s="24" t="s">
        <v>252</v>
      </c>
      <c r="M507" s="11">
        <f t="shared" si="1"/>
        <v>0</v>
      </c>
      <c r="N507" s="21"/>
      <c r="O507" s="21"/>
      <c r="P507" s="21"/>
      <c r="Q507" s="21"/>
      <c r="R507" s="21"/>
      <c r="S507" s="21"/>
      <c r="T507" s="21"/>
      <c r="U507" s="21"/>
      <c r="V507" s="21"/>
      <c r="W507" s="24">
        <v>1.0</v>
      </c>
      <c r="X507" s="21"/>
      <c r="Y507" s="21"/>
      <c r="Z507" s="14">
        <f t="shared" si="3"/>
        <v>1</v>
      </c>
      <c r="AA507" s="15" t="s">
        <v>52</v>
      </c>
    </row>
    <row r="508" ht="14.25" customHeight="1">
      <c r="A508" s="11" t="s">
        <v>1723</v>
      </c>
      <c r="B508" s="11" t="s">
        <v>1724</v>
      </c>
      <c r="C508" s="26" t="s">
        <v>1725</v>
      </c>
      <c r="D508" s="11"/>
      <c r="E508" s="11"/>
      <c r="F508" s="27" t="s">
        <v>77</v>
      </c>
      <c r="G508" s="11" t="s">
        <v>822</v>
      </c>
      <c r="H508" s="28" t="s">
        <v>960</v>
      </c>
      <c r="I508" s="11"/>
      <c r="J508" s="11"/>
      <c r="K508" s="29" t="s">
        <v>58</v>
      </c>
      <c r="L508" s="12" t="s">
        <v>51</v>
      </c>
      <c r="M508" s="11">
        <f t="shared" si="1"/>
        <v>1</v>
      </c>
      <c r="N508" s="11"/>
      <c r="O508" s="11"/>
      <c r="P508" s="11"/>
      <c r="Q508" s="11"/>
      <c r="R508" s="11"/>
      <c r="S508" s="11"/>
      <c r="T508" s="11"/>
      <c r="U508" s="11"/>
      <c r="V508" s="18"/>
      <c r="W508" s="18">
        <v>1.0</v>
      </c>
      <c r="X508" s="11"/>
      <c r="Y508" s="11"/>
      <c r="Z508" s="14">
        <f t="shared" si="3"/>
        <v>1</v>
      </c>
      <c r="AA508" s="15" t="s">
        <v>33</v>
      </c>
      <c r="AB508" s="14">
        <v>0.6871401191710557</v>
      </c>
    </row>
    <row r="509" ht="14.25" customHeight="1">
      <c r="A509" s="11" t="s">
        <v>1726</v>
      </c>
      <c r="B509" s="11" t="s">
        <v>1727</v>
      </c>
      <c r="C509" s="38" t="s">
        <v>1728</v>
      </c>
      <c r="D509" s="11"/>
      <c r="E509" s="11"/>
      <c r="F509" s="27" t="s">
        <v>56</v>
      </c>
      <c r="G509" s="11" t="s">
        <v>83</v>
      </c>
      <c r="H509" s="28" t="s">
        <v>1729</v>
      </c>
      <c r="I509" s="11"/>
      <c r="J509" s="12"/>
      <c r="K509" s="29" t="s">
        <v>50</v>
      </c>
      <c r="L509" s="12" t="s">
        <v>111</v>
      </c>
      <c r="M509" s="11">
        <f t="shared" si="1"/>
        <v>1</v>
      </c>
      <c r="N509" s="18">
        <v>1.0</v>
      </c>
      <c r="O509" s="11"/>
      <c r="P509" s="11"/>
      <c r="Q509" s="11"/>
      <c r="R509" s="12">
        <v>1.0</v>
      </c>
      <c r="S509" s="12">
        <v>1.0</v>
      </c>
      <c r="T509" s="12"/>
      <c r="U509" s="12"/>
      <c r="V509" s="12">
        <v>1.0</v>
      </c>
      <c r="W509" s="11">
        <v>1.0</v>
      </c>
      <c r="X509" s="11"/>
      <c r="Y509" s="11"/>
      <c r="Z509" s="14">
        <f t="shared" si="3"/>
        <v>5</v>
      </c>
      <c r="AA509" s="15" t="s">
        <v>106</v>
      </c>
      <c r="AB509" s="14">
        <v>0.6932938211744633</v>
      </c>
    </row>
    <row r="510" ht="14.25" customHeight="1">
      <c r="A510" s="11" t="s">
        <v>1730</v>
      </c>
      <c r="B510" s="12" t="s">
        <v>1549</v>
      </c>
      <c r="C510" s="26" t="s">
        <v>1731</v>
      </c>
      <c r="D510" s="11"/>
      <c r="E510" s="11"/>
      <c r="F510" s="22" t="s">
        <v>103</v>
      </c>
      <c r="G510" s="11" t="s">
        <v>38</v>
      </c>
      <c r="H510" s="28" t="s">
        <v>64</v>
      </c>
      <c r="I510" s="11"/>
      <c r="J510" s="11"/>
      <c r="K510" s="29" t="s">
        <v>50</v>
      </c>
      <c r="L510" s="12" t="s">
        <v>235</v>
      </c>
      <c r="M510" s="11">
        <f t="shared" si="1"/>
        <v>1</v>
      </c>
      <c r="N510" s="11"/>
      <c r="O510" s="11"/>
      <c r="P510" s="11"/>
      <c r="Q510" s="11"/>
      <c r="R510" s="11"/>
      <c r="S510" s="11"/>
      <c r="T510" s="11"/>
      <c r="U510" s="11"/>
      <c r="V510" s="18"/>
      <c r="W510" s="18">
        <v>1.0</v>
      </c>
      <c r="X510" s="11"/>
      <c r="Y510" s="11"/>
      <c r="Z510" s="14">
        <f t="shared" si="3"/>
        <v>1</v>
      </c>
      <c r="AA510" s="15" t="s">
        <v>52</v>
      </c>
      <c r="AB510" s="14">
        <v>0.6962373562374825</v>
      </c>
      <c r="AD510" s="71" t="s">
        <v>235</v>
      </c>
    </row>
    <row r="511" ht="14.25" customHeight="1">
      <c r="A511" s="19" t="s">
        <v>1732</v>
      </c>
      <c r="B511" s="19" t="s">
        <v>310</v>
      </c>
      <c r="C511" s="35" t="s">
        <v>1733</v>
      </c>
      <c r="D511" s="21"/>
      <c r="E511" s="21"/>
      <c r="F511" s="27" t="s">
        <v>56</v>
      </c>
      <c r="G511" s="19" t="s">
        <v>83</v>
      </c>
      <c r="H511" s="23" t="s">
        <v>1734</v>
      </c>
      <c r="I511" s="21"/>
      <c r="J511" s="24"/>
      <c r="K511" s="25" t="s">
        <v>50</v>
      </c>
      <c r="L511" s="24" t="s">
        <v>366</v>
      </c>
      <c r="M511" s="11">
        <f t="shared" si="1"/>
        <v>1</v>
      </c>
      <c r="N511" s="21"/>
      <c r="O511" s="21"/>
      <c r="P511" s="21"/>
      <c r="Q511" s="21"/>
      <c r="R511" s="21"/>
      <c r="S511" s="21"/>
      <c r="T511" s="21"/>
      <c r="U511" s="21"/>
      <c r="V511" s="21"/>
      <c r="W511" s="24">
        <v>1.0</v>
      </c>
      <c r="X511" s="21"/>
      <c r="Y511" s="21"/>
      <c r="Z511" s="14">
        <f t="shared" si="3"/>
        <v>1</v>
      </c>
      <c r="AA511" s="15" t="s">
        <v>91</v>
      </c>
      <c r="AB511" s="14">
        <v>0.6969337359961265</v>
      </c>
    </row>
    <row r="512" ht="14.25" hidden="1" customHeight="1">
      <c r="A512" s="32" t="s">
        <v>1735</v>
      </c>
      <c r="B512" s="19" t="s">
        <v>602</v>
      </c>
      <c r="C512" s="74" t="s">
        <v>1736</v>
      </c>
      <c r="D512" s="21"/>
      <c r="E512" s="21"/>
      <c r="F512" s="21"/>
      <c r="G512" s="19" t="s">
        <v>38</v>
      </c>
      <c r="H512" s="21"/>
      <c r="I512" s="21"/>
      <c r="J512" s="21"/>
      <c r="K512" s="24" t="s">
        <v>31</v>
      </c>
      <c r="L512" s="24" t="s">
        <v>252</v>
      </c>
      <c r="M512" s="11">
        <f t="shared" si="1"/>
        <v>0</v>
      </c>
      <c r="N512" s="21"/>
      <c r="O512" s="21"/>
      <c r="P512" s="21"/>
      <c r="Q512" s="21"/>
      <c r="R512" s="21"/>
      <c r="S512" s="21"/>
      <c r="T512" s="21"/>
      <c r="U512" s="21"/>
      <c r="V512" s="21"/>
      <c r="W512" s="24">
        <v>1.0</v>
      </c>
      <c r="X512" s="21"/>
      <c r="Y512" s="21"/>
      <c r="Z512" s="14">
        <f t="shared" si="3"/>
        <v>1</v>
      </c>
      <c r="AA512" s="15" t="s">
        <v>33</v>
      </c>
    </row>
    <row r="513" ht="14.25" hidden="1" customHeight="1">
      <c r="A513" s="32" t="s">
        <v>1737</v>
      </c>
      <c r="B513" s="19" t="s">
        <v>602</v>
      </c>
      <c r="C513" s="74" t="s">
        <v>1738</v>
      </c>
      <c r="D513" s="21"/>
      <c r="E513" s="21"/>
      <c r="F513" s="21"/>
      <c r="G513" s="19" t="s">
        <v>38</v>
      </c>
      <c r="H513" s="21"/>
      <c r="I513" s="21"/>
      <c r="J513" s="21"/>
      <c r="K513" s="24" t="s">
        <v>31</v>
      </c>
      <c r="L513" s="24" t="s">
        <v>252</v>
      </c>
      <c r="M513" s="11">
        <f t="shared" si="1"/>
        <v>0</v>
      </c>
      <c r="N513" s="21"/>
      <c r="O513" s="21"/>
      <c r="P513" s="21"/>
      <c r="Q513" s="21"/>
      <c r="R513" s="21"/>
      <c r="S513" s="21"/>
      <c r="T513" s="21"/>
      <c r="U513" s="21"/>
      <c r="V513" s="21"/>
      <c r="W513" s="24">
        <v>1.0</v>
      </c>
      <c r="X513" s="21"/>
      <c r="Y513" s="21"/>
      <c r="Z513" s="14">
        <f t="shared" si="3"/>
        <v>1</v>
      </c>
      <c r="AA513" s="15" t="s">
        <v>33</v>
      </c>
    </row>
    <row r="514" ht="14.25" hidden="1" customHeight="1">
      <c r="A514" s="32" t="s">
        <v>1739</v>
      </c>
      <c r="B514" s="19" t="s">
        <v>602</v>
      </c>
      <c r="C514" s="74" t="s">
        <v>1740</v>
      </c>
      <c r="D514" s="21"/>
      <c r="E514" s="21"/>
      <c r="F514" s="21"/>
      <c r="G514" s="19" t="s">
        <v>38</v>
      </c>
      <c r="H514" s="21"/>
      <c r="I514" s="21"/>
      <c r="J514" s="21"/>
      <c r="K514" s="24" t="s">
        <v>31</v>
      </c>
      <c r="L514" s="24" t="s">
        <v>252</v>
      </c>
      <c r="M514" s="11">
        <f t="shared" si="1"/>
        <v>0</v>
      </c>
      <c r="N514" s="21"/>
      <c r="O514" s="21"/>
      <c r="P514" s="21"/>
      <c r="Q514" s="21"/>
      <c r="R514" s="21"/>
      <c r="S514" s="21"/>
      <c r="T514" s="21"/>
      <c r="U514" s="21"/>
      <c r="V514" s="21"/>
      <c r="W514" s="24">
        <v>1.0</v>
      </c>
      <c r="X514" s="21"/>
      <c r="Y514" s="21"/>
      <c r="Z514" s="14">
        <f t="shared" si="3"/>
        <v>1</v>
      </c>
      <c r="AA514" s="15" t="s">
        <v>33</v>
      </c>
    </row>
    <row r="515" ht="14.25" hidden="1" customHeight="1">
      <c r="A515" s="32" t="s">
        <v>1741</v>
      </c>
      <c r="B515" s="19" t="s">
        <v>602</v>
      </c>
      <c r="C515" s="74" t="s">
        <v>1742</v>
      </c>
      <c r="D515" s="21"/>
      <c r="E515" s="21"/>
      <c r="F515" s="21"/>
      <c r="G515" s="19" t="s">
        <v>38</v>
      </c>
      <c r="H515" s="21"/>
      <c r="I515" s="21"/>
      <c r="J515" s="21"/>
      <c r="K515" s="24" t="s">
        <v>31</v>
      </c>
      <c r="L515" s="24" t="s">
        <v>252</v>
      </c>
      <c r="M515" s="11">
        <f t="shared" si="1"/>
        <v>0</v>
      </c>
      <c r="N515" s="21"/>
      <c r="O515" s="21"/>
      <c r="P515" s="21"/>
      <c r="Q515" s="21"/>
      <c r="R515" s="21"/>
      <c r="S515" s="21"/>
      <c r="T515" s="21"/>
      <c r="U515" s="21"/>
      <c r="V515" s="21"/>
      <c r="W515" s="24">
        <v>1.0</v>
      </c>
      <c r="X515" s="21"/>
      <c r="Y515" s="21"/>
      <c r="Z515" s="14">
        <f t="shared" si="3"/>
        <v>1</v>
      </c>
      <c r="AA515" s="15" t="s">
        <v>33</v>
      </c>
    </row>
    <row r="516" ht="14.25" hidden="1" customHeight="1">
      <c r="A516" s="19" t="s">
        <v>1743</v>
      </c>
      <c r="B516" s="19" t="s">
        <v>602</v>
      </c>
      <c r="C516" s="40" t="s">
        <v>1744</v>
      </c>
      <c r="D516" s="21"/>
      <c r="E516" s="21"/>
      <c r="F516" s="21"/>
      <c r="G516" s="19" t="s">
        <v>38</v>
      </c>
      <c r="H516" s="21"/>
      <c r="I516" s="21"/>
      <c r="J516" s="21"/>
      <c r="K516" s="24" t="s">
        <v>89</v>
      </c>
      <c r="L516" s="24" t="s">
        <v>1745</v>
      </c>
      <c r="M516" s="11">
        <f t="shared" si="1"/>
        <v>0</v>
      </c>
      <c r="N516" s="21"/>
      <c r="O516" s="21"/>
      <c r="P516" s="21"/>
      <c r="Q516" s="21"/>
      <c r="R516" s="21"/>
      <c r="S516" s="21"/>
      <c r="T516" s="21"/>
      <c r="U516" s="21"/>
      <c r="V516" s="21"/>
      <c r="W516" s="24">
        <v>1.0</v>
      </c>
      <c r="X516" s="21"/>
      <c r="Y516" s="21"/>
      <c r="Z516" s="14">
        <f t="shared" si="3"/>
        <v>1</v>
      </c>
      <c r="AA516" s="15" t="s">
        <v>91</v>
      </c>
    </row>
    <row r="517" ht="14.25" hidden="1" customHeight="1">
      <c r="A517" s="19" t="s">
        <v>1746</v>
      </c>
      <c r="B517" s="19" t="s">
        <v>602</v>
      </c>
      <c r="C517" s="52" t="s">
        <v>1747</v>
      </c>
      <c r="D517" s="21"/>
      <c r="E517" s="21"/>
      <c r="F517" s="21"/>
      <c r="G517" s="19" t="s">
        <v>38</v>
      </c>
      <c r="H517" s="21"/>
      <c r="I517" s="21"/>
      <c r="J517" s="21"/>
      <c r="K517" s="24" t="s">
        <v>89</v>
      </c>
      <c r="L517" s="24" t="s">
        <v>1088</v>
      </c>
      <c r="M517" s="11">
        <f t="shared" si="1"/>
        <v>0</v>
      </c>
      <c r="N517" s="21"/>
      <c r="O517" s="21"/>
      <c r="P517" s="21"/>
      <c r="Q517" s="21"/>
      <c r="R517" s="21"/>
      <c r="S517" s="21"/>
      <c r="T517" s="21"/>
      <c r="U517" s="21"/>
      <c r="V517" s="21"/>
      <c r="W517" s="24">
        <v>1.0</v>
      </c>
      <c r="X517" s="21"/>
      <c r="Y517" s="21"/>
      <c r="Z517" s="14">
        <f t="shared" si="3"/>
        <v>1</v>
      </c>
      <c r="AA517" s="15" t="s">
        <v>91</v>
      </c>
    </row>
    <row r="518" ht="14.25" hidden="1" customHeight="1">
      <c r="A518" s="19" t="s">
        <v>1748</v>
      </c>
      <c r="B518" s="19" t="s">
        <v>602</v>
      </c>
      <c r="C518" s="52" t="s">
        <v>1749</v>
      </c>
      <c r="D518" s="21"/>
      <c r="E518" s="21"/>
      <c r="F518" s="21"/>
      <c r="G518" s="19" t="s">
        <v>38</v>
      </c>
      <c r="H518" s="21"/>
      <c r="I518" s="21"/>
      <c r="J518" s="21"/>
      <c r="K518" s="24" t="s">
        <v>89</v>
      </c>
      <c r="L518" s="24" t="s">
        <v>1750</v>
      </c>
      <c r="M518" s="11">
        <f t="shared" si="1"/>
        <v>0</v>
      </c>
      <c r="N518" s="21"/>
      <c r="O518" s="21"/>
      <c r="P518" s="21"/>
      <c r="Q518" s="21"/>
      <c r="R518" s="21"/>
      <c r="S518" s="21"/>
      <c r="T518" s="21"/>
      <c r="U518" s="21"/>
      <c r="V518" s="21"/>
      <c r="W518" s="24">
        <v>1.0</v>
      </c>
      <c r="X518" s="21"/>
      <c r="Y518" s="21"/>
      <c r="Z518" s="14">
        <f t="shared" si="3"/>
        <v>1</v>
      </c>
      <c r="AA518" s="15" t="s">
        <v>91</v>
      </c>
    </row>
    <row r="519" ht="14.25" customHeight="1">
      <c r="A519" s="11" t="s">
        <v>1751</v>
      </c>
      <c r="B519" s="11" t="s">
        <v>54</v>
      </c>
      <c r="C519" s="26" t="s">
        <v>1752</v>
      </c>
      <c r="D519" s="11"/>
      <c r="E519" s="11"/>
      <c r="F519" s="27" t="s">
        <v>56</v>
      </c>
      <c r="G519" s="11" t="s">
        <v>38</v>
      </c>
      <c r="H519" s="28" t="s">
        <v>502</v>
      </c>
      <c r="I519" s="11"/>
      <c r="J519" s="11"/>
      <c r="K519" s="29" t="s">
        <v>50</v>
      </c>
      <c r="L519" s="12" t="s">
        <v>357</v>
      </c>
      <c r="M519" s="11">
        <f t="shared" si="1"/>
        <v>1</v>
      </c>
      <c r="N519" s="11"/>
      <c r="O519" s="11"/>
      <c r="P519" s="11"/>
      <c r="Q519" s="11"/>
      <c r="R519" s="11"/>
      <c r="S519" s="11"/>
      <c r="T519" s="11"/>
      <c r="U519" s="11"/>
      <c r="V519" s="18"/>
      <c r="W519" s="18">
        <v>1.0</v>
      </c>
      <c r="X519" s="11"/>
      <c r="Y519" s="11"/>
      <c r="Z519" s="14">
        <f t="shared" si="3"/>
        <v>1</v>
      </c>
      <c r="AA519" s="15" t="s">
        <v>91</v>
      </c>
      <c r="AB519" s="14">
        <v>0.6983833743458857</v>
      </c>
    </row>
    <row r="520" ht="14.25" customHeight="1">
      <c r="A520" s="47" t="s">
        <v>1753</v>
      </c>
      <c r="B520" s="19" t="s">
        <v>45</v>
      </c>
      <c r="C520" s="86" t="s">
        <v>1754</v>
      </c>
      <c r="D520" s="21"/>
      <c r="E520" s="21"/>
      <c r="F520" s="22" t="s">
        <v>47</v>
      </c>
      <c r="G520" s="19" t="s">
        <v>48</v>
      </c>
      <c r="H520" s="23" t="s">
        <v>64</v>
      </c>
      <c r="I520" s="21"/>
      <c r="J520" s="24"/>
      <c r="K520" s="25" t="s">
        <v>50</v>
      </c>
      <c r="L520" s="24" t="s">
        <v>51</v>
      </c>
      <c r="M520" s="11">
        <f t="shared" si="1"/>
        <v>1</v>
      </c>
      <c r="N520" s="21"/>
      <c r="O520" s="21"/>
      <c r="P520" s="21"/>
      <c r="Q520" s="21"/>
      <c r="R520" s="21"/>
      <c r="S520" s="21"/>
      <c r="T520" s="21"/>
      <c r="U520" s="21"/>
      <c r="V520" s="21"/>
      <c r="W520" s="24">
        <v>1.0</v>
      </c>
      <c r="X520" s="21"/>
      <c r="Y520" s="21"/>
      <c r="Z520" s="14">
        <f t="shared" si="3"/>
        <v>1</v>
      </c>
      <c r="AA520" s="15" t="s">
        <v>52</v>
      </c>
      <c r="AB520" s="14">
        <v>0.7044910561037635</v>
      </c>
    </row>
    <row r="521" ht="14.25" customHeight="1">
      <c r="A521" s="19" t="s">
        <v>1755</v>
      </c>
      <c r="B521" s="19" t="s">
        <v>310</v>
      </c>
      <c r="C521" s="33" t="s">
        <v>1756</v>
      </c>
      <c r="D521" s="21"/>
      <c r="E521" s="21"/>
      <c r="F521" s="27" t="s">
        <v>56</v>
      </c>
      <c r="G521" s="19" t="s">
        <v>83</v>
      </c>
      <c r="H521" s="23" t="s">
        <v>629</v>
      </c>
      <c r="I521" s="21"/>
      <c r="J521" s="21"/>
      <c r="K521" s="25" t="s">
        <v>58</v>
      </c>
      <c r="L521" s="24" t="s">
        <v>85</v>
      </c>
      <c r="M521" s="11">
        <f t="shared" si="1"/>
        <v>1</v>
      </c>
      <c r="N521" s="21"/>
      <c r="O521" s="21"/>
      <c r="P521" s="21"/>
      <c r="Q521" s="21"/>
      <c r="R521" s="21"/>
      <c r="S521" s="21"/>
      <c r="T521" s="21"/>
      <c r="U521" s="21"/>
      <c r="V521" s="21"/>
      <c r="W521" s="24">
        <v>1.0</v>
      </c>
      <c r="X521" s="21"/>
      <c r="Y521" s="21"/>
      <c r="Z521" s="14">
        <f t="shared" si="3"/>
        <v>1</v>
      </c>
      <c r="AA521" s="15" t="s">
        <v>33</v>
      </c>
      <c r="AB521" s="14">
        <v>0.7053653984793128</v>
      </c>
    </row>
    <row r="522" ht="14.25" customHeight="1">
      <c r="A522" s="19" t="s">
        <v>1757</v>
      </c>
      <c r="B522" s="19" t="s">
        <v>310</v>
      </c>
      <c r="C522" s="20" t="s">
        <v>1758</v>
      </c>
      <c r="D522" s="21"/>
      <c r="E522" s="21"/>
      <c r="F522" s="27" t="s">
        <v>56</v>
      </c>
      <c r="G522" s="19" t="s">
        <v>83</v>
      </c>
      <c r="H522" s="23" t="s">
        <v>247</v>
      </c>
      <c r="I522" s="21"/>
      <c r="J522" s="24"/>
      <c r="K522" s="25" t="s">
        <v>50</v>
      </c>
      <c r="L522" s="24" t="s">
        <v>407</v>
      </c>
      <c r="M522" s="11">
        <f t="shared" si="1"/>
        <v>1</v>
      </c>
      <c r="N522" s="21"/>
      <c r="O522" s="21"/>
      <c r="P522" s="21"/>
      <c r="Q522" s="21"/>
      <c r="R522" s="21"/>
      <c r="S522" s="21"/>
      <c r="T522" s="21"/>
      <c r="U522" s="21"/>
      <c r="V522" s="21"/>
      <c r="W522" s="24">
        <v>1.0</v>
      </c>
      <c r="X522" s="21"/>
      <c r="Y522" s="21"/>
      <c r="Z522" s="14">
        <f t="shared" si="3"/>
        <v>1</v>
      </c>
      <c r="AA522" s="15" t="s">
        <v>91</v>
      </c>
      <c r="AB522" s="14">
        <v>0.7073050897621853</v>
      </c>
    </row>
    <row r="523" ht="14.25" hidden="1" customHeight="1">
      <c r="A523" s="32" t="s">
        <v>1759</v>
      </c>
      <c r="B523" s="19" t="s">
        <v>602</v>
      </c>
      <c r="C523" s="74" t="s">
        <v>1760</v>
      </c>
      <c r="D523" s="21"/>
      <c r="E523" s="21"/>
      <c r="F523" s="21"/>
      <c r="G523" s="19" t="s">
        <v>38</v>
      </c>
      <c r="H523" s="21"/>
      <c r="I523" s="21"/>
      <c r="J523" s="21"/>
      <c r="K523" s="24" t="s">
        <v>89</v>
      </c>
      <c r="L523" s="24" t="s">
        <v>252</v>
      </c>
      <c r="M523" s="11">
        <f t="shared" si="1"/>
        <v>0</v>
      </c>
      <c r="N523" s="21"/>
      <c r="O523" s="21"/>
      <c r="P523" s="21"/>
      <c r="Q523" s="21"/>
      <c r="R523" s="21"/>
      <c r="S523" s="21"/>
      <c r="T523" s="21"/>
      <c r="U523" s="21"/>
      <c r="V523" s="21"/>
      <c r="W523" s="24">
        <v>1.0</v>
      </c>
      <c r="X523" s="21"/>
      <c r="Y523" s="21"/>
      <c r="Z523" s="14">
        <f t="shared" si="3"/>
        <v>1</v>
      </c>
      <c r="AA523" s="15" t="s">
        <v>52</v>
      </c>
    </row>
    <row r="524" ht="14.25" hidden="1" customHeight="1">
      <c r="A524" s="45" t="s">
        <v>1761</v>
      </c>
      <c r="B524" s="24" t="s">
        <v>602</v>
      </c>
      <c r="C524" s="81" t="s">
        <v>1762</v>
      </c>
      <c r="D524" s="45"/>
      <c r="E524" s="45"/>
      <c r="F524" s="45"/>
      <c r="G524" s="45" t="s">
        <v>38</v>
      </c>
      <c r="H524" s="45"/>
      <c r="I524" s="45"/>
      <c r="J524" s="45"/>
      <c r="K524" s="12" t="s">
        <v>89</v>
      </c>
      <c r="L524" s="24" t="s">
        <v>252</v>
      </c>
      <c r="M524" s="11">
        <f t="shared" si="1"/>
        <v>0</v>
      </c>
      <c r="N524" s="45"/>
      <c r="O524" s="45"/>
      <c r="P524" s="45">
        <v>1.0</v>
      </c>
      <c r="Q524" s="45"/>
      <c r="R524" s="45"/>
      <c r="S524" s="45"/>
      <c r="T524" s="45"/>
      <c r="U524" s="45"/>
      <c r="V524" s="45"/>
      <c r="W524" s="45"/>
      <c r="X524" s="45"/>
      <c r="Y524" s="45"/>
      <c r="Z524" s="14">
        <f t="shared" si="3"/>
        <v>1</v>
      </c>
      <c r="AA524" s="15" t="s">
        <v>52</v>
      </c>
    </row>
    <row r="525" ht="14.25" customHeight="1">
      <c r="A525" s="11" t="s">
        <v>1763</v>
      </c>
      <c r="B525" s="11" t="s">
        <v>1764</v>
      </c>
      <c r="C525" s="37" t="s">
        <v>1765</v>
      </c>
      <c r="D525" s="11"/>
      <c r="E525" s="11"/>
      <c r="F525" s="27" t="s">
        <v>77</v>
      </c>
      <c r="G525" s="11" t="s">
        <v>1249</v>
      </c>
      <c r="H525" s="28" t="s">
        <v>99</v>
      </c>
      <c r="I525" s="11"/>
      <c r="J525" s="11"/>
      <c r="K525" s="29" t="s">
        <v>50</v>
      </c>
      <c r="L525" s="12" t="s">
        <v>51</v>
      </c>
      <c r="M525" s="11">
        <f t="shared" si="1"/>
        <v>1</v>
      </c>
      <c r="N525" s="11"/>
      <c r="O525" s="11"/>
      <c r="P525" s="11"/>
      <c r="Q525" s="11"/>
      <c r="R525" s="11"/>
      <c r="S525" s="11"/>
      <c r="T525" s="11"/>
      <c r="U525" s="11"/>
      <c r="V525" s="31">
        <v>1.0</v>
      </c>
      <c r="W525" s="18">
        <v>1.0</v>
      </c>
      <c r="X525" s="11"/>
      <c r="Y525" s="11"/>
      <c r="Z525" s="14">
        <f t="shared" si="3"/>
        <v>2</v>
      </c>
      <c r="AA525" s="15" t="s">
        <v>52</v>
      </c>
      <c r="AB525" s="14">
        <v>0.7079432167832741</v>
      </c>
    </row>
    <row r="526" ht="14.25" customHeight="1">
      <c r="A526" s="19" t="s">
        <v>1766</v>
      </c>
      <c r="B526" s="19" t="s">
        <v>396</v>
      </c>
      <c r="C526" s="33" t="s">
        <v>1767</v>
      </c>
      <c r="D526" s="21"/>
      <c r="E526" s="21"/>
      <c r="F526" s="22" t="s">
        <v>103</v>
      </c>
      <c r="G526" s="19" t="s">
        <v>38</v>
      </c>
      <c r="H526" s="23" t="s">
        <v>239</v>
      </c>
      <c r="I526" s="21"/>
      <c r="J526" s="24"/>
      <c r="K526" s="25" t="s">
        <v>50</v>
      </c>
      <c r="L526" s="24" t="s">
        <v>105</v>
      </c>
      <c r="M526" s="11">
        <f t="shared" si="1"/>
        <v>1</v>
      </c>
      <c r="N526" s="21"/>
      <c r="O526" s="21"/>
      <c r="P526" s="21"/>
      <c r="Q526" s="21"/>
      <c r="R526" s="21"/>
      <c r="S526" s="21"/>
      <c r="T526" s="21"/>
      <c r="U526" s="21"/>
      <c r="V526" s="21"/>
      <c r="W526" s="24">
        <v>1.0</v>
      </c>
      <c r="X526" s="21"/>
      <c r="Y526" s="21"/>
      <c r="Z526" s="14">
        <f t="shared" si="3"/>
        <v>1</v>
      </c>
      <c r="AA526" s="15" t="s">
        <v>52</v>
      </c>
      <c r="AB526" s="14">
        <v>0.7084143376554605</v>
      </c>
    </row>
    <row r="527" ht="14.25" customHeight="1">
      <c r="A527" s="11" t="s">
        <v>1768</v>
      </c>
      <c r="B527" s="11" t="s">
        <v>210</v>
      </c>
      <c r="C527" s="37" t="s">
        <v>1769</v>
      </c>
      <c r="D527" s="11"/>
      <c r="E527" s="11"/>
      <c r="F527" s="27" t="s">
        <v>171</v>
      </c>
      <c r="G527" s="11" t="s">
        <v>38</v>
      </c>
      <c r="H527" s="28" t="s">
        <v>1063</v>
      </c>
      <c r="I527" s="11"/>
      <c r="J527" s="11"/>
      <c r="K527" s="29" t="s">
        <v>50</v>
      </c>
      <c r="L527" s="12" t="s">
        <v>152</v>
      </c>
      <c r="M527" s="11">
        <f t="shared" si="1"/>
        <v>1</v>
      </c>
      <c r="N527" s="11"/>
      <c r="O527" s="11"/>
      <c r="P527" s="11"/>
      <c r="Q527" s="11"/>
      <c r="R527" s="11"/>
      <c r="S527" s="11"/>
      <c r="T527" s="11"/>
      <c r="U527" s="11"/>
      <c r="V527" s="18"/>
      <c r="W527" s="18">
        <v>1.0</v>
      </c>
      <c r="X527" s="11"/>
      <c r="Y527" s="11"/>
      <c r="Z527" s="14">
        <f t="shared" si="3"/>
        <v>1</v>
      </c>
      <c r="AA527" s="15" t="s">
        <v>52</v>
      </c>
      <c r="AB527" s="14">
        <v>0.710356863763906</v>
      </c>
    </row>
    <row r="528" ht="14.25" hidden="1" customHeight="1">
      <c r="A528" s="32" t="s">
        <v>1770</v>
      </c>
      <c r="B528" s="19" t="s">
        <v>602</v>
      </c>
      <c r="C528" s="74" t="s">
        <v>1771</v>
      </c>
      <c r="D528" s="21"/>
      <c r="E528" s="21"/>
      <c r="F528" s="21"/>
      <c r="G528" s="19" t="s">
        <v>38</v>
      </c>
      <c r="H528" s="21"/>
      <c r="I528" s="21"/>
      <c r="J528" s="21"/>
      <c r="K528" s="24" t="s">
        <v>89</v>
      </c>
      <c r="L528" s="24" t="s">
        <v>252</v>
      </c>
      <c r="M528" s="11">
        <f t="shared" si="1"/>
        <v>0</v>
      </c>
      <c r="N528" s="21"/>
      <c r="O528" s="21"/>
      <c r="P528" s="21"/>
      <c r="Q528" s="21"/>
      <c r="R528" s="21"/>
      <c r="S528" s="21"/>
      <c r="T528" s="21"/>
      <c r="U528" s="21"/>
      <c r="V528" s="21"/>
      <c r="W528" s="24">
        <v>1.0</v>
      </c>
      <c r="X528" s="21"/>
      <c r="Y528" s="21"/>
      <c r="Z528" s="14">
        <f t="shared" si="3"/>
        <v>1</v>
      </c>
      <c r="AA528" s="15" t="s">
        <v>52</v>
      </c>
    </row>
    <row r="529" ht="14.25" customHeight="1">
      <c r="A529" s="11" t="s">
        <v>1772</v>
      </c>
      <c r="B529" s="11" t="s">
        <v>1773</v>
      </c>
      <c r="C529" s="37" t="s">
        <v>1774</v>
      </c>
      <c r="D529" s="11"/>
      <c r="E529" s="11"/>
      <c r="F529" s="27" t="s">
        <v>77</v>
      </c>
      <c r="G529" s="11" t="s">
        <v>1218</v>
      </c>
      <c r="H529" s="28" t="s">
        <v>1775</v>
      </c>
      <c r="I529" s="11"/>
      <c r="J529" s="11"/>
      <c r="K529" s="29" t="s">
        <v>50</v>
      </c>
      <c r="L529" s="12" t="s">
        <v>105</v>
      </c>
      <c r="M529" s="11">
        <f t="shared" si="1"/>
        <v>1</v>
      </c>
      <c r="N529" s="18">
        <v>1.0</v>
      </c>
      <c r="O529" s="11"/>
      <c r="P529" s="11"/>
      <c r="Q529" s="11"/>
      <c r="R529" s="11"/>
      <c r="S529" s="11"/>
      <c r="T529" s="11"/>
      <c r="U529" s="11"/>
      <c r="V529" s="12">
        <v>1.0</v>
      </c>
      <c r="W529" s="12">
        <v>1.0</v>
      </c>
      <c r="X529" s="11"/>
      <c r="Y529" s="11"/>
      <c r="Z529" s="14">
        <f t="shared" si="3"/>
        <v>3</v>
      </c>
      <c r="AA529" s="15" t="s">
        <v>52</v>
      </c>
      <c r="AB529" s="14">
        <v>0.7106858515706063</v>
      </c>
    </row>
    <row r="530" ht="14.25" customHeight="1">
      <c r="A530" s="11" t="s">
        <v>1776</v>
      </c>
      <c r="B530" s="11" t="s">
        <v>210</v>
      </c>
      <c r="C530" s="59" t="s">
        <v>1777</v>
      </c>
      <c r="D530" s="11"/>
      <c r="E530" s="11"/>
      <c r="F530" s="27" t="s">
        <v>171</v>
      </c>
      <c r="G530" s="11" t="s">
        <v>38</v>
      </c>
      <c r="H530" s="28" t="s">
        <v>1778</v>
      </c>
      <c r="I530" s="11"/>
      <c r="J530" s="11"/>
      <c r="K530" s="29" t="s">
        <v>50</v>
      </c>
      <c r="L530" s="12" t="s">
        <v>1779</v>
      </c>
      <c r="M530" s="11">
        <f t="shared" si="1"/>
        <v>1</v>
      </c>
      <c r="N530" s="11"/>
      <c r="O530" s="11"/>
      <c r="P530" s="11"/>
      <c r="Q530" s="11"/>
      <c r="R530" s="11"/>
      <c r="S530" s="11"/>
      <c r="T530" s="11"/>
      <c r="U530" s="11"/>
      <c r="V530" s="31">
        <v>1.0</v>
      </c>
      <c r="W530" s="18">
        <v>1.0</v>
      </c>
      <c r="X530" s="11"/>
      <c r="Y530" s="11"/>
      <c r="Z530" s="14">
        <f t="shared" si="3"/>
        <v>2</v>
      </c>
      <c r="AA530" s="15" t="s">
        <v>52</v>
      </c>
      <c r="AB530" s="14">
        <v>0.7204164034366445</v>
      </c>
    </row>
    <row r="531" ht="14.25" hidden="1" customHeight="1">
      <c r="A531" s="11" t="s">
        <v>1780</v>
      </c>
      <c r="B531" s="11" t="s">
        <v>846</v>
      </c>
      <c r="C531" s="16" t="s">
        <v>1781</v>
      </c>
      <c r="D531" s="11"/>
      <c r="E531" s="11"/>
      <c r="F531" s="11"/>
      <c r="G531" s="11" t="s">
        <v>78</v>
      </c>
      <c r="H531" s="11"/>
      <c r="I531" s="11" t="s">
        <v>1782</v>
      </c>
      <c r="J531" s="11"/>
      <c r="K531" s="12" t="s">
        <v>89</v>
      </c>
      <c r="L531" s="12" t="s">
        <v>119</v>
      </c>
      <c r="M531" s="11">
        <f t="shared" si="1"/>
        <v>0</v>
      </c>
      <c r="N531" s="11"/>
      <c r="O531" s="11"/>
      <c r="P531" s="18">
        <v>1.0</v>
      </c>
      <c r="Q531" s="18"/>
      <c r="R531" s="18"/>
      <c r="S531" s="18"/>
      <c r="T531" s="18"/>
      <c r="U531" s="18"/>
      <c r="V531" s="11"/>
      <c r="W531" s="11"/>
      <c r="X531" s="18"/>
      <c r="Y531" s="18">
        <v>1.0</v>
      </c>
      <c r="Z531" s="14">
        <f t="shared" si="3"/>
        <v>2</v>
      </c>
      <c r="AA531" s="15" t="s">
        <v>52</v>
      </c>
    </row>
    <row r="532" ht="14.25" customHeight="1">
      <c r="A532" s="19" t="s">
        <v>1783</v>
      </c>
      <c r="B532" s="19" t="s">
        <v>1784</v>
      </c>
      <c r="C532" s="20" t="s">
        <v>1785</v>
      </c>
      <c r="D532" s="21"/>
      <c r="E532" s="21"/>
      <c r="F532" s="22" t="s">
        <v>136</v>
      </c>
      <c r="G532" s="19" t="s">
        <v>78</v>
      </c>
      <c r="H532" s="23" t="s">
        <v>1786</v>
      </c>
      <c r="I532" s="21"/>
      <c r="J532" s="24"/>
      <c r="K532" s="25" t="s">
        <v>50</v>
      </c>
      <c r="L532" s="24" t="s">
        <v>85</v>
      </c>
      <c r="M532" s="11">
        <f t="shared" si="1"/>
        <v>1</v>
      </c>
      <c r="N532" s="21"/>
      <c r="O532" s="21"/>
      <c r="P532" s="21"/>
      <c r="Q532" s="21"/>
      <c r="R532" s="21"/>
      <c r="S532" s="21"/>
      <c r="T532" s="21"/>
      <c r="U532" s="21"/>
      <c r="V532" s="21"/>
      <c r="W532" s="24">
        <v>1.0</v>
      </c>
      <c r="X532" s="21"/>
      <c r="Y532" s="21"/>
      <c r="Z532" s="14">
        <f t="shared" si="3"/>
        <v>1</v>
      </c>
      <c r="AA532" s="15" t="s">
        <v>91</v>
      </c>
      <c r="AB532" s="14">
        <v>0.7221029796802193</v>
      </c>
    </row>
    <row r="533" ht="14.25" hidden="1" customHeight="1">
      <c r="A533" s="11" t="s">
        <v>1787</v>
      </c>
      <c r="B533" s="11" t="s">
        <v>1788</v>
      </c>
      <c r="C533" s="42" t="s">
        <v>1789</v>
      </c>
      <c r="D533" s="11"/>
      <c r="E533" s="11"/>
      <c r="F533" s="11"/>
      <c r="G533" s="11" t="s">
        <v>440</v>
      </c>
      <c r="H533" s="11"/>
      <c r="I533" s="11"/>
      <c r="J533" s="11"/>
      <c r="K533" s="12" t="s">
        <v>89</v>
      </c>
      <c r="L533" s="12" t="s">
        <v>69</v>
      </c>
      <c r="M533" s="11">
        <f t="shared" si="1"/>
        <v>0</v>
      </c>
      <c r="N533" s="11"/>
      <c r="O533" s="11"/>
      <c r="P533" s="11"/>
      <c r="Q533" s="11"/>
      <c r="R533" s="11"/>
      <c r="S533" s="11"/>
      <c r="T533" s="11"/>
      <c r="U533" s="11"/>
      <c r="V533" s="18"/>
      <c r="W533" s="18">
        <v>1.0</v>
      </c>
      <c r="X533" s="11"/>
      <c r="Y533" s="11"/>
      <c r="Z533" s="14">
        <f t="shared" si="3"/>
        <v>1</v>
      </c>
      <c r="AA533" s="15" t="s">
        <v>52</v>
      </c>
    </row>
    <row r="534" ht="14.25" hidden="1" customHeight="1">
      <c r="A534" s="11" t="s">
        <v>1790</v>
      </c>
      <c r="B534" s="11" t="s">
        <v>1791</v>
      </c>
      <c r="C534" s="42" t="s">
        <v>1792</v>
      </c>
      <c r="D534" s="11"/>
      <c r="E534" s="11"/>
      <c r="F534" s="11"/>
      <c r="G534" s="11" t="s">
        <v>196</v>
      </c>
      <c r="H534" s="11"/>
      <c r="I534" s="11"/>
      <c r="J534" s="11"/>
      <c r="K534" s="12" t="s">
        <v>89</v>
      </c>
      <c r="L534" s="11" t="s">
        <v>69</v>
      </c>
      <c r="M534" s="11">
        <f t="shared" si="1"/>
        <v>0</v>
      </c>
      <c r="N534" s="11"/>
      <c r="O534" s="11"/>
      <c r="P534" s="11"/>
      <c r="Q534" s="11"/>
      <c r="R534" s="11"/>
      <c r="S534" s="11"/>
      <c r="T534" s="11"/>
      <c r="U534" s="11"/>
      <c r="V534" s="18"/>
      <c r="W534" s="18">
        <v>1.0</v>
      </c>
      <c r="X534" s="11"/>
      <c r="Y534" s="11"/>
      <c r="Z534" s="14">
        <f t="shared" si="3"/>
        <v>1</v>
      </c>
      <c r="AA534" s="15" t="s">
        <v>52</v>
      </c>
    </row>
    <row r="535" ht="14.25" hidden="1" customHeight="1">
      <c r="A535" s="11" t="s">
        <v>1793</v>
      </c>
      <c r="B535" s="11" t="s">
        <v>1791</v>
      </c>
      <c r="C535" s="42" t="s">
        <v>1794</v>
      </c>
      <c r="D535" s="11"/>
      <c r="E535" s="11"/>
      <c r="F535" s="11"/>
      <c r="G535" s="11" t="s">
        <v>196</v>
      </c>
      <c r="H535" s="11"/>
      <c r="I535" s="11"/>
      <c r="J535" s="11"/>
      <c r="K535" s="12" t="s">
        <v>89</v>
      </c>
      <c r="L535" s="12" t="s">
        <v>69</v>
      </c>
      <c r="M535" s="11">
        <f t="shared" si="1"/>
        <v>0</v>
      </c>
      <c r="N535" s="11"/>
      <c r="O535" s="11"/>
      <c r="P535" s="11"/>
      <c r="Q535" s="11"/>
      <c r="R535" s="11"/>
      <c r="S535" s="11"/>
      <c r="T535" s="11"/>
      <c r="U535" s="11"/>
      <c r="V535" s="18"/>
      <c r="W535" s="18">
        <v>1.0</v>
      </c>
      <c r="X535" s="11"/>
      <c r="Y535" s="11"/>
      <c r="Z535" s="14">
        <f t="shared" si="3"/>
        <v>1</v>
      </c>
      <c r="AA535" s="15" t="s">
        <v>52</v>
      </c>
    </row>
    <row r="536" ht="14.25" hidden="1" customHeight="1">
      <c r="A536" s="19" t="s">
        <v>1795</v>
      </c>
      <c r="B536" s="19" t="s">
        <v>1791</v>
      </c>
      <c r="C536" s="40" t="s">
        <v>1796</v>
      </c>
      <c r="D536" s="21"/>
      <c r="E536" s="21"/>
      <c r="F536" s="21"/>
      <c r="G536" s="19" t="s">
        <v>196</v>
      </c>
      <c r="H536" s="21"/>
      <c r="I536" s="21"/>
      <c r="J536" s="21"/>
      <c r="K536" s="24" t="s">
        <v>89</v>
      </c>
      <c r="L536" s="24" t="s">
        <v>43</v>
      </c>
      <c r="M536" s="11">
        <f t="shared" si="1"/>
        <v>0</v>
      </c>
      <c r="N536" s="21"/>
      <c r="O536" s="21"/>
      <c r="P536" s="21"/>
      <c r="Q536" s="21"/>
      <c r="R536" s="21"/>
      <c r="S536" s="21"/>
      <c r="T536" s="21"/>
      <c r="U536" s="21"/>
      <c r="V536" s="21"/>
      <c r="W536" s="24">
        <v>1.0</v>
      </c>
      <c r="X536" s="21"/>
      <c r="Y536" s="21"/>
      <c r="Z536" s="14">
        <f t="shared" si="3"/>
        <v>1</v>
      </c>
      <c r="AA536" s="15" t="s">
        <v>52</v>
      </c>
    </row>
    <row r="537" ht="14.25" customHeight="1">
      <c r="A537" s="11" t="s">
        <v>1797</v>
      </c>
      <c r="B537" s="11" t="s">
        <v>1798</v>
      </c>
      <c r="C537" s="37" t="s">
        <v>1799</v>
      </c>
      <c r="D537" s="11"/>
      <c r="E537" s="11"/>
      <c r="F537" s="27" t="s">
        <v>62</v>
      </c>
      <c r="G537" s="11" t="s">
        <v>78</v>
      </c>
      <c r="H537" s="28" t="s">
        <v>1800</v>
      </c>
      <c r="I537" s="11"/>
      <c r="J537" s="11"/>
      <c r="K537" s="29" t="s">
        <v>50</v>
      </c>
      <c r="L537" s="12" t="s">
        <v>288</v>
      </c>
      <c r="M537" s="11">
        <f t="shared" si="1"/>
        <v>1</v>
      </c>
      <c r="N537" s="11"/>
      <c r="O537" s="11"/>
      <c r="P537" s="11"/>
      <c r="Q537" s="11"/>
      <c r="R537" s="11"/>
      <c r="S537" s="11"/>
      <c r="T537" s="11"/>
      <c r="U537" s="11"/>
      <c r="V537" s="18"/>
      <c r="W537" s="18">
        <v>1.0</v>
      </c>
      <c r="X537" s="11"/>
      <c r="Y537" s="11"/>
      <c r="Z537" s="14">
        <f t="shared" si="3"/>
        <v>1</v>
      </c>
      <c r="AA537" s="15" t="s">
        <v>52</v>
      </c>
      <c r="AB537" s="14">
        <v>0.7222738828538329</v>
      </c>
    </row>
    <row r="538" ht="14.25" customHeight="1">
      <c r="A538" s="11" t="s">
        <v>1801</v>
      </c>
      <c r="B538" s="11" t="s">
        <v>1802</v>
      </c>
      <c r="C538" s="37" t="s">
        <v>1803</v>
      </c>
      <c r="D538" s="11"/>
      <c r="E538" s="11"/>
      <c r="F538" s="27" t="s">
        <v>95</v>
      </c>
      <c r="G538" s="11" t="s">
        <v>427</v>
      </c>
      <c r="H538" s="28" t="s">
        <v>99</v>
      </c>
      <c r="I538" s="11"/>
      <c r="J538" s="11"/>
      <c r="K538" s="29" t="s">
        <v>50</v>
      </c>
      <c r="L538" s="12" t="s">
        <v>1804</v>
      </c>
      <c r="M538" s="11">
        <f t="shared" si="1"/>
        <v>1</v>
      </c>
      <c r="N538" s="11"/>
      <c r="O538" s="11"/>
      <c r="P538" s="11"/>
      <c r="Q538" s="11"/>
      <c r="R538" s="11"/>
      <c r="S538" s="11"/>
      <c r="T538" s="11"/>
      <c r="U538" s="11"/>
      <c r="V538" s="31">
        <v>1.0</v>
      </c>
      <c r="W538" s="18">
        <v>1.0</v>
      </c>
      <c r="X538" s="11"/>
      <c r="Y538" s="11"/>
      <c r="Z538" s="14">
        <f t="shared" si="3"/>
        <v>2</v>
      </c>
      <c r="AA538" s="15" t="s">
        <v>91</v>
      </c>
      <c r="AB538" s="14">
        <v>0.7242884280279575</v>
      </c>
    </row>
    <row r="539" ht="14.25" customHeight="1">
      <c r="A539" s="11" t="s">
        <v>1805</v>
      </c>
      <c r="B539" s="11" t="s">
        <v>1806</v>
      </c>
      <c r="C539" s="37" t="s">
        <v>1807</v>
      </c>
      <c r="D539" s="11"/>
      <c r="E539" s="11"/>
      <c r="F539" s="27" t="s">
        <v>103</v>
      </c>
      <c r="G539" s="19" t="s">
        <v>83</v>
      </c>
      <c r="H539" s="28" t="s">
        <v>1808</v>
      </c>
      <c r="I539" s="11"/>
      <c r="J539" s="11"/>
      <c r="K539" s="29" t="s">
        <v>50</v>
      </c>
      <c r="L539" s="12" t="s">
        <v>235</v>
      </c>
      <c r="M539" s="11">
        <f t="shared" si="1"/>
        <v>1</v>
      </c>
      <c r="N539" s="11"/>
      <c r="O539" s="11"/>
      <c r="P539" s="11"/>
      <c r="Q539" s="11"/>
      <c r="R539" s="11"/>
      <c r="S539" s="11"/>
      <c r="T539" s="11"/>
      <c r="U539" s="11"/>
      <c r="V539" s="18"/>
      <c r="W539" s="18">
        <v>1.0</v>
      </c>
      <c r="X539" s="11"/>
      <c r="Y539" s="11"/>
      <c r="Z539" s="14">
        <f t="shared" si="3"/>
        <v>1</v>
      </c>
      <c r="AA539" s="15" t="s">
        <v>106</v>
      </c>
      <c r="AB539" s="14">
        <v>0.725533368400973</v>
      </c>
    </row>
    <row r="540" ht="14.25" customHeight="1">
      <c r="A540" s="11" t="s">
        <v>1809</v>
      </c>
      <c r="B540" s="12" t="s">
        <v>396</v>
      </c>
      <c r="C540" s="37" t="s">
        <v>1810</v>
      </c>
      <c r="D540" s="12" t="s">
        <v>29</v>
      </c>
      <c r="E540" s="12" t="s">
        <v>29</v>
      </c>
      <c r="F540" s="22" t="s">
        <v>103</v>
      </c>
      <c r="G540" s="11" t="s">
        <v>38</v>
      </c>
      <c r="H540" s="28" t="s">
        <v>1811</v>
      </c>
      <c r="I540" s="11"/>
      <c r="J540" s="11"/>
      <c r="K540" s="29" t="s">
        <v>50</v>
      </c>
      <c r="L540" s="11"/>
      <c r="M540" s="11">
        <f t="shared" si="1"/>
        <v>1</v>
      </c>
      <c r="N540" s="11"/>
      <c r="O540" s="11"/>
      <c r="P540" s="11"/>
      <c r="Q540" s="11"/>
      <c r="R540" s="11"/>
      <c r="S540" s="12">
        <v>1.0</v>
      </c>
      <c r="T540" s="12"/>
      <c r="U540" s="12"/>
      <c r="V540" s="11"/>
      <c r="W540" s="11"/>
      <c r="X540" s="11"/>
      <c r="Y540" s="11"/>
      <c r="Z540" s="14">
        <f t="shared" si="3"/>
        <v>1</v>
      </c>
      <c r="AA540" s="15" t="s">
        <v>106</v>
      </c>
      <c r="AB540" s="14">
        <v>0.7294093374168024</v>
      </c>
    </row>
    <row r="541" ht="14.25" customHeight="1">
      <c r="A541" s="11" t="s">
        <v>1812</v>
      </c>
      <c r="B541" s="78" t="s">
        <v>1813</v>
      </c>
      <c r="C541" s="59" t="s">
        <v>1814</v>
      </c>
      <c r="D541" s="11"/>
      <c r="E541" s="11"/>
      <c r="F541" s="22" t="s">
        <v>95</v>
      </c>
      <c r="G541" s="11" t="s">
        <v>264</v>
      </c>
      <c r="H541" s="28" t="s">
        <v>741</v>
      </c>
      <c r="I541" s="11"/>
      <c r="J541" s="11"/>
      <c r="K541" s="29" t="s">
        <v>50</v>
      </c>
      <c r="L541" s="11"/>
      <c r="M541" s="11">
        <f t="shared" si="1"/>
        <v>1</v>
      </c>
      <c r="N541" s="11"/>
      <c r="O541" s="11"/>
      <c r="P541" s="11"/>
      <c r="Q541" s="11"/>
      <c r="R541" s="11"/>
      <c r="S541" s="11"/>
      <c r="T541" s="11"/>
      <c r="U541" s="11"/>
      <c r="V541" s="18"/>
      <c r="W541" s="18">
        <v>1.0</v>
      </c>
      <c r="X541" s="11"/>
      <c r="Y541" s="11"/>
      <c r="Z541" s="14">
        <f t="shared" si="3"/>
        <v>1</v>
      </c>
      <c r="AA541" s="15" t="s">
        <v>91</v>
      </c>
      <c r="AB541" s="14">
        <v>0.7295614692621537</v>
      </c>
    </row>
    <row r="542" ht="14.25" customHeight="1">
      <c r="A542" s="11" t="s">
        <v>1815</v>
      </c>
      <c r="B542" s="11" t="s">
        <v>1816</v>
      </c>
      <c r="C542" s="38" t="s">
        <v>1817</v>
      </c>
      <c r="D542" s="12" t="s">
        <v>29</v>
      </c>
      <c r="E542" s="12" t="s">
        <v>29</v>
      </c>
      <c r="F542" s="27" t="s">
        <v>95</v>
      </c>
      <c r="G542" s="11" t="s">
        <v>48</v>
      </c>
      <c r="H542" s="28" t="s">
        <v>172</v>
      </c>
      <c r="I542" s="11"/>
      <c r="J542" s="11"/>
      <c r="K542" s="29" t="s">
        <v>58</v>
      </c>
      <c r="L542" s="87" t="s">
        <v>51</v>
      </c>
      <c r="M542" s="11">
        <f t="shared" si="1"/>
        <v>1</v>
      </c>
      <c r="N542" s="18">
        <v>1.0</v>
      </c>
      <c r="O542" s="18">
        <v>1.0</v>
      </c>
      <c r="P542" s="11"/>
      <c r="Q542" s="12">
        <v>1.0</v>
      </c>
      <c r="R542" s="11"/>
      <c r="S542" s="12">
        <v>1.0</v>
      </c>
      <c r="T542" s="12">
        <v>1.0</v>
      </c>
      <c r="U542" s="12"/>
      <c r="V542" s="31">
        <v>1.0</v>
      </c>
      <c r="W542" s="18">
        <v>1.0</v>
      </c>
      <c r="X542" s="11"/>
      <c r="Y542" s="11"/>
      <c r="Z542" s="14">
        <f t="shared" si="3"/>
        <v>7</v>
      </c>
      <c r="AA542" s="15" t="s">
        <v>33</v>
      </c>
      <c r="AB542" s="14">
        <v>0.7312296422162176</v>
      </c>
    </row>
    <row r="543" ht="14.25" customHeight="1">
      <c r="A543" s="19" t="s">
        <v>1818</v>
      </c>
      <c r="B543" s="19" t="s">
        <v>403</v>
      </c>
      <c r="C543" s="33" t="s">
        <v>1819</v>
      </c>
      <c r="D543" s="21"/>
      <c r="E543" s="21"/>
      <c r="F543" s="22" t="s">
        <v>405</v>
      </c>
      <c r="G543" s="19" t="s">
        <v>83</v>
      </c>
      <c r="H543" s="23" t="s">
        <v>1820</v>
      </c>
      <c r="I543" s="21"/>
      <c r="J543" s="24"/>
      <c r="K543" s="25" t="s">
        <v>50</v>
      </c>
      <c r="L543" s="24" t="s">
        <v>181</v>
      </c>
      <c r="M543" s="11">
        <f t="shared" si="1"/>
        <v>1</v>
      </c>
      <c r="N543" s="21"/>
      <c r="O543" s="21"/>
      <c r="P543" s="21"/>
      <c r="Q543" s="21"/>
      <c r="R543" s="21"/>
      <c r="S543" s="21"/>
      <c r="T543" s="21"/>
      <c r="U543" s="21"/>
      <c r="V543" s="21"/>
      <c r="W543" s="24">
        <v>1.0</v>
      </c>
      <c r="X543" s="21"/>
      <c r="Y543" s="21"/>
      <c r="Z543" s="14">
        <f t="shared" si="3"/>
        <v>1</v>
      </c>
      <c r="AA543" s="15" t="s">
        <v>91</v>
      </c>
      <c r="AB543" s="14">
        <v>0.7318152159874913</v>
      </c>
    </row>
    <row r="544" ht="14.25" hidden="1" customHeight="1">
      <c r="A544" s="88" t="s">
        <v>1821</v>
      </c>
      <c r="B544" s="45" t="s">
        <v>1822</v>
      </c>
      <c r="C544" s="46" t="s">
        <v>1823</v>
      </c>
      <c r="D544" s="45"/>
      <c r="E544" s="45"/>
      <c r="F544" s="45"/>
      <c r="G544" s="24" t="s">
        <v>48</v>
      </c>
      <c r="H544" s="45"/>
      <c r="I544" s="45"/>
      <c r="J544" s="24"/>
      <c r="K544" s="12" t="s">
        <v>89</v>
      </c>
      <c r="L544" s="24" t="s">
        <v>252</v>
      </c>
      <c r="M544" s="11">
        <f t="shared" si="1"/>
        <v>0</v>
      </c>
      <c r="N544" s="45"/>
      <c r="O544" s="45"/>
      <c r="P544" s="45"/>
      <c r="Q544" s="45"/>
      <c r="R544" s="45"/>
      <c r="S544" s="45"/>
      <c r="T544" s="45"/>
      <c r="U544" s="45"/>
      <c r="V544" s="24">
        <v>1.0</v>
      </c>
      <c r="W544" s="45"/>
      <c r="X544" s="45"/>
      <c r="Y544" s="45"/>
      <c r="Z544" s="14">
        <f t="shared" si="3"/>
        <v>1</v>
      </c>
      <c r="AA544" s="15" t="s">
        <v>52</v>
      </c>
    </row>
    <row r="545" ht="14.25" customHeight="1">
      <c r="A545" s="19" t="s">
        <v>1824</v>
      </c>
      <c r="B545" s="19" t="s">
        <v>1825</v>
      </c>
      <c r="C545" s="20" t="s">
        <v>1826</v>
      </c>
      <c r="D545" s="21"/>
      <c r="E545" s="21"/>
      <c r="F545" s="27" t="s">
        <v>56</v>
      </c>
      <c r="G545" s="19" t="s">
        <v>83</v>
      </c>
      <c r="H545" s="23" t="s">
        <v>652</v>
      </c>
      <c r="I545" s="21"/>
      <c r="J545" s="24"/>
      <c r="K545" s="25" t="s">
        <v>50</v>
      </c>
      <c r="L545" s="24" t="s">
        <v>366</v>
      </c>
      <c r="M545" s="11">
        <f t="shared" si="1"/>
        <v>1</v>
      </c>
      <c r="N545" s="21"/>
      <c r="O545" s="21"/>
      <c r="P545" s="21"/>
      <c r="Q545" s="21"/>
      <c r="R545" s="21"/>
      <c r="S545" s="21"/>
      <c r="T545" s="21"/>
      <c r="U545" s="21"/>
      <c r="V545" s="21"/>
      <c r="W545" s="24">
        <v>1.0</v>
      </c>
      <c r="X545" s="21"/>
      <c r="Y545" s="21"/>
      <c r="Z545" s="14">
        <f t="shared" si="3"/>
        <v>1</v>
      </c>
      <c r="AA545" s="15" t="s">
        <v>91</v>
      </c>
      <c r="AB545" s="14">
        <v>0.7351021099914608</v>
      </c>
    </row>
    <row r="546" ht="14.25" customHeight="1">
      <c r="A546" s="19" t="s">
        <v>1827</v>
      </c>
      <c r="B546" s="19" t="s">
        <v>318</v>
      </c>
      <c r="C546" s="33" t="s">
        <v>1828</v>
      </c>
      <c r="D546" s="21"/>
      <c r="E546" s="21"/>
      <c r="F546" s="27" t="s">
        <v>77</v>
      </c>
      <c r="G546" s="19" t="s">
        <v>48</v>
      </c>
      <c r="H546" s="23" t="s">
        <v>147</v>
      </c>
      <c r="I546" s="21"/>
      <c r="J546" s="21"/>
      <c r="K546" s="25" t="s">
        <v>58</v>
      </c>
      <c r="L546" s="24" t="s">
        <v>51</v>
      </c>
      <c r="M546" s="11">
        <f t="shared" si="1"/>
        <v>1</v>
      </c>
      <c r="N546" s="21"/>
      <c r="O546" s="21"/>
      <c r="P546" s="21"/>
      <c r="Q546" s="21"/>
      <c r="R546" s="21"/>
      <c r="S546" s="21"/>
      <c r="T546" s="21"/>
      <c r="U546" s="21"/>
      <c r="V546" s="21"/>
      <c r="W546" s="24">
        <v>1.0</v>
      </c>
      <c r="X546" s="21"/>
      <c r="Y546" s="21"/>
      <c r="Z546" s="14">
        <f t="shared" si="3"/>
        <v>1</v>
      </c>
      <c r="AA546" s="15" t="s">
        <v>33</v>
      </c>
      <c r="AB546" s="14">
        <v>0.7358017440332097</v>
      </c>
    </row>
    <row r="547" ht="14.25" hidden="1" customHeight="1">
      <c r="A547" s="11" t="s">
        <v>1829</v>
      </c>
      <c r="B547" s="11" t="s">
        <v>1360</v>
      </c>
      <c r="C547" s="42" t="s">
        <v>1830</v>
      </c>
      <c r="D547" s="11"/>
      <c r="E547" s="11"/>
      <c r="F547" s="11"/>
      <c r="G547" s="11" t="s">
        <v>1360</v>
      </c>
      <c r="H547" s="11"/>
      <c r="I547" s="11"/>
      <c r="J547" s="11"/>
      <c r="K547" s="12" t="s">
        <v>89</v>
      </c>
      <c r="L547" s="12" t="s">
        <v>43</v>
      </c>
      <c r="M547" s="11">
        <f t="shared" si="1"/>
        <v>0</v>
      </c>
      <c r="N547" s="11"/>
      <c r="O547" s="11"/>
      <c r="P547" s="11"/>
      <c r="Q547" s="11"/>
      <c r="R547" s="11"/>
      <c r="S547" s="11"/>
      <c r="T547" s="11"/>
      <c r="U547" s="11"/>
      <c r="V547" s="18"/>
      <c r="W547" s="18">
        <v>1.0</v>
      </c>
      <c r="X547" s="11"/>
      <c r="Y547" s="11"/>
      <c r="Z547" s="14">
        <f t="shared" si="3"/>
        <v>1</v>
      </c>
      <c r="AA547" s="15" t="s">
        <v>52</v>
      </c>
    </row>
    <row r="548" ht="14.25" hidden="1" customHeight="1">
      <c r="A548" s="12" t="s">
        <v>1831</v>
      </c>
      <c r="B548" s="12" t="s">
        <v>1832</v>
      </c>
      <c r="C548" s="30" t="s">
        <v>1833</v>
      </c>
      <c r="D548" s="11"/>
      <c r="E548" s="11"/>
      <c r="F548" s="11"/>
      <c r="G548" s="12" t="s">
        <v>233</v>
      </c>
      <c r="H548" s="11"/>
      <c r="I548" s="11"/>
      <c r="J548" s="12"/>
      <c r="K548" s="12" t="s">
        <v>89</v>
      </c>
      <c r="L548" s="12" t="s">
        <v>43</v>
      </c>
      <c r="M548" s="11">
        <f t="shared" si="1"/>
        <v>0</v>
      </c>
      <c r="N548" s="11"/>
      <c r="O548" s="11"/>
      <c r="P548" s="11"/>
      <c r="Q548" s="11"/>
      <c r="R548" s="11"/>
      <c r="S548" s="11"/>
      <c r="T548" s="11"/>
      <c r="U548" s="11"/>
      <c r="V548" s="31">
        <v>1.0</v>
      </c>
      <c r="W548" s="18"/>
      <c r="X548" s="11"/>
      <c r="Y548" s="11"/>
      <c r="Z548" s="14">
        <f t="shared" si="3"/>
        <v>1</v>
      </c>
      <c r="AA548" s="15" t="s">
        <v>52</v>
      </c>
    </row>
    <row r="549" ht="14.25" customHeight="1">
      <c r="A549" s="19" t="s">
        <v>1834</v>
      </c>
      <c r="B549" s="19" t="s">
        <v>310</v>
      </c>
      <c r="C549" s="20" t="s">
        <v>1835</v>
      </c>
      <c r="D549" s="21"/>
      <c r="E549" s="21"/>
      <c r="F549" s="27" t="s">
        <v>56</v>
      </c>
      <c r="G549" s="19" t="s">
        <v>83</v>
      </c>
      <c r="H549" s="23" t="s">
        <v>1734</v>
      </c>
      <c r="I549" s="21"/>
      <c r="J549" s="24"/>
      <c r="K549" s="25" t="s">
        <v>50</v>
      </c>
      <c r="L549" s="24" t="s">
        <v>1836</v>
      </c>
      <c r="M549" s="11">
        <f t="shared" si="1"/>
        <v>1</v>
      </c>
      <c r="N549" s="21"/>
      <c r="O549" s="21"/>
      <c r="P549" s="21"/>
      <c r="Q549" s="21"/>
      <c r="R549" s="21"/>
      <c r="S549" s="21"/>
      <c r="T549" s="21"/>
      <c r="U549" s="21"/>
      <c r="V549" s="21"/>
      <c r="W549" s="24">
        <v>1.0</v>
      </c>
      <c r="X549" s="21"/>
      <c r="Y549" s="21"/>
      <c r="Z549" s="14">
        <f t="shared" si="3"/>
        <v>1</v>
      </c>
      <c r="AA549" s="15" t="s">
        <v>91</v>
      </c>
      <c r="AB549" s="14">
        <v>0.7358277588732766</v>
      </c>
    </row>
    <row r="550" ht="14.25" hidden="1" customHeight="1">
      <c r="A550" s="11" t="s">
        <v>1837</v>
      </c>
      <c r="B550" s="11" t="s">
        <v>1838</v>
      </c>
      <c r="C550" s="42" t="s">
        <v>1839</v>
      </c>
      <c r="D550" s="11"/>
      <c r="E550" s="11"/>
      <c r="F550" s="11"/>
      <c r="G550" s="11" t="s">
        <v>1840</v>
      </c>
      <c r="H550" s="11"/>
      <c r="I550" s="11"/>
      <c r="J550" s="11"/>
      <c r="K550" s="12" t="s">
        <v>89</v>
      </c>
      <c r="L550" s="12" t="s">
        <v>69</v>
      </c>
      <c r="M550" s="11">
        <f t="shared" si="1"/>
        <v>0</v>
      </c>
      <c r="N550" s="11"/>
      <c r="O550" s="11"/>
      <c r="P550" s="11"/>
      <c r="Q550" s="11"/>
      <c r="R550" s="11"/>
      <c r="S550" s="11"/>
      <c r="T550" s="11"/>
      <c r="U550" s="11"/>
      <c r="V550" s="18"/>
      <c r="W550" s="18">
        <v>1.0</v>
      </c>
      <c r="X550" s="11"/>
      <c r="Y550" s="11"/>
      <c r="Z550" s="14">
        <f t="shared" si="3"/>
        <v>1</v>
      </c>
      <c r="AA550" s="15" t="s">
        <v>52</v>
      </c>
    </row>
    <row r="551" ht="14.25" customHeight="1">
      <c r="A551" s="11" t="s">
        <v>1841</v>
      </c>
      <c r="B551" s="11" t="s">
        <v>374</v>
      </c>
      <c r="C551" s="43" t="s">
        <v>1842</v>
      </c>
      <c r="D551" s="11"/>
      <c r="E551" s="11"/>
      <c r="F551" s="27" t="s">
        <v>95</v>
      </c>
      <c r="G551" s="11" t="s">
        <v>48</v>
      </c>
      <c r="H551" s="28" t="s">
        <v>1843</v>
      </c>
      <c r="I551" s="11"/>
      <c r="J551" s="12"/>
      <c r="K551" s="29" t="s">
        <v>50</v>
      </c>
      <c r="L551" s="12" t="s">
        <v>152</v>
      </c>
      <c r="M551" s="11">
        <f t="shared" si="1"/>
        <v>1</v>
      </c>
      <c r="N551" s="18">
        <v>1.0</v>
      </c>
      <c r="O551" s="11"/>
      <c r="P551" s="11"/>
      <c r="Q551" s="11"/>
      <c r="R551" s="11"/>
      <c r="S551" s="11"/>
      <c r="T551" s="11"/>
      <c r="U551" s="11"/>
      <c r="V551" s="31">
        <v>1.0</v>
      </c>
      <c r="W551" s="18">
        <v>1.0</v>
      </c>
      <c r="X551" s="12">
        <v>1.0</v>
      </c>
      <c r="Y551" s="11"/>
      <c r="Z551" s="14">
        <f t="shared" si="3"/>
        <v>4</v>
      </c>
      <c r="AA551" s="15" t="s">
        <v>91</v>
      </c>
      <c r="AB551" s="14">
        <v>0.7361989714139451</v>
      </c>
    </row>
    <row r="552" ht="14.25" hidden="1" customHeight="1">
      <c r="A552" s="11" t="s">
        <v>1844</v>
      </c>
      <c r="B552" s="11" t="s">
        <v>1845</v>
      </c>
      <c r="C552" s="34" t="s">
        <v>1846</v>
      </c>
      <c r="D552" s="11"/>
      <c r="E552" s="11"/>
      <c r="F552" s="11"/>
      <c r="G552" s="11" t="s">
        <v>1536</v>
      </c>
      <c r="H552" s="28" t="s">
        <v>99</v>
      </c>
      <c r="I552" s="11"/>
      <c r="J552" s="11"/>
      <c r="K552" s="12" t="s">
        <v>89</v>
      </c>
      <c r="L552" s="12" t="s">
        <v>51</v>
      </c>
      <c r="M552" s="11">
        <f t="shared" si="1"/>
        <v>0</v>
      </c>
      <c r="N552" s="11"/>
      <c r="O552" s="11"/>
      <c r="P552" s="11"/>
      <c r="Q552" s="11"/>
      <c r="R552" s="11"/>
      <c r="S552" s="12">
        <v>1.0</v>
      </c>
      <c r="T552" s="12"/>
      <c r="U552" s="12"/>
      <c r="V552" s="18"/>
      <c r="W552" s="18">
        <v>1.0</v>
      </c>
      <c r="X552" s="11"/>
      <c r="Y552" s="11"/>
      <c r="Z552" s="14">
        <f t="shared" si="3"/>
        <v>2</v>
      </c>
      <c r="AA552" s="15" t="s">
        <v>52</v>
      </c>
    </row>
    <row r="553" ht="14.25" customHeight="1">
      <c r="A553" s="19" t="s">
        <v>1847</v>
      </c>
      <c r="B553" s="19" t="s">
        <v>1848</v>
      </c>
      <c r="C553" s="35" t="s">
        <v>1849</v>
      </c>
      <c r="D553" s="21"/>
      <c r="E553" s="21"/>
      <c r="F553" s="22" t="s">
        <v>103</v>
      </c>
      <c r="G553" s="19" t="s">
        <v>38</v>
      </c>
      <c r="H553" s="23" t="s">
        <v>1850</v>
      </c>
      <c r="I553" s="21"/>
      <c r="J553" s="21"/>
      <c r="K553" s="25" t="s">
        <v>50</v>
      </c>
      <c r="L553" s="24" t="s">
        <v>235</v>
      </c>
      <c r="M553" s="11">
        <f t="shared" si="1"/>
        <v>1</v>
      </c>
      <c r="N553" s="21"/>
      <c r="O553" s="21"/>
      <c r="P553" s="21"/>
      <c r="Q553" s="21"/>
      <c r="R553" s="21"/>
      <c r="S553" s="21"/>
      <c r="T553" s="21"/>
      <c r="U553" s="21"/>
      <c r="V553" s="21"/>
      <c r="W553" s="24">
        <v>1.0</v>
      </c>
      <c r="X553" s="21"/>
      <c r="Y553" s="21"/>
      <c r="Z553" s="14">
        <f t="shared" si="3"/>
        <v>1</v>
      </c>
      <c r="AA553" s="15" t="s">
        <v>52</v>
      </c>
      <c r="AB553" s="14">
        <v>0.7366576145011682</v>
      </c>
    </row>
    <row r="554" ht="14.25" hidden="1" customHeight="1">
      <c r="A554" s="11" t="s">
        <v>1851</v>
      </c>
      <c r="B554" s="12" t="s">
        <v>809</v>
      </c>
      <c r="C554" s="16" t="s">
        <v>1852</v>
      </c>
      <c r="D554" s="11"/>
      <c r="E554" s="11"/>
      <c r="F554" s="11"/>
      <c r="G554" s="12" t="s">
        <v>78</v>
      </c>
      <c r="H554" s="11"/>
      <c r="I554" s="11"/>
      <c r="J554" s="11"/>
      <c r="K554" s="12" t="s">
        <v>89</v>
      </c>
      <c r="L554" s="12" t="s">
        <v>200</v>
      </c>
      <c r="M554" s="11">
        <f t="shared" si="1"/>
        <v>0</v>
      </c>
      <c r="N554" s="11"/>
      <c r="O554" s="11"/>
      <c r="P554" s="18"/>
      <c r="Q554" s="18"/>
      <c r="R554" s="18"/>
      <c r="S554" s="18"/>
      <c r="T554" s="18"/>
      <c r="U554" s="18"/>
      <c r="V554" s="11"/>
      <c r="W554" s="11"/>
      <c r="X554" s="18"/>
      <c r="Y554" s="18">
        <v>1.0</v>
      </c>
      <c r="Z554" s="14">
        <f t="shared" si="3"/>
        <v>1</v>
      </c>
      <c r="AA554" s="15" t="s">
        <v>52</v>
      </c>
    </row>
    <row r="555" ht="14.25" customHeight="1">
      <c r="A555" s="11" t="s">
        <v>1853</v>
      </c>
      <c r="B555" s="11" t="s">
        <v>1854</v>
      </c>
      <c r="C555" s="37" t="s">
        <v>1855</v>
      </c>
      <c r="D555" s="12" t="s">
        <v>1856</v>
      </c>
      <c r="E555" s="12" t="s">
        <v>29</v>
      </c>
      <c r="F555" s="27" t="s">
        <v>77</v>
      </c>
      <c r="G555" s="11" t="s">
        <v>1331</v>
      </c>
      <c r="H555" s="28" t="s">
        <v>593</v>
      </c>
      <c r="I555" s="11"/>
      <c r="J555" s="11"/>
      <c r="K555" s="29" t="s">
        <v>50</v>
      </c>
      <c r="L555" s="12" t="s">
        <v>51</v>
      </c>
      <c r="M555" s="11">
        <f t="shared" si="1"/>
        <v>1</v>
      </c>
      <c r="N555" s="18">
        <v>1.0</v>
      </c>
      <c r="O555" s="18">
        <v>1.0</v>
      </c>
      <c r="P555" s="11"/>
      <c r="Q555" s="11"/>
      <c r="R555" s="11"/>
      <c r="S555" s="11"/>
      <c r="T555" s="12">
        <v>1.0</v>
      </c>
      <c r="U555" s="12"/>
      <c r="V555" s="12">
        <v>1.0</v>
      </c>
      <c r="W555" s="11">
        <v>1.0</v>
      </c>
      <c r="X555" s="11"/>
      <c r="Y555" s="11"/>
      <c r="Z555" s="14">
        <f t="shared" si="3"/>
        <v>5</v>
      </c>
      <c r="AA555" s="15" t="s">
        <v>106</v>
      </c>
      <c r="AB555" s="14">
        <v>0.7404102377078626</v>
      </c>
    </row>
    <row r="556" ht="14.25" hidden="1" customHeight="1">
      <c r="A556" s="11" t="s">
        <v>1857</v>
      </c>
      <c r="B556" s="12" t="s">
        <v>1858</v>
      </c>
      <c r="C556" s="16" t="s">
        <v>1852</v>
      </c>
      <c r="D556" s="11"/>
      <c r="E556" s="11"/>
      <c r="F556" s="11"/>
      <c r="G556" s="11" t="s">
        <v>78</v>
      </c>
      <c r="H556" s="11"/>
      <c r="I556" s="11"/>
      <c r="J556" s="11"/>
      <c r="K556" s="12" t="s">
        <v>89</v>
      </c>
      <c r="L556" s="12" t="s">
        <v>43</v>
      </c>
      <c r="M556" s="11">
        <f t="shared" si="1"/>
        <v>0</v>
      </c>
      <c r="N556" s="18">
        <v>1.0</v>
      </c>
      <c r="O556" s="11"/>
      <c r="P556" s="11"/>
      <c r="Q556" s="11"/>
      <c r="R556" s="11"/>
      <c r="S556" s="11"/>
      <c r="T556" s="11"/>
      <c r="U556" s="11"/>
      <c r="V556" s="11"/>
      <c r="W556" s="11"/>
      <c r="X556" s="11"/>
      <c r="Y556" s="11"/>
      <c r="Z556" s="14">
        <f t="shared" si="3"/>
        <v>1</v>
      </c>
      <c r="AA556" s="15" t="s">
        <v>52</v>
      </c>
    </row>
    <row r="557" ht="14.25" customHeight="1">
      <c r="A557" s="19" t="s">
        <v>1859</v>
      </c>
      <c r="B557" s="19" t="s">
        <v>310</v>
      </c>
      <c r="C557" s="20" t="s">
        <v>1860</v>
      </c>
      <c r="D557" s="21"/>
      <c r="E557" s="21"/>
      <c r="F557" s="27" t="s">
        <v>56</v>
      </c>
      <c r="G557" s="19" t="s">
        <v>83</v>
      </c>
      <c r="H557" s="23" t="s">
        <v>247</v>
      </c>
      <c r="I557" s="21"/>
      <c r="J557" s="24"/>
      <c r="K557" s="25" t="s">
        <v>50</v>
      </c>
      <c r="L557" s="24" t="s">
        <v>407</v>
      </c>
      <c r="M557" s="11">
        <f t="shared" si="1"/>
        <v>1</v>
      </c>
      <c r="N557" s="21"/>
      <c r="O557" s="21"/>
      <c r="P557" s="21"/>
      <c r="Q557" s="21"/>
      <c r="R557" s="21"/>
      <c r="S557" s="21"/>
      <c r="T557" s="21"/>
      <c r="U557" s="21"/>
      <c r="V557" s="21"/>
      <c r="W557" s="24">
        <v>1.0</v>
      </c>
      <c r="X557" s="21"/>
      <c r="Y557" s="21"/>
      <c r="Z557" s="14">
        <f t="shared" si="3"/>
        <v>1</v>
      </c>
      <c r="AA557" s="15" t="s">
        <v>91</v>
      </c>
      <c r="AB557" s="14">
        <v>0.7412996406584074</v>
      </c>
    </row>
    <row r="558" ht="14.25" hidden="1" customHeight="1">
      <c r="A558" s="19" t="s">
        <v>1861</v>
      </c>
      <c r="B558" s="19" t="s">
        <v>1862</v>
      </c>
      <c r="C558" s="40" t="s">
        <v>1863</v>
      </c>
      <c r="D558" s="21"/>
      <c r="E558" s="21"/>
      <c r="F558" s="21"/>
      <c r="G558" s="19" t="s">
        <v>1864</v>
      </c>
      <c r="H558" s="21"/>
      <c r="I558" s="21"/>
      <c r="J558" s="24"/>
      <c r="K558" s="24" t="s">
        <v>89</v>
      </c>
      <c r="L558" s="89" t="s">
        <v>1340</v>
      </c>
      <c r="M558" s="11">
        <f t="shared" si="1"/>
        <v>0</v>
      </c>
      <c r="N558" s="21"/>
      <c r="O558" s="21"/>
      <c r="P558" s="21"/>
      <c r="Q558" s="21"/>
      <c r="R558" s="21"/>
      <c r="S558" s="21"/>
      <c r="T558" s="21"/>
      <c r="U558" s="21"/>
      <c r="V558" s="21"/>
      <c r="W558" s="24">
        <v>1.0</v>
      </c>
      <c r="X558" s="21"/>
      <c r="Y558" s="21"/>
      <c r="Z558" s="14">
        <f t="shared" si="3"/>
        <v>1</v>
      </c>
      <c r="AA558" s="15" t="s">
        <v>52</v>
      </c>
    </row>
    <row r="559" ht="14.25" customHeight="1">
      <c r="A559" s="11" t="s">
        <v>1865</v>
      </c>
      <c r="B559" s="11" t="s">
        <v>1866</v>
      </c>
      <c r="C559" s="37" t="s">
        <v>1867</v>
      </c>
      <c r="D559" s="11"/>
      <c r="E559" s="11"/>
      <c r="F559" s="27" t="s">
        <v>140</v>
      </c>
      <c r="G559" s="11" t="s">
        <v>78</v>
      </c>
      <c r="H559" s="28" t="s">
        <v>1868</v>
      </c>
      <c r="I559" s="11"/>
      <c r="J559" s="11"/>
      <c r="K559" s="29" t="s">
        <v>50</v>
      </c>
      <c r="L559" s="12" t="s">
        <v>65</v>
      </c>
      <c r="M559" s="11">
        <f t="shared" si="1"/>
        <v>1</v>
      </c>
      <c r="N559" s="18">
        <v>1.0</v>
      </c>
      <c r="O559" s="11"/>
      <c r="P559" s="11"/>
      <c r="Q559" s="11"/>
      <c r="R559" s="11"/>
      <c r="S559" s="11"/>
      <c r="T559" s="11"/>
      <c r="U559" s="11"/>
      <c r="V559" s="12">
        <v>1.0</v>
      </c>
      <c r="W559" s="12">
        <v>1.0</v>
      </c>
      <c r="X559" s="11"/>
      <c r="Y559" s="11"/>
      <c r="Z559" s="14">
        <f t="shared" si="3"/>
        <v>3</v>
      </c>
      <c r="AA559" s="15" t="s">
        <v>106</v>
      </c>
      <c r="AB559" s="14">
        <v>0.7439585056817577</v>
      </c>
    </row>
    <row r="560" ht="14.25" customHeight="1">
      <c r="A560" s="32" t="s">
        <v>1869</v>
      </c>
      <c r="B560" s="32" t="s">
        <v>1870</v>
      </c>
      <c r="C560" s="90" t="s">
        <v>1871</v>
      </c>
      <c r="D560" s="21"/>
      <c r="E560" s="21"/>
      <c r="F560" s="27" t="s">
        <v>140</v>
      </c>
      <c r="G560" s="19" t="s">
        <v>63</v>
      </c>
      <c r="H560" s="23" t="s">
        <v>49</v>
      </c>
      <c r="I560" s="21"/>
      <c r="J560" s="21"/>
      <c r="K560" s="25" t="s">
        <v>50</v>
      </c>
      <c r="L560" s="24" t="s">
        <v>1872</v>
      </c>
      <c r="M560" s="11">
        <f t="shared" si="1"/>
        <v>1</v>
      </c>
      <c r="N560" s="21"/>
      <c r="O560" s="21"/>
      <c r="P560" s="21"/>
      <c r="Q560" s="21"/>
      <c r="R560" s="21"/>
      <c r="S560" s="21"/>
      <c r="T560" s="21"/>
      <c r="U560" s="21"/>
      <c r="V560" s="21"/>
      <c r="W560" s="24">
        <v>1.0</v>
      </c>
      <c r="X560" s="21"/>
      <c r="Y560" s="21"/>
      <c r="Z560" s="14">
        <f t="shared" si="3"/>
        <v>1</v>
      </c>
      <c r="AA560" s="15" t="s">
        <v>106</v>
      </c>
      <c r="AB560" s="14">
        <v>0.7474163936595728</v>
      </c>
    </row>
    <row r="561" ht="14.25" hidden="1" customHeight="1">
      <c r="A561" s="11" t="s">
        <v>1873</v>
      </c>
      <c r="B561" s="11" t="s">
        <v>1874</v>
      </c>
      <c r="C561" s="16" t="s">
        <v>1875</v>
      </c>
      <c r="D561" s="11"/>
      <c r="E561" s="11"/>
      <c r="F561" s="11"/>
      <c r="G561" s="11" t="s">
        <v>78</v>
      </c>
      <c r="H561" s="11"/>
      <c r="I561" s="11"/>
      <c r="J561" s="11"/>
      <c r="K561" s="12" t="s">
        <v>89</v>
      </c>
      <c r="L561" s="12" t="s">
        <v>200</v>
      </c>
      <c r="M561" s="11">
        <f t="shared" si="1"/>
        <v>0</v>
      </c>
      <c r="N561" s="11"/>
      <c r="O561" s="11"/>
      <c r="P561" s="11"/>
      <c r="Q561" s="11"/>
      <c r="R561" s="11"/>
      <c r="S561" s="11"/>
      <c r="T561" s="11"/>
      <c r="U561" s="11"/>
      <c r="V561" s="18"/>
      <c r="W561" s="18">
        <v>1.0</v>
      </c>
      <c r="X561" s="11"/>
      <c r="Y561" s="11"/>
      <c r="Z561" s="14">
        <f t="shared" si="3"/>
        <v>1</v>
      </c>
      <c r="AA561" s="15" t="s">
        <v>52</v>
      </c>
    </row>
    <row r="562" ht="14.25" customHeight="1">
      <c r="A562" s="19" t="s">
        <v>1876</v>
      </c>
      <c r="B562" s="19" t="s">
        <v>1877</v>
      </c>
      <c r="C562" s="20" t="s">
        <v>1878</v>
      </c>
      <c r="D562" s="21"/>
      <c r="E562" s="21"/>
      <c r="F562" s="27" t="s">
        <v>140</v>
      </c>
      <c r="G562" s="19" t="s">
        <v>83</v>
      </c>
      <c r="H562" s="23" t="s">
        <v>486</v>
      </c>
      <c r="I562" s="21"/>
      <c r="J562" s="21"/>
      <c r="K562" s="25" t="s">
        <v>50</v>
      </c>
      <c r="L562" s="24" t="s">
        <v>235</v>
      </c>
      <c r="M562" s="11">
        <f t="shared" si="1"/>
        <v>1</v>
      </c>
      <c r="N562" s="21"/>
      <c r="O562" s="21"/>
      <c r="P562" s="21"/>
      <c r="Q562" s="21"/>
      <c r="R562" s="21"/>
      <c r="S562" s="21"/>
      <c r="T562" s="21"/>
      <c r="U562" s="21"/>
      <c r="V562" s="21"/>
      <c r="W562" s="24">
        <v>1.0</v>
      </c>
      <c r="X562" s="21"/>
      <c r="Y562" s="21"/>
      <c r="Z562" s="14">
        <f t="shared" si="3"/>
        <v>1</v>
      </c>
      <c r="AA562" s="15" t="s">
        <v>91</v>
      </c>
      <c r="AB562" s="14">
        <v>0.7483982616089428</v>
      </c>
    </row>
    <row r="563" ht="14.25" customHeight="1">
      <c r="A563" s="19" t="s">
        <v>1879</v>
      </c>
      <c r="B563" s="19" t="s">
        <v>1676</v>
      </c>
      <c r="C563" s="33" t="s">
        <v>1880</v>
      </c>
      <c r="D563" s="21"/>
      <c r="E563" s="21"/>
      <c r="F563" s="27" t="s">
        <v>171</v>
      </c>
      <c r="G563" s="19" t="s">
        <v>196</v>
      </c>
      <c r="H563" s="23" t="s">
        <v>104</v>
      </c>
      <c r="I563" s="21"/>
      <c r="J563" s="24"/>
      <c r="K563" s="25" t="s">
        <v>50</v>
      </c>
      <c r="L563" s="24" t="s">
        <v>124</v>
      </c>
      <c r="M563" s="11">
        <f t="shared" si="1"/>
        <v>1</v>
      </c>
      <c r="N563" s="21"/>
      <c r="O563" s="21"/>
      <c r="P563" s="21"/>
      <c r="Q563" s="21"/>
      <c r="R563" s="21"/>
      <c r="S563" s="21"/>
      <c r="T563" s="21"/>
      <c r="U563" s="21"/>
      <c r="V563" s="21"/>
      <c r="W563" s="24">
        <v>1.0</v>
      </c>
      <c r="X563" s="21"/>
      <c r="Y563" s="21"/>
      <c r="Z563" s="14">
        <f t="shared" si="3"/>
        <v>1</v>
      </c>
      <c r="AA563" s="15" t="s">
        <v>106</v>
      </c>
      <c r="AB563" s="14">
        <v>0.7514170101648533</v>
      </c>
    </row>
    <row r="564" ht="14.25" customHeight="1">
      <c r="A564" s="11" t="s">
        <v>1881</v>
      </c>
      <c r="B564" s="11" t="s">
        <v>1027</v>
      </c>
      <c r="C564" s="37" t="s">
        <v>1882</v>
      </c>
      <c r="D564" s="12" t="s">
        <v>29</v>
      </c>
      <c r="E564" s="12" t="s">
        <v>29</v>
      </c>
      <c r="F564" s="27" t="s">
        <v>77</v>
      </c>
      <c r="G564" s="11" t="s">
        <v>158</v>
      </c>
      <c r="H564" s="28" t="s">
        <v>1883</v>
      </c>
      <c r="I564" s="11"/>
      <c r="J564" s="11"/>
      <c r="K564" s="29" t="s">
        <v>50</v>
      </c>
      <c r="L564" s="11"/>
      <c r="M564" s="11">
        <f t="shared" si="1"/>
        <v>1</v>
      </c>
      <c r="N564" s="18">
        <v>1.0</v>
      </c>
      <c r="O564" s="11"/>
      <c r="P564" s="18"/>
      <c r="Q564" s="18"/>
      <c r="R564" s="18"/>
      <c r="S564" s="18"/>
      <c r="T564" s="18"/>
      <c r="U564" s="18"/>
      <c r="V564" s="18"/>
      <c r="W564" s="18">
        <v>1.0</v>
      </c>
      <c r="X564" s="18"/>
      <c r="Y564" s="18">
        <v>1.0</v>
      </c>
      <c r="Z564" s="14">
        <f t="shared" si="3"/>
        <v>3</v>
      </c>
      <c r="AA564" s="15" t="s">
        <v>106</v>
      </c>
      <c r="AB564" s="14">
        <v>0.7528443659445235</v>
      </c>
    </row>
    <row r="565" ht="14.25" hidden="1" customHeight="1">
      <c r="A565" s="11" t="s">
        <v>1884</v>
      </c>
      <c r="B565" s="78" t="s">
        <v>1885</v>
      </c>
      <c r="C565" s="42" t="s">
        <v>1886</v>
      </c>
      <c r="D565" s="11"/>
      <c r="E565" s="11"/>
      <c r="F565" s="11"/>
      <c r="G565" s="11" t="s">
        <v>78</v>
      </c>
      <c r="H565" s="11"/>
      <c r="I565" s="11"/>
      <c r="J565" s="11"/>
      <c r="K565" s="12" t="s">
        <v>89</v>
      </c>
      <c r="L565" s="12" t="s">
        <v>43</v>
      </c>
      <c r="M565" s="11">
        <f t="shared" si="1"/>
        <v>0</v>
      </c>
      <c r="N565" s="11"/>
      <c r="O565" s="11"/>
      <c r="P565" s="11"/>
      <c r="Q565" s="11"/>
      <c r="R565" s="11"/>
      <c r="S565" s="11"/>
      <c r="T565" s="11"/>
      <c r="U565" s="11"/>
      <c r="V565" s="31">
        <v>1.0</v>
      </c>
      <c r="W565" s="18">
        <v>1.0</v>
      </c>
      <c r="X565" s="11"/>
      <c r="Y565" s="11"/>
      <c r="Z565" s="14">
        <f t="shared" si="3"/>
        <v>2</v>
      </c>
      <c r="AA565" s="15" t="s">
        <v>52</v>
      </c>
    </row>
    <row r="566" ht="14.25" customHeight="1">
      <c r="A566" s="19" t="s">
        <v>1887</v>
      </c>
      <c r="B566" s="19" t="s">
        <v>1888</v>
      </c>
      <c r="C566" s="33" t="s">
        <v>1889</v>
      </c>
      <c r="D566" s="21"/>
      <c r="E566" s="21"/>
      <c r="F566" s="22" t="s">
        <v>62</v>
      </c>
      <c r="G566" s="19" t="s">
        <v>48</v>
      </c>
      <c r="H566" s="23" t="s">
        <v>1778</v>
      </c>
      <c r="I566" s="21"/>
      <c r="J566" s="24"/>
      <c r="K566" s="25" t="s">
        <v>50</v>
      </c>
      <c r="L566" s="24" t="s">
        <v>65</v>
      </c>
      <c r="M566" s="11">
        <f t="shared" si="1"/>
        <v>1</v>
      </c>
      <c r="N566" s="21"/>
      <c r="O566" s="21"/>
      <c r="P566" s="21"/>
      <c r="Q566" s="21"/>
      <c r="R566" s="21"/>
      <c r="S566" s="21"/>
      <c r="T566" s="21"/>
      <c r="U566" s="21"/>
      <c r="V566" s="21"/>
      <c r="W566" s="24">
        <v>1.0</v>
      </c>
      <c r="X566" s="21"/>
      <c r="Y566" s="21"/>
      <c r="Z566" s="14">
        <f t="shared" si="3"/>
        <v>1</v>
      </c>
      <c r="AA566" s="15" t="s">
        <v>52</v>
      </c>
      <c r="AB566" s="14">
        <v>0.7531430166477632</v>
      </c>
    </row>
    <row r="567" ht="14.25" hidden="1" customHeight="1">
      <c r="A567" s="19" t="s">
        <v>1890</v>
      </c>
      <c r="B567" s="19" t="s">
        <v>743</v>
      </c>
      <c r="C567" s="52" t="s">
        <v>1891</v>
      </c>
      <c r="D567" s="21"/>
      <c r="E567" s="21"/>
      <c r="F567" s="21"/>
      <c r="G567" s="19" t="s">
        <v>68</v>
      </c>
      <c r="H567" s="21"/>
      <c r="I567" s="21"/>
      <c r="J567" s="21"/>
      <c r="K567" s="24" t="s">
        <v>89</v>
      </c>
      <c r="L567" s="24" t="s">
        <v>200</v>
      </c>
      <c r="M567" s="11">
        <f t="shared" si="1"/>
        <v>0</v>
      </c>
      <c r="N567" s="21"/>
      <c r="O567" s="21"/>
      <c r="P567" s="21"/>
      <c r="Q567" s="21"/>
      <c r="R567" s="21"/>
      <c r="S567" s="21"/>
      <c r="T567" s="21"/>
      <c r="U567" s="21"/>
      <c r="V567" s="21"/>
      <c r="W567" s="24">
        <v>1.0</v>
      </c>
      <c r="X567" s="21"/>
      <c r="Y567" s="21"/>
      <c r="Z567" s="14">
        <f t="shared" si="3"/>
        <v>1</v>
      </c>
      <c r="AA567" s="15" t="s">
        <v>52</v>
      </c>
    </row>
    <row r="568" ht="14.25" customHeight="1">
      <c r="A568" s="19" t="s">
        <v>1892</v>
      </c>
      <c r="B568" s="19" t="s">
        <v>1893</v>
      </c>
      <c r="C568" s="59" t="s">
        <v>1894</v>
      </c>
      <c r="D568" s="21"/>
      <c r="E568" s="21"/>
      <c r="F568" s="27" t="s">
        <v>103</v>
      </c>
      <c r="G568" s="19" t="s">
        <v>38</v>
      </c>
      <c r="H568" s="23" t="s">
        <v>104</v>
      </c>
      <c r="I568" s="21"/>
      <c r="J568" s="21"/>
      <c r="K568" s="25" t="s">
        <v>50</v>
      </c>
      <c r="L568" s="24" t="s">
        <v>105</v>
      </c>
      <c r="M568" s="11">
        <f t="shared" si="1"/>
        <v>1</v>
      </c>
      <c r="N568" s="21"/>
      <c r="O568" s="21"/>
      <c r="P568" s="21"/>
      <c r="Q568" s="21"/>
      <c r="R568" s="21"/>
      <c r="S568" s="21"/>
      <c r="T568" s="21"/>
      <c r="U568" s="21"/>
      <c r="V568" s="21"/>
      <c r="W568" s="24">
        <v>1.0</v>
      </c>
      <c r="X568" s="21"/>
      <c r="Y568" s="21"/>
      <c r="Z568" s="14">
        <f t="shared" si="3"/>
        <v>1</v>
      </c>
      <c r="AA568" s="15" t="s">
        <v>52</v>
      </c>
      <c r="AB568" s="14">
        <v>0.7555995330859039</v>
      </c>
    </row>
    <row r="569" ht="14.25" hidden="1" customHeight="1">
      <c r="A569" s="45" t="s">
        <v>1895</v>
      </c>
      <c r="B569" s="45" t="s">
        <v>1896</v>
      </c>
      <c r="C569" s="81" t="s">
        <v>1897</v>
      </c>
      <c r="D569" s="45"/>
      <c r="E569" s="45"/>
      <c r="F569" s="45"/>
      <c r="G569" s="45" t="s">
        <v>48</v>
      </c>
      <c r="H569" s="45"/>
      <c r="I569" s="45"/>
      <c r="J569" s="45"/>
      <c r="K569" s="12" t="s">
        <v>89</v>
      </c>
      <c r="L569" s="24" t="s">
        <v>200</v>
      </c>
      <c r="M569" s="11">
        <f t="shared" si="1"/>
        <v>0</v>
      </c>
      <c r="N569" s="45"/>
      <c r="O569" s="45"/>
      <c r="P569" s="45">
        <v>1.0</v>
      </c>
      <c r="Q569" s="45"/>
      <c r="R569" s="45"/>
      <c r="S569" s="45"/>
      <c r="T569" s="45"/>
      <c r="U569" s="45"/>
      <c r="V569" s="45"/>
      <c r="W569" s="45"/>
      <c r="X569" s="45"/>
      <c r="Y569" s="45"/>
      <c r="Z569" s="14">
        <f t="shared" si="3"/>
        <v>1</v>
      </c>
      <c r="AA569" s="15" t="s">
        <v>52</v>
      </c>
    </row>
    <row r="570" ht="14.25" customHeight="1">
      <c r="A570" s="11" t="s">
        <v>1898</v>
      </c>
      <c r="B570" s="11" t="s">
        <v>1899</v>
      </c>
      <c r="C570" s="38" t="s">
        <v>1900</v>
      </c>
      <c r="D570" s="12" t="s">
        <v>1901</v>
      </c>
      <c r="E570" s="12" t="s">
        <v>29</v>
      </c>
      <c r="F570" s="27" t="s">
        <v>62</v>
      </c>
      <c r="G570" s="11" t="s">
        <v>83</v>
      </c>
      <c r="H570" s="28" t="s">
        <v>1902</v>
      </c>
      <c r="I570" s="11"/>
      <c r="J570" s="11"/>
      <c r="K570" s="29" t="s">
        <v>50</v>
      </c>
      <c r="L570" s="11"/>
      <c r="M570" s="11">
        <f t="shared" si="1"/>
        <v>1</v>
      </c>
      <c r="N570" s="18">
        <v>1.0</v>
      </c>
      <c r="O570" s="11"/>
      <c r="P570" s="11">
        <v>1.0</v>
      </c>
      <c r="Q570" s="12">
        <v>1.0</v>
      </c>
      <c r="R570" s="11"/>
      <c r="S570" s="11"/>
      <c r="T570" s="12">
        <v>1.0</v>
      </c>
      <c r="U570" s="12">
        <v>1.0</v>
      </c>
      <c r="V570" s="31">
        <v>1.0</v>
      </c>
      <c r="W570" s="18">
        <v>1.0</v>
      </c>
      <c r="X570" s="11"/>
      <c r="Y570" s="11"/>
      <c r="Z570" s="14">
        <f t="shared" si="3"/>
        <v>7</v>
      </c>
      <c r="AA570" s="15" t="s">
        <v>91</v>
      </c>
      <c r="AB570" s="14">
        <v>0.7570528000724925</v>
      </c>
    </row>
    <row r="571" ht="14.25" customHeight="1">
      <c r="A571" s="11" t="s">
        <v>1903</v>
      </c>
      <c r="B571" s="11" t="s">
        <v>1904</v>
      </c>
      <c r="C571" s="38" t="s">
        <v>1905</v>
      </c>
      <c r="D571" s="11"/>
      <c r="E571" s="11"/>
      <c r="F571" s="27" t="s">
        <v>62</v>
      </c>
      <c r="G571" s="11" t="s">
        <v>361</v>
      </c>
      <c r="H571" s="28" t="s">
        <v>1906</v>
      </c>
      <c r="I571" s="11"/>
      <c r="J571" s="11"/>
      <c r="K571" s="29" t="s">
        <v>50</v>
      </c>
      <c r="L571" s="12" t="s">
        <v>65</v>
      </c>
      <c r="M571" s="11">
        <f t="shared" si="1"/>
        <v>1</v>
      </c>
      <c r="N571" s="11"/>
      <c r="O571" s="11"/>
      <c r="P571" s="11"/>
      <c r="Q571" s="11"/>
      <c r="R571" s="11"/>
      <c r="S571" s="11"/>
      <c r="T571" s="11"/>
      <c r="U571" s="11"/>
      <c r="V571" s="18"/>
      <c r="W571" s="18">
        <v>1.0</v>
      </c>
      <c r="X571" s="11"/>
      <c r="Y571" s="11"/>
      <c r="Z571" s="14">
        <f t="shared" si="3"/>
        <v>1</v>
      </c>
      <c r="AA571" s="15" t="s">
        <v>52</v>
      </c>
      <c r="AB571" s="14">
        <v>0.757966475595432</v>
      </c>
    </row>
    <row r="572" ht="14.25" customHeight="1">
      <c r="A572" s="11" t="s">
        <v>1907</v>
      </c>
      <c r="B572" s="12" t="s">
        <v>396</v>
      </c>
      <c r="C572" s="37" t="s">
        <v>1908</v>
      </c>
      <c r="D572" s="11"/>
      <c r="E572" s="11"/>
      <c r="F572" s="22" t="s">
        <v>103</v>
      </c>
      <c r="G572" s="11" t="s">
        <v>38</v>
      </c>
      <c r="H572" s="28" t="s">
        <v>1909</v>
      </c>
      <c r="I572" s="11"/>
      <c r="J572" s="11"/>
      <c r="K572" s="29" t="s">
        <v>50</v>
      </c>
      <c r="L572" s="12" t="s">
        <v>152</v>
      </c>
      <c r="M572" s="11">
        <f t="shared" si="1"/>
        <v>1</v>
      </c>
      <c r="N572" s="11"/>
      <c r="O572" s="11"/>
      <c r="P572" s="11"/>
      <c r="Q572" s="11"/>
      <c r="R572" s="11"/>
      <c r="S572" s="11"/>
      <c r="T572" s="11"/>
      <c r="U572" s="11"/>
      <c r="V572" s="18"/>
      <c r="W572" s="18">
        <v>1.0</v>
      </c>
      <c r="X572" s="11"/>
      <c r="Y572" s="11"/>
      <c r="Z572" s="14">
        <f t="shared" si="3"/>
        <v>1</v>
      </c>
      <c r="AA572" s="15" t="s">
        <v>52</v>
      </c>
      <c r="AB572" s="14">
        <v>0.758270493132159</v>
      </c>
    </row>
    <row r="573" ht="14.25" hidden="1" customHeight="1">
      <c r="A573" s="45" t="s">
        <v>1910</v>
      </c>
      <c r="B573" s="45" t="s">
        <v>1911</v>
      </c>
      <c r="C573" s="81" t="s">
        <v>1912</v>
      </c>
      <c r="D573" s="45"/>
      <c r="E573" s="45"/>
      <c r="F573" s="45"/>
      <c r="G573" s="45" t="s">
        <v>48</v>
      </c>
      <c r="H573" s="45"/>
      <c r="I573" s="45"/>
      <c r="J573" s="45"/>
      <c r="K573" s="12" t="s">
        <v>89</v>
      </c>
      <c r="L573" s="24" t="s">
        <v>200</v>
      </c>
      <c r="M573" s="11">
        <f t="shared" si="1"/>
        <v>0</v>
      </c>
      <c r="N573" s="45"/>
      <c r="O573" s="45"/>
      <c r="P573" s="45">
        <v>1.0</v>
      </c>
      <c r="Q573" s="45"/>
      <c r="R573" s="45"/>
      <c r="S573" s="45"/>
      <c r="T573" s="45"/>
      <c r="U573" s="45"/>
      <c r="V573" s="45"/>
      <c r="W573" s="45"/>
      <c r="X573" s="45"/>
      <c r="Y573" s="45"/>
      <c r="Z573" s="14">
        <f t="shared" si="3"/>
        <v>1</v>
      </c>
      <c r="AA573" s="15" t="s">
        <v>52</v>
      </c>
    </row>
    <row r="574" ht="14.25" customHeight="1">
      <c r="A574" s="32" t="s">
        <v>1913</v>
      </c>
      <c r="B574" s="32" t="s">
        <v>1914</v>
      </c>
      <c r="C574" s="91" t="s">
        <v>1915</v>
      </c>
      <c r="D574" s="21"/>
      <c r="E574" s="21"/>
      <c r="F574" s="22" t="s">
        <v>1916</v>
      </c>
      <c r="G574" s="19" t="s">
        <v>38</v>
      </c>
      <c r="H574" s="23" t="s">
        <v>888</v>
      </c>
      <c r="I574" s="21"/>
      <c r="J574" s="24"/>
      <c r="K574" s="25" t="s">
        <v>50</v>
      </c>
      <c r="L574" s="24" t="s">
        <v>105</v>
      </c>
      <c r="M574" s="11">
        <f t="shared" si="1"/>
        <v>1</v>
      </c>
      <c r="N574" s="21"/>
      <c r="O574" s="21"/>
      <c r="P574" s="21"/>
      <c r="Q574" s="21"/>
      <c r="R574" s="21"/>
      <c r="S574" s="21"/>
      <c r="T574" s="21"/>
      <c r="U574" s="21"/>
      <c r="V574" s="21"/>
      <c r="W574" s="24">
        <v>1.0</v>
      </c>
      <c r="X574" s="21"/>
      <c r="Y574" s="21"/>
      <c r="Z574" s="14">
        <f t="shared" si="3"/>
        <v>1</v>
      </c>
      <c r="AA574" s="15" t="s">
        <v>106</v>
      </c>
      <c r="AB574" s="14">
        <v>0.7583408087578871</v>
      </c>
    </row>
    <row r="575" ht="14.25" customHeight="1">
      <c r="A575" s="19" t="s">
        <v>1917</v>
      </c>
      <c r="B575" s="19" t="s">
        <v>1806</v>
      </c>
      <c r="C575" s="35" t="s">
        <v>1918</v>
      </c>
      <c r="D575" s="21"/>
      <c r="E575" s="21"/>
      <c r="F575" s="27" t="s">
        <v>103</v>
      </c>
      <c r="G575" s="19" t="s">
        <v>83</v>
      </c>
      <c r="H575" s="23" t="s">
        <v>1919</v>
      </c>
      <c r="I575" s="21"/>
      <c r="J575" s="24"/>
      <c r="K575" s="25" t="s">
        <v>50</v>
      </c>
      <c r="L575" s="24" t="s">
        <v>152</v>
      </c>
      <c r="M575" s="11">
        <f t="shared" si="1"/>
        <v>1</v>
      </c>
      <c r="N575" s="21"/>
      <c r="O575" s="21"/>
      <c r="P575" s="21"/>
      <c r="Q575" s="21"/>
      <c r="R575" s="21"/>
      <c r="S575" s="21"/>
      <c r="T575" s="21"/>
      <c r="U575" s="21"/>
      <c r="V575" s="21"/>
      <c r="W575" s="24">
        <v>1.0</v>
      </c>
      <c r="X575" s="21"/>
      <c r="Y575" s="21"/>
      <c r="Z575" s="14">
        <f t="shared" si="3"/>
        <v>1</v>
      </c>
      <c r="AA575" s="15" t="s">
        <v>91</v>
      </c>
      <c r="AB575" s="14">
        <v>0.7632869435878866</v>
      </c>
    </row>
    <row r="576" ht="14.25" hidden="1" customHeight="1">
      <c r="A576" s="12" t="s">
        <v>1920</v>
      </c>
      <c r="B576" s="12" t="s">
        <v>1921</v>
      </c>
      <c r="C576" s="30" t="s">
        <v>1922</v>
      </c>
      <c r="D576" s="11"/>
      <c r="E576" s="11"/>
      <c r="F576" s="11"/>
      <c r="G576" s="12" t="s">
        <v>68</v>
      </c>
      <c r="H576" s="11"/>
      <c r="I576" s="11"/>
      <c r="J576" s="12"/>
      <c r="K576" s="12" t="s">
        <v>89</v>
      </c>
      <c r="L576" s="12" t="s">
        <v>69</v>
      </c>
      <c r="M576" s="11">
        <f t="shared" si="1"/>
        <v>0</v>
      </c>
      <c r="N576" s="11"/>
      <c r="O576" s="11"/>
      <c r="P576" s="11"/>
      <c r="Q576" s="11"/>
      <c r="R576" s="11"/>
      <c r="S576" s="12">
        <v>1.0</v>
      </c>
      <c r="T576" s="12"/>
      <c r="U576" s="12"/>
      <c r="V576" s="31"/>
      <c r="W576" s="18"/>
      <c r="X576" s="11"/>
      <c r="Y576" s="11"/>
      <c r="Z576" s="14">
        <f t="shared" si="3"/>
        <v>1</v>
      </c>
      <c r="AA576" s="15" t="s">
        <v>52</v>
      </c>
    </row>
    <row r="577" ht="14.25" customHeight="1">
      <c r="A577" s="11" t="s">
        <v>1923</v>
      </c>
      <c r="B577" s="11" t="s">
        <v>1924</v>
      </c>
      <c r="C577" s="92" t="s">
        <v>1925</v>
      </c>
      <c r="D577" s="11"/>
      <c r="E577" s="11"/>
      <c r="F577" s="27" t="s">
        <v>62</v>
      </c>
      <c r="G577" s="11" t="s">
        <v>1435</v>
      </c>
      <c r="H577" s="28" t="s">
        <v>1926</v>
      </c>
      <c r="I577" s="11"/>
      <c r="J577" s="11"/>
      <c r="K577" s="29" t="s">
        <v>50</v>
      </c>
      <c r="L577" s="12" t="s">
        <v>51</v>
      </c>
      <c r="M577" s="11">
        <f t="shared" si="1"/>
        <v>1</v>
      </c>
      <c r="N577" s="11"/>
      <c r="O577" s="11"/>
      <c r="P577" s="11"/>
      <c r="Q577" s="11"/>
      <c r="R577" s="11"/>
      <c r="S577" s="11"/>
      <c r="T577" s="11"/>
      <c r="U577" s="11"/>
      <c r="V577" s="18"/>
      <c r="W577" s="18">
        <v>1.0</v>
      </c>
      <c r="X577" s="11"/>
      <c r="Y577" s="11"/>
      <c r="Z577" s="14">
        <f t="shared" si="3"/>
        <v>1</v>
      </c>
      <c r="AA577" s="15" t="s">
        <v>52</v>
      </c>
      <c r="AB577" s="14">
        <v>0.7643862867237544</v>
      </c>
    </row>
    <row r="578" ht="14.25" customHeight="1">
      <c r="A578" s="11" t="s">
        <v>1927</v>
      </c>
      <c r="B578" s="11" t="s">
        <v>1928</v>
      </c>
      <c r="C578" s="26" t="s">
        <v>1929</v>
      </c>
      <c r="D578" s="11"/>
      <c r="E578" s="11"/>
      <c r="F578" s="22" t="s">
        <v>405</v>
      </c>
      <c r="G578" s="11" t="s">
        <v>38</v>
      </c>
      <c r="H578" s="28" t="s">
        <v>1930</v>
      </c>
      <c r="I578" s="11"/>
      <c r="J578" s="11"/>
      <c r="K578" s="29" t="s">
        <v>50</v>
      </c>
      <c r="L578" s="12" t="s">
        <v>51</v>
      </c>
      <c r="M578" s="11">
        <f t="shared" si="1"/>
        <v>1</v>
      </c>
      <c r="N578" s="11"/>
      <c r="O578" s="11"/>
      <c r="P578" s="11"/>
      <c r="Q578" s="11"/>
      <c r="R578" s="11"/>
      <c r="S578" s="11"/>
      <c r="T578" s="11"/>
      <c r="U578" s="11"/>
      <c r="V578" s="18"/>
      <c r="W578" s="18">
        <v>1.0</v>
      </c>
      <c r="X578" s="11"/>
      <c r="Y578" s="11"/>
      <c r="Z578" s="14">
        <f t="shared" si="3"/>
        <v>1</v>
      </c>
      <c r="AA578" s="15" t="s">
        <v>106</v>
      </c>
      <c r="AB578" s="14">
        <v>0.7665724531097786</v>
      </c>
    </row>
    <row r="579" ht="14.25" hidden="1" customHeight="1">
      <c r="A579" s="12" t="s">
        <v>1931</v>
      </c>
      <c r="B579" s="12" t="s">
        <v>1932</v>
      </c>
      <c r="C579" s="30" t="s">
        <v>1933</v>
      </c>
      <c r="D579" s="11"/>
      <c r="E579" s="11"/>
      <c r="F579" s="11"/>
      <c r="G579" s="12" t="s">
        <v>68</v>
      </c>
      <c r="H579" s="11"/>
      <c r="I579" s="11"/>
      <c r="J579" s="12"/>
      <c r="K579" s="12" t="s">
        <v>89</v>
      </c>
      <c r="L579" s="12" t="s">
        <v>69</v>
      </c>
      <c r="M579" s="11">
        <f t="shared" si="1"/>
        <v>0</v>
      </c>
      <c r="N579" s="11"/>
      <c r="O579" s="11"/>
      <c r="P579" s="11"/>
      <c r="Q579" s="11"/>
      <c r="R579" s="11"/>
      <c r="S579" s="12">
        <v>1.0</v>
      </c>
      <c r="T579" s="12"/>
      <c r="U579" s="12"/>
      <c r="V579" s="31"/>
      <c r="W579" s="18"/>
      <c r="X579" s="11"/>
      <c r="Y579" s="11"/>
      <c r="Z579" s="14">
        <f t="shared" si="3"/>
        <v>1</v>
      </c>
      <c r="AA579" s="15" t="s">
        <v>52</v>
      </c>
    </row>
    <row r="580" ht="14.25" customHeight="1">
      <c r="A580" s="19" t="s">
        <v>1934</v>
      </c>
      <c r="B580" s="19" t="s">
        <v>310</v>
      </c>
      <c r="C580" s="33" t="s">
        <v>1935</v>
      </c>
      <c r="D580" s="21"/>
      <c r="E580" s="21"/>
      <c r="F580" s="27" t="s">
        <v>56</v>
      </c>
      <c r="G580" s="19" t="s">
        <v>83</v>
      </c>
      <c r="H580" s="23" t="s">
        <v>616</v>
      </c>
      <c r="I580" s="21"/>
      <c r="J580" s="24"/>
      <c r="K580" s="25" t="s">
        <v>50</v>
      </c>
      <c r="L580" s="24" t="s">
        <v>407</v>
      </c>
      <c r="M580" s="11">
        <f t="shared" si="1"/>
        <v>1</v>
      </c>
      <c r="N580" s="21"/>
      <c r="O580" s="21"/>
      <c r="P580" s="21"/>
      <c r="Q580" s="21"/>
      <c r="R580" s="21"/>
      <c r="S580" s="21"/>
      <c r="T580" s="21"/>
      <c r="U580" s="21"/>
      <c r="V580" s="21"/>
      <c r="W580" s="24">
        <v>1.0</v>
      </c>
      <c r="X580" s="21"/>
      <c r="Y580" s="21"/>
      <c r="Z580" s="14">
        <f t="shared" si="3"/>
        <v>1</v>
      </c>
      <c r="AA580" s="15" t="s">
        <v>91</v>
      </c>
      <c r="AB580" s="14">
        <v>0.7666250063595935</v>
      </c>
    </row>
    <row r="581" ht="14.25" hidden="1" customHeight="1">
      <c r="A581" s="11" t="s">
        <v>1936</v>
      </c>
      <c r="B581" s="11" t="s">
        <v>1210</v>
      </c>
      <c r="C581" s="42" t="s">
        <v>1937</v>
      </c>
      <c r="D581" s="11"/>
      <c r="E581" s="11"/>
      <c r="F581" s="11"/>
      <c r="G581" s="11" t="s">
        <v>1210</v>
      </c>
      <c r="H581" s="11"/>
      <c r="I581" s="11"/>
      <c r="J581" s="11"/>
      <c r="K581" s="12" t="s">
        <v>89</v>
      </c>
      <c r="L581" s="11" t="s">
        <v>69</v>
      </c>
      <c r="M581" s="11">
        <f t="shared" si="1"/>
        <v>0</v>
      </c>
      <c r="N581" s="11"/>
      <c r="O581" s="11"/>
      <c r="P581" s="11"/>
      <c r="Q581" s="11"/>
      <c r="R581" s="11"/>
      <c r="S581" s="11"/>
      <c r="T581" s="11"/>
      <c r="U581" s="11"/>
      <c r="V581" s="18"/>
      <c r="W581" s="18">
        <v>1.0</v>
      </c>
      <c r="X581" s="11"/>
      <c r="Y581" s="11"/>
      <c r="Z581" s="14">
        <f t="shared" si="3"/>
        <v>1</v>
      </c>
      <c r="AA581" s="15" t="s">
        <v>52</v>
      </c>
    </row>
    <row r="582" ht="14.25" hidden="1" customHeight="1">
      <c r="A582" s="11" t="s">
        <v>1938</v>
      </c>
      <c r="B582" s="11" t="s">
        <v>1939</v>
      </c>
      <c r="C582" s="42" t="s">
        <v>1940</v>
      </c>
      <c r="D582" s="11"/>
      <c r="E582" s="11"/>
      <c r="F582" s="11"/>
      <c r="G582" s="11" t="s">
        <v>1210</v>
      </c>
      <c r="H582" s="11"/>
      <c r="I582" s="11"/>
      <c r="J582" s="11"/>
      <c r="K582" s="12" t="s">
        <v>89</v>
      </c>
      <c r="L582" s="11" t="s">
        <v>69</v>
      </c>
      <c r="M582" s="11">
        <f t="shared" si="1"/>
        <v>0</v>
      </c>
      <c r="N582" s="11"/>
      <c r="O582" s="11"/>
      <c r="P582" s="11"/>
      <c r="Q582" s="11"/>
      <c r="R582" s="11"/>
      <c r="S582" s="11"/>
      <c r="T582" s="11"/>
      <c r="U582" s="11"/>
      <c r="V582" s="18"/>
      <c r="W582" s="18">
        <v>1.0</v>
      </c>
      <c r="X582" s="11"/>
      <c r="Y582" s="11"/>
      <c r="Z582" s="14">
        <f t="shared" si="3"/>
        <v>1</v>
      </c>
      <c r="AA582" s="15" t="s">
        <v>52</v>
      </c>
    </row>
    <row r="583" ht="14.25" customHeight="1">
      <c r="A583" s="11" t="s">
        <v>1941</v>
      </c>
      <c r="B583" s="11" t="s">
        <v>322</v>
      </c>
      <c r="C583" s="37" t="s">
        <v>1942</v>
      </c>
      <c r="D583" s="11"/>
      <c r="E583" s="11"/>
      <c r="F583" s="27" t="s">
        <v>140</v>
      </c>
      <c r="G583" s="11" t="s">
        <v>196</v>
      </c>
      <c r="H583" s="28" t="s">
        <v>172</v>
      </c>
      <c r="I583" s="11"/>
      <c r="J583" s="11"/>
      <c r="K583" s="29" t="s">
        <v>50</v>
      </c>
      <c r="L583" s="12" t="s">
        <v>51</v>
      </c>
      <c r="M583" s="11">
        <f t="shared" si="1"/>
        <v>1</v>
      </c>
      <c r="N583" s="11"/>
      <c r="O583" s="11"/>
      <c r="P583" s="11"/>
      <c r="Q583" s="11"/>
      <c r="R583" s="11"/>
      <c r="S583" s="11"/>
      <c r="T583" s="11"/>
      <c r="U583" s="11"/>
      <c r="V583" s="18"/>
      <c r="W583" s="31">
        <v>0.0</v>
      </c>
      <c r="X583" s="11"/>
      <c r="Y583" s="11"/>
      <c r="Z583" s="14">
        <f t="shared" si="3"/>
        <v>0</v>
      </c>
      <c r="AA583" s="15" t="s">
        <v>106</v>
      </c>
      <c r="AB583" s="14">
        <v>0.7671292794227818</v>
      </c>
    </row>
    <row r="584" ht="14.25" hidden="1" customHeight="1">
      <c r="A584" s="11" t="s">
        <v>1943</v>
      </c>
      <c r="B584" s="11" t="s">
        <v>1944</v>
      </c>
      <c r="C584" s="16" t="s">
        <v>1945</v>
      </c>
      <c r="D584" s="11"/>
      <c r="E584" s="11"/>
      <c r="F584" s="11"/>
      <c r="G584" s="11" t="s">
        <v>68</v>
      </c>
      <c r="H584" s="11"/>
      <c r="I584" s="11"/>
      <c r="J584" s="11"/>
      <c r="K584" s="12" t="s">
        <v>89</v>
      </c>
      <c r="L584" s="12" t="s">
        <v>69</v>
      </c>
      <c r="M584" s="11">
        <f t="shared" si="1"/>
        <v>0</v>
      </c>
      <c r="N584" s="11"/>
      <c r="O584" s="18">
        <v>1.0</v>
      </c>
      <c r="P584" s="11"/>
      <c r="Q584" s="11"/>
      <c r="R584" s="11"/>
      <c r="S584" s="11"/>
      <c r="T584" s="12">
        <v>1.0</v>
      </c>
      <c r="U584" s="12"/>
      <c r="V584" s="18"/>
      <c r="W584" s="18">
        <v>1.0</v>
      </c>
      <c r="X584" s="11"/>
      <c r="Y584" s="11"/>
      <c r="Z584" s="14">
        <f t="shared" si="3"/>
        <v>3</v>
      </c>
      <c r="AA584" s="15" t="s">
        <v>52</v>
      </c>
    </row>
    <row r="585" ht="14.25" customHeight="1">
      <c r="A585" s="11" t="s">
        <v>1946</v>
      </c>
      <c r="B585" s="11" t="s">
        <v>738</v>
      </c>
      <c r="C585" s="26" t="s">
        <v>1947</v>
      </c>
      <c r="D585" s="11"/>
      <c r="E585" s="11"/>
      <c r="F585" s="27" t="s">
        <v>77</v>
      </c>
      <c r="G585" s="11" t="s">
        <v>740</v>
      </c>
      <c r="H585" s="28" t="s">
        <v>1948</v>
      </c>
      <c r="I585" s="11"/>
      <c r="J585" s="11"/>
      <c r="K585" s="29" t="s">
        <v>50</v>
      </c>
      <c r="L585" s="12" t="s">
        <v>51</v>
      </c>
      <c r="M585" s="11">
        <f t="shared" si="1"/>
        <v>1</v>
      </c>
      <c r="N585" s="11"/>
      <c r="O585" s="11"/>
      <c r="P585" s="11"/>
      <c r="Q585" s="11"/>
      <c r="R585" s="11"/>
      <c r="S585" s="11"/>
      <c r="T585" s="11"/>
      <c r="U585" s="11"/>
      <c r="V585" s="18"/>
      <c r="W585" s="18">
        <v>1.0</v>
      </c>
      <c r="X585" s="11"/>
      <c r="Y585" s="11"/>
      <c r="Z585" s="14">
        <f t="shared" si="3"/>
        <v>1</v>
      </c>
      <c r="AA585" s="15" t="s">
        <v>52</v>
      </c>
      <c r="AB585" s="14">
        <v>0.7675059108787343</v>
      </c>
    </row>
    <row r="586" ht="14.25" customHeight="1">
      <c r="A586" s="19" t="s">
        <v>1949</v>
      </c>
      <c r="B586" s="19" t="s">
        <v>1950</v>
      </c>
      <c r="C586" s="20" t="s">
        <v>1951</v>
      </c>
      <c r="D586" s="21"/>
      <c r="E586" s="21"/>
      <c r="F586" s="22" t="s">
        <v>103</v>
      </c>
      <c r="G586" s="19" t="s">
        <v>38</v>
      </c>
      <c r="H586" s="23" t="s">
        <v>1952</v>
      </c>
      <c r="I586" s="21"/>
      <c r="J586" s="21"/>
      <c r="K586" s="25" t="s">
        <v>50</v>
      </c>
      <c r="L586" s="24" t="s">
        <v>330</v>
      </c>
      <c r="M586" s="11">
        <f t="shared" si="1"/>
        <v>1</v>
      </c>
      <c r="N586" s="21"/>
      <c r="O586" s="21"/>
      <c r="P586" s="21"/>
      <c r="Q586" s="21"/>
      <c r="R586" s="21"/>
      <c r="S586" s="21"/>
      <c r="T586" s="21"/>
      <c r="U586" s="21"/>
      <c r="V586" s="21"/>
      <c r="W586" s="24">
        <v>1.0</v>
      </c>
      <c r="X586" s="21"/>
      <c r="Y586" s="21"/>
      <c r="Z586" s="14">
        <f t="shared" si="3"/>
        <v>1</v>
      </c>
      <c r="AA586" s="15" t="s">
        <v>52</v>
      </c>
      <c r="AB586" s="14">
        <v>0.7681458562046307</v>
      </c>
    </row>
    <row r="587" ht="14.25" customHeight="1">
      <c r="A587" s="11" t="s">
        <v>1953</v>
      </c>
      <c r="B587" s="11" t="s">
        <v>1954</v>
      </c>
      <c r="C587" s="38" t="s">
        <v>1955</v>
      </c>
      <c r="D587" s="12" t="s">
        <v>29</v>
      </c>
      <c r="E587" s="12" t="s">
        <v>29</v>
      </c>
      <c r="F587" s="27" t="s">
        <v>95</v>
      </c>
      <c r="G587" s="11" t="s">
        <v>1255</v>
      </c>
      <c r="H587" s="28" t="s">
        <v>1402</v>
      </c>
      <c r="I587" s="11"/>
      <c r="J587" s="11"/>
      <c r="K587" s="29" t="s">
        <v>50</v>
      </c>
      <c r="L587" s="11"/>
      <c r="M587" s="11">
        <f t="shared" si="1"/>
        <v>1</v>
      </c>
      <c r="N587" s="11"/>
      <c r="O587" s="18">
        <v>1.0</v>
      </c>
      <c r="P587" s="11"/>
      <c r="Q587" s="11"/>
      <c r="R587" s="11"/>
      <c r="S587" s="12">
        <v>1.0</v>
      </c>
      <c r="T587" s="12">
        <v>1.0</v>
      </c>
      <c r="U587" s="12"/>
      <c r="V587" s="31">
        <v>1.0</v>
      </c>
      <c r="W587" s="18">
        <v>1.0</v>
      </c>
      <c r="X587" s="11"/>
      <c r="Y587" s="11"/>
      <c r="Z587" s="14">
        <f t="shared" si="3"/>
        <v>5</v>
      </c>
      <c r="AA587" s="15" t="s">
        <v>106</v>
      </c>
      <c r="AB587" s="14">
        <v>0.7682500350017929</v>
      </c>
    </row>
    <row r="588" ht="14.25" hidden="1" customHeight="1">
      <c r="A588" s="11" t="s">
        <v>1956</v>
      </c>
      <c r="B588" s="11" t="s">
        <v>1957</v>
      </c>
      <c r="C588" s="42" t="s">
        <v>1958</v>
      </c>
      <c r="D588" s="11"/>
      <c r="E588" s="11"/>
      <c r="F588" s="11"/>
      <c r="G588" s="11" t="s">
        <v>68</v>
      </c>
      <c r="H588" s="11"/>
      <c r="I588" s="11"/>
      <c r="J588" s="11"/>
      <c r="K588" s="12" t="s">
        <v>89</v>
      </c>
      <c r="L588" s="12" t="s">
        <v>69</v>
      </c>
      <c r="M588" s="11">
        <f t="shared" si="1"/>
        <v>0</v>
      </c>
      <c r="N588" s="11"/>
      <c r="O588" s="11"/>
      <c r="P588" s="11"/>
      <c r="Q588" s="11"/>
      <c r="R588" s="11"/>
      <c r="S588" s="11"/>
      <c r="T588" s="11"/>
      <c r="U588" s="11"/>
      <c r="V588" s="18"/>
      <c r="W588" s="18">
        <v>1.0</v>
      </c>
      <c r="X588" s="11"/>
      <c r="Y588" s="11"/>
      <c r="Z588" s="14">
        <f t="shared" si="3"/>
        <v>1</v>
      </c>
      <c r="AA588" s="15" t="s">
        <v>52</v>
      </c>
    </row>
    <row r="589" ht="14.25" customHeight="1">
      <c r="A589" s="11" t="s">
        <v>1959</v>
      </c>
      <c r="B589" s="11" t="s">
        <v>1960</v>
      </c>
      <c r="C589" s="26" t="s">
        <v>1961</v>
      </c>
      <c r="D589" s="11"/>
      <c r="E589" s="11"/>
      <c r="F589" s="27" t="s">
        <v>140</v>
      </c>
      <c r="G589" s="11" t="s">
        <v>822</v>
      </c>
      <c r="H589" s="28" t="s">
        <v>1962</v>
      </c>
      <c r="I589" s="11"/>
      <c r="J589" s="11"/>
      <c r="K589" s="29" t="s">
        <v>50</v>
      </c>
      <c r="L589" s="12" t="s">
        <v>111</v>
      </c>
      <c r="M589" s="11">
        <f t="shared" si="1"/>
        <v>1</v>
      </c>
      <c r="N589" s="11"/>
      <c r="O589" s="11"/>
      <c r="P589" s="11"/>
      <c r="Q589" s="11"/>
      <c r="R589" s="11"/>
      <c r="S589" s="11"/>
      <c r="T589" s="11"/>
      <c r="U589" s="11"/>
      <c r="V589" s="31">
        <v>1.0</v>
      </c>
      <c r="W589" s="18">
        <v>1.0</v>
      </c>
      <c r="X589" s="11"/>
      <c r="Y589" s="11"/>
      <c r="Z589" s="14">
        <f t="shared" si="3"/>
        <v>2</v>
      </c>
      <c r="AA589" s="15" t="s">
        <v>106</v>
      </c>
      <c r="AB589" s="14">
        <v>0.7720859831218554</v>
      </c>
    </row>
    <row r="590" ht="14.25" hidden="1" customHeight="1">
      <c r="A590" s="11" t="s">
        <v>1963</v>
      </c>
      <c r="B590" s="11" t="s">
        <v>1964</v>
      </c>
      <c r="C590" s="42" t="s">
        <v>1965</v>
      </c>
      <c r="D590" s="11"/>
      <c r="E590" s="11"/>
      <c r="F590" s="11"/>
      <c r="G590" s="11" t="s">
        <v>204</v>
      </c>
      <c r="H590" s="11"/>
      <c r="I590" s="11"/>
      <c r="J590" s="11"/>
      <c r="K590" s="12" t="s">
        <v>89</v>
      </c>
      <c r="L590" s="12" t="s">
        <v>43</v>
      </c>
      <c r="M590" s="11">
        <f t="shared" si="1"/>
        <v>0</v>
      </c>
      <c r="N590" s="11"/>
      <c r="O590" s="11"/>
      <c r="P590" s="11"/>
      <c r="Q590" s="11"/>
      <c r="R590" s="11"/>
      <c r="S590" s="11"/>
      <c r="T590" s="11"/>
      <c r="U590" s="11"/>
      <c r="V590" s="18"/>
      <c r="W590" s="18">
        <v>1.0</v>
      </c>
      <c r="X590" s="11"/>
      <c r="Y590" s="11"/>
      <c r="Z590" s="14">
        <f t="shared" si="3"/>
        <v>1</v>
      </c>
      <c r="AA590" s="15" t="s">
        <v>52</v>
      </c>
    </row>
    <row r="591" ht="14.25" customHeight="1">
      <c r="A591" s="11" t="s">
        <v>1966</v>
      </c>
      <c r="B591" s="11" t="s">
        <v>1967</v>
      </c>
      <c r="C591" s="26" t="s">
        <v>1968</v>
      </c>
      <c r="D591" s="11"/>
      <c r="E591" s="11"/>
      <c r="F591" s="27" t="s">
        <v>77</v>
      </c>
      <c r="G591" s="11" t="s">
        <v>1040</v>
      </c>
      <c r="H591" s="28" t="s">
        <v>878</v>
      </c>
      <c r="I591" s="11"/>
      <c r="J591" s="11"/>
      <c r="K591" s="29" t="s">
        <v>50</v>
      </c>
      <c r="L591" s="12" t="s">
        <v>51</v>
      </c>
      <c r="M591" s="11">
        <f t="shared" si="1"/>
        <v>1</v>
      </c>
      <c r="N591" s="11"/>
      <c r="O591" s="11"/>
      <c r="P591" s="11"/>
      <c r="Q591" s="11"/>
      <c r="R591" s="11"/>
      <c r="S591" s="11"/>
      <c r="T591" s="11"/>
      <c r="U591" s="11"/>
      <c r="V591" s="18"/>
      <c r="W591" s="18">
        <v>1.0</v>
      </c>
      <c r="X591" s="11"/>
      <c r="Y591" s="11"/>
      <c r="Z591" s="14">
        <f t="shared" si="3"/>
        <v>1</v>
      </c>
      <c r="AA591" s="15" t="s">
        <v>52</v>
      </c>
      <c r="AB591" s="14">
        <v>0.7721385363716703</v>
      </c>
    </row>
    <row r="592" ht="14.25" customHeight="1">
      <c r="A592" s="11" t="s">
        <v>1969</v>
      </c>
      <c r="B592" s="11" t="s">
        <v>178</v>
      </c>
      <c r="C592" s="26" t="s">
        <v>1970</v>
      </c>
      <c r="D592" s="11"/>
      <c r="E592" s="11"/>
      <c r="F592" s="27" t="s">
        <v>56</v>
      </c>
      <c r="G592" s="19" t="s">
        <v>83</v>
      </c>
      <c r="H592" s="28" t="s">
        <v>1971</v>
      </c>
      <c r="I592" s="11"/>
      <c r="J592" s="11"/>
      <c r="K592" s="29" t="s">
        <v>50</v>
      </c>
      <c r="L592" s="12" t="s">
        <v>51</v>
      </c>
      <c r="M592" s="11">
        <f t="shared" si="1"/>
        <v>1</v>
      </c>
      <c r="N592" s="11"/>
      <c r="O592" s="11"/>
      <c r="P592" s="11"/>
      <c r="Q592" s="11"/>
      <c r="R592" s="11"/>
      <c r="S592" s="11"/>
      <c r="T592" s="11"/>
      <c r="U592" s="11"/>
      <c r="V592" s="18"/>
      <c r="W592" s="18">
        <v>1.0</v>
      </c>
      <c r="X592" s="11"/>
      <c r="Y592" s="11"/>
      <c r="Z592" s="14">
        <f t="shared" si="3"/>
        <v>1</v>
      </c>
      <c r="AA592" s="15" t="s">
        <v>106</v>
      </c>
      <c r="AB592" s="14">
        <v>0.7748700312855027</v>
      </c>
    </row>
    <row r="593" ht="14.25" customHeight="1">
      <c r="A593" s="19" t="s">
        <v>1972</v>
      </c>
      <c r="B593" s="19" t="s">
        <v>396</v>
      </c>
      <c r="C593" s="35" t="s">
        <v>1973</v>
      </c>
      <c r="D593" s="21"/>
      <c r="E593" s="21"/>
      <c r="F593" s="22" t="s">
        <v>103</v>
      </c>
      <c r="G593" s="19" t="s">
        <v>38</v>
      </c>
      <c r="H593" s="23" t="s">
        <v>1974</v>
      </c>
      <c r="I593" s="21"/>
      <c r="J593" s="21"/>
      <c r="K593" s="25" t="s">
        <v>50</v>
      </c>
      <c r="L593" s="24" t="s">
        <v>51</v>
      </c>
      <c r="M593" s="11">
        <f t="shared" si="1"/>
        <v>1</v>
      </c>
      <c r="N593" s="21"/>
      <c r="O593" s="21"/>
      <c r="P593" s="21"/>
      <c r="Q593" s="21"/>
      <c r="R593" s="21"/>
      <c r="S593" s="21"/>
      <c r="T593" s="21"/>
      <c r="U593" s="21"/>
      <c r="V593" s="21"/>
      <c r="W593" s="24">
        <v>1.0</v>
      </c>
      <c r="X593" s="21"/>
      <c r="Y593" s="21"/>
      <c r="Z593" s="14">
        <f t="shared" si="3"/>
        <v>1</v>
      </c>
      <c r="AA593" s="15" t="s">
        <v>52</v>
      </c>
      <c r="AB593" s="14">
        <v>0.7778559274870334</v>
      </c>
      <c r="AE593" s="93"/>
    </row>
    <row r="594" ht="14.25" hidden="1" customHeight="1">
      <c r="A594" s="11" t="s">
        <v>1975</v>
      </c>
      <c r="B594" s="11" t="s">
        <v>1976</v>
      </c>
      <c r="C594" s="16" t="s">
        <v>1977</v>
      </c>
      <c r="D594" s="11"/>
      <c r="E594" s="11"/>
      <c r="F594" s="11"/>
      <c r="G594" s="11" t="s">
        <v>38</v>
      </c>
      <c r="H594" s="11"/>
      <c r="I594" s="11"/>
      <c r="J594" s="12"/>
      <c r="K594" s="12" t="s">
        <v>89</v>
      </c>
      <c r="L594" s="12" t="s">
        <v>43</v>
      </c>
      <c r="M594" s="11">
        <f t="shared" si="1"/>
        <v>0</v>
      </c>
      <c r="N594" s="11"/>
      <c r="O594" s="18">
        <v>1.0</v>
      </c>
      <c r="P594" s="11"/>
      <c r="Q594" s="11"/>
      <c r="R594" s="11"/>
      <c r="S594" s="11"/>
      <c r="T594" s="12">
        <v>1.0</v>
      </c>
      <c r="U594" s="12"/>
      <c r="V594" s="11"/>
      <c r="W594" s="11"/>
      <c r="X594" s="11"/>
      <c r="Y594" s="11"/>
      <c r="Z594" s="14">
        <f t="shared" si="3"/>
        <v>2</v>
      </c>
      <c r="AA594" s="15" t="s">
        <v>52</v>
      </c>
    </row>
    <row r="595" ht="14.25" customHeight="1">
      <c r="A595" s="11" t="s">
        <v>1978</v>
      </c>
      <c r="B595" s="11" t="s">
        <v>1979</v>
      </c>
      <c r="C595" s="37" t="s">
        <v>1980</v>
      </c>
      <c r="D595" s="11"/>
      <c r="E595" s="11"/>
      <c r="F595" s="27" t="s">
        <v>171</v>
      </c>
      <c r="G595" s="11" t="s">
        <v>38</v>
      </c>
      <c r="H595" s="28" t="s">
        <v>1416</v>
      </c>
      <c r="I595" s="11"/>
      <c r="J595" s="11"/>
      <c r="K595" s="29" t="s">
        <v>50</v>
      </c>
      <c r="L595" s="12" t="s">
        <v>105</v>
      </c>
      <c r="M595" s="11">
        <f t="shared" si="1"/>
        <v>1</v>
      </c>
      <c r="N595" s="18">
        <v>1.0</v>
      </c>
      <c r="O595" s="11"/>
      <c r="P595" s="11"/>
      <c r="Q595" s="11"/>
      <c r="R595" s="11"/>
      <c r="S595" s="11"/>
      <c r="T595" s="11"/>
      <c r="U595" s="11"/>
      <c r="V595" s="12">
        <v>1.0</v>
      </c>
      <c r="W595" s="12">
        <v>1.0</v>
      </c>
      <c r="X595" s="11"/>
      <c r="Y595" s="11"/>
      <c r="Z595" s="14">
        <f t="shared" si="3"/>
        <v>3</v>
      </c>
      <c r="AA595" s="15" t="s">
        <v>52</v>
      </c>
      <c r="AB595" s="14">
        <v>0.7801803435869514</v>
      </c>
    </row>
    <row r="596" ht="14.25" customHeight="1">
      <c r="A596" s="32" t="s">
        <v>1981</v>
      </c>
      <c r="B596" s="19" t="s">
        <v>602</v>
      </c>
      <c r="C596" s="94" t="s">
        <v>1982</v>
      </c>
      <c r="D596" s="21"/>
      <c r="E596" s="21"/>
      <c r="F596" s="27" t="s">
        <v>103</v>
      </c>
      <c r="G596" s="19" t="s">
        <v>38</v>
      </c>
      <c r="H596" s="23" t="s">
        <v>1983</v>
      </c>
      <c r="I596" s="21"/>
      <c r="J596" s="21"/>
      <c r="K596" s="25" t="s">
        <v>58</v>
      </c>
      <c r="L596" s="24" t="s">
        <v>1480</v>
      </c>
      <c r="M596" s="11">
        <f t="shared" si="1"/>
        <v>1</v>
      </c>
      <c r="N596" s="21"/>
      <c r="O596" s="21"/>
      <c r="P596" s="21"/>
      <c r="Q596" s="21"/>
      <c r="R596" s="21"/>
      <c r="S596" s="21"/>
      <c r="T596" s="21"/>
      <c r="U596" s="21"/>
      <c r="V596" s="21"/>
      <c r="W596" s="24">
        <v>1.0</v>
      </c>
      <c r="X596" s="21"/>
      <c r="Y596" s="21"/>
      <c r="Z596" s="14">
        <f t="shared" si="3"/>
        <v>1</v>
      </c>
      <c r="AA596" s="15" t="s">
        <v>33</v>
      </c>
      <c r="AB596" s="14">
        <v>0.7819837787440884</v>
      </c>
    </row>
    <row r="597" ht="14.25" hidden="1" customHeight="1">
      <c r="A597" s="12" t="s">
        <v>1984</v>
      </c>
      <c r="B597" s="12" t="s">
        <v>1985</v>
      </c>
      <c r="C597" s="51" t="s">
        <v>1986</v>
      </c>
      <c r="D597" s="11"/>
      <c r="E597" s="11"/>
      <c r="F597" s="11"/>
      <c r="G597" s="11"/>
      <c r="H597" s="11"/>
      <c r="I597" s="11"/>
      <c r="J597" s="11"/>
      <c r="K597" s="12" t="s">
        <v>89</v>
      </c>
      <c r="L597" s="12" t="s">
        <v>252</v>
      </c>
      <c r="M597" s="11">
        <f t="shared" si="1"/>
        <v>0</v>
      </c>
      <c r="N597" s="11"/>
      <c r="O597" s="11"/>
      <c r="P597" s="11"/>
      <c r="Q597" s="11"/>
      <c r="R597" s="11"/>
      <c r="S597" s="12">
        <v>1.0</v>
      </c>
      <c r="T597" s="12"/>
      <c r="U597" s="12"/>
      <c r="V597" s="18"/>
      <c r="W597" s="18"/>
      <c r="X597" s="11"/>
      <c r="Y597" s="11"/>
      <c r="Z597" s="14">
        <f t="shared" si="3"/>
        <v>1</v>
      </c>
      <c r="AA597" s="15" t="s">
        <v>52</v>
      </c>
    </row>
    <row r="598" ht="14.25" customHeight="1">
      <c r="A598" s="11" t="s">
        <v>1987</v>
      </c>
      <c r="B598" s="11" t="s">
        <v>1988</v>
      </c>
      <c r="C598" s="37" t="s">
        <v>1989</v>
      </c>
      <c r="D598" s="11"/>
      <c r="E598" s="11"/>
      <c r="F598" s="27" t="s">
        <v>140</v>
      </c>
      <c r="G598" s="11" t="s">
        <v>78</v>
      </c>
      <c r="H598" s="28" t="s">
        <v>1990</v>
      </c>
      <c r="I598" s="11"/>
      <c r="J598" s="11"/>
      <c r="K598" s="29" t="s">
        <v>50</v>
      </c>
      <c r="L598" s="12" t="s">
        <v>152</v>
      </c>
      <c r="M598" s="11">
        <f t="shared" si="1"/>
        <v>1</v>
      </c>
      <c r="N598" s="18">
        <v>1.0</v>
      </c>
      <c r="O598" s="11"/>
      <c r="P598" s="11"/>
      <c r="Q598" s="11"/>
      <c r="R598" s="11"/>
      <c r="S598" s="11"/>
      <c r="T598" s="11"/>
      <c r="U598" s="11"/>
      <c r="V598" s="11"/>
      <c r="W598" s="12">
        <v>1.0</v>
      </c>
      <c r="X598" s="11"/>
      <c r="Y598" s="11"/>
      <c r="Z598" s="14">
        <f t="shared" si="3"/>
        <v>2</v>
      </c>
      <c r="AA598" s="15" t="s">
        <v>52</v>
      </c>
      <c r="AB598" s="14">
        <v>0.782451377759805</v>
      </c>
    </row>
    <row r="599" ht="14.25" customHeight="1">
      <c r="A599" s="11" t="s">
        <v>1991</v>
      </c>
      <c r="B599" s="12" t="s">
        <v>602</v>
      </c>
      <c r="C599" s="37" t="s">
        <v>1992</v>
      </c>
      <c r="D599" s="12" t="s">
        <v>29</v>
      </c>
      <c r="E599" s="12" t="s">
        <v>29</v>
      </c>
      <c r="F599" s="27" t="s">
        <v>103</v>
      </c>
      <c r="G599" s="11" t="s">
        <v>38</v>
      </c>
      <c r="H599" s="28" t="s">
        <v>1993</v>
      </c>
      <c r="I599" s="11"/>
      <c r="J599" s="11"/>
      <c r="K599" s="29" t="s">
        <v>50</v>
      </c>
      <c r="L599" s="11"/>
      <c r="M599" s="11">
        <f t="shared" si="1"/>
        <v>1</v>
      </c>
      <c r="N599" s="11"/>
      <c r="O599" s="18">
        <v>1.0</v>
      </c>
      <c r="P599" s="11"/>
      <c r="Q599" s="12">
        <v>1.0</v>
      </c>
      <c r="R599" s="11"/>
      <c r="S599" s="12">
        <v>1.0</v>
      </c>
      <c r="T599" s="12">
        <v>1.0</v>
      </c>
      <c r="U599" s="12"/>
      <c r="V599" s="31">
        <v>1.0</v>
      </c>
      <c r="W599" s="18">
        <v>1.0</v>
      </c>
      <c r="X599" s="11"/>
      <c r="Y599" s="11"/>
      <c r="Z599" s="14">
        <f t="shared" si="3"/>
        <v>6</v>
      </c>
      <c r="AA599" s="15" t="s">
        <v>106</v>
      </c>
      <c r="AB599" s="14">
        <v>0.7847930835279374</v>
      </c>
    </row>
    <row r="600" ht="14.25" hidden="1" customHeight="1">
      <c r="A600" s="11" t="s">
        <v>1994</v>
      </c>
      <c r="B600" s="11" t="s">
        <v>1995</v>
      </c>
      <c r="C600" s="16" t="s">
        <v>1996</v>
      </c>
      <c r="D600" s="11"/>
      <c r="E600" s="11"/>
      <c r="F600" s="11"/>
      <c r="G600" s="11" t="s">
        <v>68</v>
      </c>
      <c r="H600" s="11"/>
      <c r="I600" s="11"/>
      <c r="J600" s="11"/>
      <c r="K600" s="12" t="s">
        <v>89</v>
      </c>
      <c r="L600" s="11" t="s">
        <v>69</v>
      </c>
      <c r="M600" s="11">
        <f t="shared" si="1"/>
        <v>0</v>
      </c>
      <c r="N600" s="11"/>
      <c r="O600" s="18">
        <v>1.0</v>
      </c>
      <c r="P600" s="11"/>
      <c r="Q600" s="11"/>
      <c r="R600" s="11"/>
      <c r="S600" s="11"/>
      <c r="T600" s="12">
        <v>1.0</v>
      </c>
      <c r="U600" s="12"/>
      <c r="V600" s="18"/>
      <c r="W600" s="31">
        <v>0.0</v>
      </c>
      <c r="X600" s="11"/>
      <c r="Y600" s="11"/>
      <c r="Z600" s="14">
        <f t="shared" si="3"/>
        <v>2</v>
      </c>
      <c r="AA600" s="15" t="s">
        <v>52</v>
      </c>
    </row>
    <row r="601" ht="14.25" customHeight="1">
      <c r="A601" s="11" t="s">
        <v>1997</v>
      </c>
      <c r="B601" s="12" t="s">
        <v>602</v>
      </c>
      <c r="C601" s="38" t="s">
        <v>1998</v>
      </c>
      <c r="D601" s="11"/>
      <c r="E601" s="11"/>
      <c r="F601" s="27" t="s">
        <v>103</v>
      </c>
      <c r="G601" s="11" t="s">
        <v>38</v>
      </c>
      <c r="H601" s="28" t="s">
        <v>1999</v>
      </c>
      <c r="I601" s="11"/>
      <c r="J601" s="11"/>
      <c r="K601" s="29" t="s">
        <v>50</v>
      </c>
      <c r="L601" s="12" t="s">
        <v>65</v>
      </c>
      <c r="M601" s="11">
        <f t="shared" si="1"/>
        <v>1</v>
      </c>
      <c r="N601" s="11"/>
      <c r="O601" s="11"/>
      <c r="P601" s="11"/>
      <c r="Q601" s="11"/>
      <c r="R601" s="11"/>
      <c r="S601" s="11"/>
      <c r="T601" s="11"/>
      <c r="U601" s="11"/>
      <c r="V601" s="18"/>
      <c r="W601" s="18">
        <v>1.0</v>
      </c>
      <c r="X601" s="11"/>
      <c r="Y601" s="11"/>
      <c r="Z601" s="14">
        <f t="shared" si="3"/>
        <v>1</v>
      </c>
      <c r="AA601" s="15" t="s">
        <v>52</v>
      </c>
      <c r="AB601" s="14">
        <v>0.7852912031012725</v>
      </c>
    </row>
    <row r="602" ht="14.25" hidden="1" customHeight="1">
      <c r="A602" s="11" t="s">
        <v>2000</v>
      </c>
      <c r="B602" s="11" t="s">
        <v>2001</v>
      </c>
      <c r="C602" s="57" t="s">
        <v>1996</v>
      </c>
      <c r="D602" s="11"/>
      <c r="E602" s="11"/>
      <c r="F602" s="11"/>
      <c r="G602" s="11" t="s">
        <v>68</v>
      </c>
      <c r="H602" s="11"/>
      <c r="I602" s="11"/>
      <c r="J602" s="11"/>
      <c r="K602" s="12" t="s">
        <v>89</v>
      </c>
      <c r="L602" s="11" t="s">
        <v>69</v>
      </c>
      <c r="M602" s="11">
        <f t="shared" si="1"/>
        <v>0</v>
      </c>
      <c r="N602" s="11"/>
      <c r="O602" s="11"/>
      <c r="P602" s="11"/>
      <c r="Q602" s="11"/>
      <c r="R602" s="11"/>
      <c r="S602" s="12">
        <v>1.0</v>
      </c>
      <c r="T602" s="12"/>
      <c r="U602" s="12"/>
      <c r="V602" s="18"/>
      <c r="W602" s="18">
        <v>1.0</v>
      </c>
      <c r="X602" s="11"/>
      <c r="Y602" s="11"/>
      <c r="Z602" s="14">
        <f t="shared" si="3"/>
        <v>2</v>
      </c>
      <c r="AA602" s="15" t="s">
        <v>52</v>
      </c>
    </row>
    <row r="603" ht="14.25" hidden="1" customHeight="1">
      <c r="A603" s="11" t="s">
        <v>2002</v>
      </c>
      <c r="B603" s="11" t="s">
        <v>1618</v>
      </c>
      <c r="C603" s="16" t="s">
        <v>2003</v>
      </c>
      <c r="D603" s="11"/>
      <c r="E603" s="11"/>
      <c r="F603" s="11"/>
      <c r="G603" s="11"/>
      <c r="H603" s="11"/>
      <c r="I603" s="11"/>
      <c r="J603" s="11"/>
      <c r="K603" s="12" t="s">
        <v>89</v>
      </c>
      <c r="L603" s="12" t="s">
        <v>43</v>
      </c>
      <c r="M603" s="11">
        <f t="shared" si="1"/>
        <v>0</v>
      </c>
      <c r="N603" s="11"/>
      <c r="O603" s="11"/>
      <c r="P603" s="11"/>
      <c r="Q603" s="11"/>
      <c r="R603" s="11"/>
      <c r="S603" s="11"/>
      <c r="T603" s="11"/>
      <c r="U603" s="11"/>
      <c r="V603" s="18"/>
      <c r="W603" s="31">
        <v>0.0</v>
      </c>
      <c r="X603" s="11"/>
      <c r="Y603" s="11"/>
      <c r="Z603" s="14">
        <f t="shared" si="3"/>
        <v>0</v>
      </c>
      <c r="AA603" s="15" t="s">
        <v>52</v>
      </c>
    </row>
    <row r="604" ht="14.25" customHeight="1">
      <c r="A604" s="11" t="s">
        <v>2004</v>
      </c>
      <c r="B604" s="11" t="s">
        <v>869</v>
      </c>
      <c r="C604" s="37" t="s">
        <v>2005</v>
      </c>
      <c r="D604" s="11"/>
      <c r="E604" s="11"/>
      <c r="F604" s="27" t="s">
        <v>95</v>
      </c>
      <c r="G604" s="11" t="s">
        <v>48</v>
      </c>
      <c r="H604" s="28" t="s">
        <v>2006</v>
      </c>
      <c r="I604" s="11"/>
      <c r="J604" s="12"/>
      <c r="K604" s="29" t="s">
        <v>50</v>
      </c>
      <c r="L604" s="12" t="s">
        <v>235</v>
      </c>
      <c r="M604" s="11">
        <f t="shared" si="1"/>
        <v>1</v>
      </c>
      <c r="N604" s="18">
        <v>1.0</v>
      </c>
      <c r="O604" s="11"/>
      <c r="P604" s="11"/>
      <c r="Q604" s="11"/>
      <c r="R604" s="11"/>
      <c r="S604" s="12">
        <v>1.0</v>
      </c>
      <c r="T604" s="12"/>
      <c r="U604" s="12"/>
      <c r="V604" s="31">
        <v>1.0</v>
      </c>
      <c r="W604" s="18">
        <v>1.0</v>
      </c>
      <c r="X604" s="11"/>
      <c r="Y604" s="11"/>
      <c r="Z604" s="14">
        <f t="shared" si="3"/>
        <v>4</v>
      </c>
      <c r="AA604" s="15" t="s">
        <v>106</v>
      </c>
      <c r="AB604" s="14">
        <v>0.7863610902741198</v>
      </c>
    </row>
    <row r="605" ht="14.25" customHeight="1">
      <c r="A605" s="47" t="s">
        <v>2007</v>
      </c>
      <c r="B605" s="47" t="s">
        <v>2008</v>
      </c>
      <c r="C605" s="86" t="s">
        <v>2009</v>
      </c>
      <c r="D605" s="21"/>
      <c r="E605" s="21"/>
      <c r="F605" s="27" t="s">
        <v>140</v>
      </c>
      <c r="G605" s="19" t="s">
        <v>361</v>
      </c>
      <c r="H605" s="23" t="s">
        <v>2010</v>
      </c>
      <c r="I605" s="21"/>
      <c r="J605" s="24"/>
      <c r="K605" s="25" t="s">
        <v>50</v>
      </c>
      <c r="L605" s="24" t="s">
        <v>85</v>
      </c>
      <c r="M605" s="11">
        <f t="shared" si="1"/>
        <v>1</v>
      </c>
      <c r="N605" s="21"/>
      <c r="O605" s="21"/>
      <c r="P605" s="21"/>
      <c r="Q605" s="21"/>
      <c r="R605" s="21"/>
      <c r="S605" s="21"/>
      <c r="T605" s="21"/>
      <c r="U605" s="21"/>
      <c r="V605" s="21"/>
      <c r="W605" s="24">
        <v>1.0</v>
      </c>
      <c r="X605" s="21"/>
      <c r="Y605" s="21"/>
      <c r="Z605" s="14">
        <f t="shared" si="3"/>
        <v>1</v>
      </c>
      <c r="AA605" s="15" t="s">
        <v>91</v>
      </c>
      <c r="AB605" s="14">
        <v>0.7887332253463233</v>
      </c>
    </row>
    <row r="606" ht="14.25" customHeight="1">
      <c r="A606" s="45" t="s">
        <v>2011</v>
      </c>
      <c r="B606" s="45" t="s">
        <v>869</v>
      </c>
      <c r="C606" s="56" t="s">
        <v>2012</v>
      </c>
      <c r="D606" s="45"/>
      <c r="E606" s="45"/>
      <c r="F606" s="22" t="s">
        <v>95</v>
      </c>
      <c r="G606" s="45" t="s">
        <v>48</v>
      </c>
      <c r="H606" s="23" t="s">
        <v>2013</v>
      </c>
      <c r="I606" s="45"/>
      <c r="J606" s="45"/>
      <c r="K606" s="25" t="s">
        <v>50</v>
      </c>
      <c r="L606" s="45"/>
      <c r="M606" s="11">
        <f t="shared" si="1"/>
        <v>1</v>
      </c>
      <c r="N606" s="45"/>
      <c r="O606" s="45"/>
      <c r="P606" s="45">
        <v>1.0</v>
      </c>
      <c r="Q606" s="45"/>
      <c r="R606" s="45"/>
      <c r="S606" s="45"/>
      <c r="T606" s="45"/>
      <c r="U606" s="45"/>
      <c r="V606" s="45"/>
      <c r="W606" s="45"/>
      <c r="X606" s="45"/>
      <c r="Y606" s="45"/>
      <c r="Z606" s="14">
        <f t="shared" si="3"/>
        <v>1</v>
      </c>
      <c r="AA606" s="15" t="s">
        <v>106</v>
      </c>
      <c r="AB606" s="14">
        <v>0.7957992105470004</v>
      </c>
    </row>
    <row r="607" ht="14.25" customHeight="1">
      <c r="A607" s="19" t="s">
        <v>2014</v>
      </c>
      <c r="B607" s="19" t="s">
        <v>2015</v>
      </c>
      <c r="C607" s="33" t="s">
        <v>2016</v>
      </c>
      <c r="D607" s="21"/>
      <c r="E607" s="21"/>
      <c r="F607" s="22" t="s">
        <v>572</v>
      </c>
      <c r="G607" s="19" t="s">
        <v>427</v>
      </c>
      <c r="H607" s="23" t="s">
        <v>2017</v>
      </c>
      <c r="I607" s="21"/>
      <c r="J607" s="21"/>
      <c r="K607" s="25" t="s">
        <v>50</v>
      </c>
      <c r="L607" s="24" t="s">
        <v>51</v>
      </c>
      <c r="M607" s="11">
        <f t="shared" si="1"/>
        <v>1</v>
      </c>
      <c r="N607" s="21"/>
      <c r="O607" s="21"/>
      <c r="P607" s="21"/>
      <c r="Q607" s="21"/>
      <c r="R607" s="21"/>
      <c r="S607" s="21"/>
      <c r="T607" s="21"/>
      <c r="U607" s="21"/>
      <c r="V607" s="21"/>
      <c r="W607" s="24">
        <v>1.0</v>
      </c>
      <c r="X607" s="21"/>
      <c r="Y607" s="21"/>
      <c r="Z607" s="14">
        <f t="shared" si="3"/>
        <v>1</v>
      </c>
      <c r="AA607" s="15" t="s">
        <v>52</v>
      </c>
      <c r="AB607" s="14">
        <v>0.7975214342906403</v>
      </c>
    </row>
    <row r="608" ht="14.25" customHeight="1">
      <c r="A608" s="11" t="s">
        <v>2018</v>
      </c>
      <c r="B608" s="11" t="s">
        <v>2019</v>
      </c>
      <c r="C608" s="37" t="s">
        <v>2020</v>
      </c>
      <c r="D608" s="12" t="s">
        <v>2021</v>
      </c>
      <c r="E608" s="12" t="s">
        <v>29</v>
      </c>
      <c r="F608" s="27" t="s">
        <v>37</v>
      </c>
      <c r="G608" s="11" t="s">
        <v>78</v>
      </c>
      <c r="H608" s="28" t="s">
        <v>99</v>
      </c>
      <c r="I608" s="12" t="s">
        <v>2022</v>
      </c>
      <c r="J608" s="11"/>
      <c r="K608" s="29" t="s">
        <v>50</v>
      </c>
      <c r="L608" s="11"/>
      <c r="M608" s="11">
        <f t="shared" si="1"/>
        <v>1</v>
      </c>
      <c r="N608" s="11"/>
      <c r="O608" s="11"/>
      <c r="P608" s="18">
        <v>1.0</v>
      </c>
      <c r="Q608" s="18"/>
      <c r="R608" s="18"/>
      <c r="S608" s="18"/>
      <c r="T608" s="18"/>
      <c r="U608" s="18"/>
      <c r="V608" s="31">
        <v>1.0</v>
      </c>
      <c r="W608" s="18">
        <v>1.0</v>
      </c>
      <c r="X608" s="18"/>
      <c r="Y608" s="18">
        <v>1.0</v>
      </c>
      <c r="Z608" s="14">
        <f t="shared" si="3"/>
        <v>4</v>
      </c>
      <c r="AA608" s="15" t="s">
        <v>106</v>
      </c>
      <c r="AB608" s="14">
        <v>0.7979617091291066</v>
      </c>
    </row>
    <row r="609" ht="14.25" hidden="1" customHeight="1">
      <c r="A609" s="12" t="s">
        <v>2023</v>
      </c>
      <c r="B609" s="12" t="s">
        <v>2024</v>
      </c>
      <c r="C609" s="30" t="s">
        <v>658</v>
      </c>
      <c r="D609" s="11"/>
      <c r="E609" s="11"/>
      <c r="F609" s="11"/>
      <c r="G609" s="12" t="s">
        <v>196</v>
      </c>
      <c r="H609" s="11"/>
      <c r="I609" s="11"/>
      <c r="J609" s="12"/>
      <c r="K609" s="24" t="s">
        <v>89</v>
      </c>
      <c r="L609" s="12" t="s">
        <v>252</v>
      </c>
      <c r="M609" s="11">
        <f t="shared" si="1"/>
        <v>0</v>
      </c>
      <c r="N609" s="11"/>
      <c r="O609" s="11"/>
      <c r="P609" s="11"/>
      <c r="Q609" s="11"/>
      <c r="R609" s="11"/>
      <c r="S609" s="11"/>
      <c r="T609" s="11"/>
      <c r="U609" s="11"/>
      <c r="V609" s="31">
        <v>1.0</v>
      </c>
      <c r="W609" s="18"/>
      <c r="X609" s="11"/>
      <c r="Y609" s="11"/>
      <c r="Z609" s="14">
        <f t="shared" si="3"/>
        <v>1</v>
      </c>
      <c r="AA609" s="15" t="s">
        <v>52</v>
      </c>
    </row>
    <row r="610" ht="14.25" customHeight="1">
      <c r="A610" s="11" t="s">
        <v>2025</v>
      </c>
      <c r="B610" s="11" t="s">
        <v>2026</v>
      </c>
      <c r="C610" s="37" t="s">
        <v>2027</v>
      </c>
      <c r="D610" s="11"/>
      <c r="E610" s="11"/>
      <c r="F610" s="27" t="s">
        <v>95</v>
      </c>
      <c r="G610" s="11" t="s">
        <v>440</v>
      </c>
      <c r="H610" s="39" t="s">
        <v>239</v>
      </c>
      <c r="I610" s="11"/>
      <c r="J610" s="12"/>
      <c r="K610" s="29" t="s">
        <v>50</v>
      </c>
      <c r="L610" s="11"/>
      <c r="M610" s="11">
        <f t="shared" si="1"/>
        <v>1</v>
      </c>
      <c r="N610" s="18">
        <v>1.0</v>
      </c>
      <c r="O610" s="11"/>
      <c r="P610" s="11"/>
      <c r="Q610" s="11"/>
      <c r="R610" s="11"/>
      <c r="S610" s="12">
        <v>1.0</v>
      </c>
      <c r="T610" s="12"/>
      <c r="U610" s="12"/>
      <c r="V610" s="31">
        <v>1.0</v>
      </c>
      <c r="W610" s="18">
        <v>1.0</v>
      </c>
      <c r="X610" s="11"/>
      <c r="Y610" s="11"/>
      <c r="Z610" s="14">
        <f t="shared" si="3"/>
        <v>4</v>
      </c>
      <c r="AA610" s="15" t="s">
        <v>106</v>
      </c>
      <c r="AB610" s="14">
        <v>0.8003634449686212</v>
      </c>
    </row>
    <row r="611" ht="14.25" hidden="1" customHeight="1">
      <c r="A611" s="11" t="s">
        <v>2028</v>
      </c>
      <c r="B611" s="11" t="s">
        <v>2029</v>
      </c>
      <c r="C611" s="16" t="s">
        <v>2030</v>
      </c>
      <c r="D611" s="11"/>
      <c r="E611" s="11"/>
      <c r="F611" s="11"/>
      <c r="G611" s="11" t="s">
        <v>284</v>
      </c>
      <c r="H611" s="11"/>
      <c r="I611" s="11"/>
      <c r="J611" s="11"/>
      <c r="K611" s="12" t="s">
        <v>89</v>
      </c>
      <c r="L611" s="12" t="s">
        <v>43</v>
      </c>
      <c r="M611" s="11">
        <f t="shared" si="1"/>
        <v>0</v>
      </c>
      <c r="N611" s="11"/>
      <c r="O611" s="11"/>
      <c r="P611" s="11"/>
      <c r="Q611" s="11"/>
      <c r="R611" s="11"/>
      <c r="S611" s="11"/>
      <c r="T611" s="11"/>
      <c r="U611" s="11"/>
      <c r="V611" s="18"/>
      <c r="W611" s="18">
        <v>1.0</v>
      </c>
      <c r="X611" s="11"/>
      <c r="Y611" s="11"/>
      <c r="Z611" s="14">
        <f t="shared" si="3"/>
        <v>1</v>
      </c>
      <c r="AA611" s="15" t="s">
        <v>52</v>
      </c>
    </row>
    <row r="612" ht="14.25" customHeight="1">
      <c r="A612" s="19" t="s">
        <v>2031</v>
      </c>
      <c r="B612" s="19" t="s">
        <v>310</v>
      </c>
      <c r="C612" s="33" t="s">
        <v>2032</v>
      </c>
      <c r="D612" s="21"/>
      <c r="E612" s="21"/>
      <c r="F612" s="27" t="s">
        <v>56</v>
      </c>
      <c r="G612" s="19" t="s">
        <v>83</v>
      </c>
      <c r="H612" s="23" t="s">
        <v>1734</v>
      </c>
      <c r="I612" s="21"/>
      <c r="J612" s="21"/>
      <c r="K612" s="25" t="s">
        <v>58</v>
      </c>
      <c r="L612" s="24" t="s">
        <v>366</v>
      </c>
      <c r="M612" s="11">
        <f t="shared" si="1"/>
        <v>1</v>
      </c>
      <c r="N612" s="21"/>
      <c r="O612" s="21"/>
      <c r="P612" s="21"/>
      <c r="Q612" s="21"/>
      <c r="R612" s="21"/>
      <c r="S612" s="21"/>
      <c r="T612" s="21"/>
      <c r="U612" s="21"/>
      <c r="V612" s="21"/>
      <c r="W612" s="24">
        <v>1.0</v>
      </c>
      <c r="X612" s="21"/>
      <c r="Y612" s="21"/>
      <c r="Z612" s="14">
        <f t="shared" si="3"/>
        <v>1</v>
      </c>
      <c r="AA612" s="15" t="s">
        <v>33</v>
      </c>
      <c r="AB612" s="14">
        <v>0.8009798647736152</v>
      </c>
    </row>
    <row r="613" ht="14.25" customHeight="1">
      <c r="A613" s="19" t="s">
        <v>2033</v>
      </c>
      <c r="B613" s="19" t="s">
        <v>2034</v>
      </c>
      <c r="C613" s="20" t="s">
        <v>2035</v>
      </c>
      <c r="D613" s="21"/>
      <c r="E613" s="21"/>
      <c r="F613" s="27" t="s">
        <v>103</v>
      </c>
      <c r="G613" s="19" t="s">
        <v>38</v>
      </c>
      <c r="H613" s="23" t="s">
        <v>2036</v>
      </c>
      <c r="I613" s="21"/>
      <c r="J613" s="21"/>
      <c r="K613" s="25" t="s">
        <v>50</v>
      </c>
      <c r="L613" s="24" t="s">
        <v>65</v>
      </c>
      <c r="M613" s="11">
        <f t="shared" si="1"/>
        <v>1</v>
      </c>
      <c r="N613" s="21"/>
      <c r="O613" s="21"/>
      <c r="P613" s="21"/>
      <c r="Q613" s="21"/>
      <c r="R613" s="21"/>
      <c r="S613" s="21"/>
      <c r="T613" s="21"/>
      <c r="U613" s="21"/>
      <c r="V613" s="21"/>
      <c r="W613" s="24">
        <v>1.0</v>
      </c>
      <c r="X613" s="21"/>
      <c r="Y613" s="21"/>
      <c r="Z613" s="14">
        <f t="shared" si="3"/>
        <v>1</v>
      </c>
      <c r="AA613" s="15" t="s">
        <v>52</v>
      </c>
      <c r="AB613" s="14">
        <v>0.8082483291743084</v>
      </c>
    </row>
    <row r="614" ht="14.25" customHeight="1">
      <c r="A614" s="11" t="s">
        <v>2037</v>
      </c>
      <c r="B614" s="11" t="s">
        <v>2038</v>
      </c>
      <c r="C614" s="37" t="s">
        <v>2039</v>
      </c>
      <c r="D614" s="12" t="s">
        <v>2040</v>
      </c>
      <c r="E614" s="11"/>
      <c r="F614" s="27" t="s">
        <v>62</v>
      </c>
      <c r="G614" s="11" t="s">
        <v>38</v>
      </c>
      <c r="H614" s="28" t="s">
        <v>524</v>
      </c>
      <c r="I614" s="11"/>
      <c r="J614" s="12"/>
      <c r="K614" s="29" t="s">
        <v>50</v>
      </c>
      <c r="L614" s="12"/>
      <c r="M614" s="11">
        <f t="shared" si="1"/>
        <v>1</v>
      </c>
      <c r="N614" s="18">
        <v>1.0</v>
      </c>
      <c r="O614" s="11"/>
      <c r="P614" s="11"/>
      <c r="Q614" s="12">
        <v>1.0</v>
      </c>
      <c r="R614" s="11"/>
      <c r="S614" s="12">
        <v>1.0</v>
      </c>
      <c r="T614" s="12">
        <v>1.0</v>
      </c>
      <c r="U614" s="12"/>
      <c r="V614" s="31">
        <v>1.0</v>
      </c>
      <c r="W614" s="18">
        <v>1.0</v>
      </c>
      <c r="X614" s="11"/>
      <c r="Y614" s="11"/>
      <c r="Z614" s="14">
        <f t="shared" si="3"/>
        <v>6</v>
      </c>
      <c r="AA614" s="15" t="s">
        <v>91</v>
      </c>
      <c r="AB614" s="14">
        <v>0.8129803988377468</v>
      </c>
    </row>
    <row r="615" ht="14.25" hidden="1" customHeight="1">
      <c r="A615" s="11" t="s">
        <v>2041</v>
      </c>
      <c r="B615" s="11" t="s">
        <v>2042</v>
      </c>
      <c r="C615" s="16" t="s">
        <v>2043</v>
      </c>
      <c r="D615" s="11"/>
      <c r="E615" s="11"/>
      <c r="F615" s="11"/>
      <c r="G615" s="11" t="s">
        <v>196</v>
      </c>
      <c r="H615" s="11"/>
      <c r="I615" s="11"/>
      <c r="J615" s="11"/>
      <c r="K615" s="12" t="s">
        <v>89</v>
      </c>
      <c r="L615" s="12" t="s">
        <v>1340</v>
      </c>
      <c r="M615" s="11">
        <f t="shared" si="1"/>
        <v>0</v>
      </c>
      <c r="N615" s="11"/>
      <c r="O615" s="11"/>
      <c r="P615" s="11"/>
      <c r="Q615" s="11"/>
      <c r="R615" s="11"/>
      <c r="S615" s="11"/>
      <c r="T615" s="11"/>
      <c r="U615" s="11"/>
      <c r="V615" s="31">
        <v>1.0</v>
      </c>
      <c r="W615" s="18">
        <v>1.0</v>
      </c>
      <c r="X615" s="11"/>
      <c r="Y615" s="11"/>
      <c r="Z615" s="14">
        <f t="shared" si="3"/>
        <v>2</v>
      </c>
      <c r="AA615" s="15" t="s">
        <v>52</v>
      </c>
    </row>
    <row r="616" ht="14.25" customHeight="1">
      <c r="A616" s="12" t="s">
        <v>2044</v>
      </c>
      <c r="B616" s="12" t="s">
        <v>2045</v>
      </c>
      <c r="C616" s="35" t="s">
        <v>2046</v>
      </c>
      <c r="D616" s="12" t="s">
        <v>2045</v>
      </c>
      <c r="E616" s="11"/>
      <c r="F616" s="27" t="s">
        <v>95</v>
      </c>
      <c r="G616" s="12" t="s">
        <v>48</v>
      </c>
      <c r="H616" s="28" t="s">
        <v>2047</v>
      </c>
      <c r="I616" s="11"/>
      <c r="J616" s="12"/>
      <c r="K616" s="29" t="s">
        <v>58</v>
      </c>
      <c r="L616" s="12" t="s">
        <v>288</v>
      </c>
      <c r="M616" s="11">
        <f t="shared" si="1"/>
        <v>1</v>
      </c>
      <c r="N616" s="11"/>
      <c r="O616" s="11"/>
      <c r="P616" s="11"/>
      <c r="Q616" s="11"/>
      <c r="R616" s="11"/>
      <c r="S616" s="12">
        <v>1.0</v>
      </c>
      <c r="T616" s="12"/>
      <c r="U616" s="12"/>
      <c r="V616" s="18"/>
      <c r="W616" s="18"/>
      <c r="X616" s="11"/>
      <c r="Y616" s="11"/>
      <c r="Z616" s="14">
        <f t="shared" si="3"/>
        <v>1</v>
      </c>
      <c r="AA616" s="15" t="s">
        <v>33</v>
      </c>
      <c r="AB616" s="14">
        <v>0.8140077366903404</v>
      </c>
    </row>
    <row r="617" ht="14.25" customHeight="1">
      <c r="A617" s="11" t="s">
        <v>2048</v>
      </c>
      <c r="B617" s="11" t="s">
        <v>508</v>
      </c>
      <c r="C617" s="26" t="s">
        <v>2049</v>
      </c>
      <c r="D617" s="11"/>
      <c r="E617" s="11"/>
      <c r="F617" s="27" t="s">
        <v>103</v>
      </c>
      <c r="G617" s="19" t="s">
        <v>83</v>
      </c>
      <c r="H617" s="28" t="s">
        <v>2050</v>
      </c>
      <c r="I617" s="11"/>
      <c r="J617" s="11"/>
      <c r="K617" s="29" t="s">
        <v>50</v>
      </c>
      <c r="L617" s="12" t="s">
        <v>65</v>
      </c>
      <c r="M617" s="11">
        <f t="shared" si="1"/>
        <v>1</v>
      </c>
      <c r="N617" s="11"/>
      <c r="O617" s="11"/>
      <c r="P617" s="11"/>
      <c r="Q617" s="11"/>
      <c r="R617" s="11"/>
      <c r="S617" s="11"/>
      <c r="T617" s="11"/>
      <c r="U617" s="11"/>
      <c r="V617" s="18"/>
      <c r="W617" s="18">
        <v>1.0</v>
      </c>
      <c r="X617" s="11"/>
      <c r="Y617" s="11"/>
      <c r="Z617" s="14">
        <f t="shared" si="3"/>
        <v>1</v>
      </c>
      <c r="AA617" s="15" t="s">
        <v>106</v>
      </c>
      <c r="AB617" s="14">
        <v>0.814190190737991</v>
      </c>
    </row>
    <row r="618" ht="14.25" customHeight="1">
      <c r="A618" s="11" t="s">
        <v>2051</v>
      </c>
      <c r="B618" s="11" t="s">
        <v>2052</v>
      </c>
      <c r="C618" s="43" t="s">
        <v>2053</v>
      </c>
      <c r="D618" s="12" t="s">
        <v>2054</v>
      </c>
      <c r="E618" s="12" t="s">
        <v>29</v>
      </c>
      <c r="F618" s="27" t="s">
        <v>77</v>
      </c>
      <c r="G618" s="11" t="s">
        <v>1435</v>
      </c>
      <c r="H618" s="28" t="s">
        <v>2055</v>
      </c>
      <c r="I618" s="11"/>
      <c r="J618" s="11"/>
      <c r="K618" s="29" t="s">
        <v>50</v>
      </c>
      <c r="L618" s="11"/>
      <c r="M618" s="11">
        <f t="shared" si="1"/>
        <v>1</v>
      </c>
      <c r="N618" s="18">
        <v>1.0</v>
      </c>
      <c r="O618" s="11"/>
      <c r="P618" s="11"/>
      <c r="Q618" s="11"/>
      <c r="R618" s="11"/>
      <c r="S618" s="11"/>
      <c r="T618" s="11"/>
      <c r="U618" s="11"/>
      <c r="V618" s="31">
        <v>1.0</v>
      </c>
      <c r="W618" s="18">
        <v>1.0</v>
      </c>
      <c r="X618" s="11"/>
      <c r="Y618" s="11"/>
      <c r="Z618" s="14">
        <f t="shared" si="3"/>
        <v>3</v>
      </c>
      <c r="AA618" s="15" t="s">
        <v>91</v>
      </c>
      <c r="AB618" s="14">
        <v>0.8143367095958794</v>
      </c>
    </row>
    <row r="619" ht="14.25" customHeight="1">
      <c r="A619" s="19" t="s">
        <v>2056</v>
      </c>
      <c r="B619" s="19" t="s">
        <v>2057</v>
      </c>
      <c r="C619" s="20" t="s">
        <v>2058</v>
      </c>
      <c r="D619" s="21"/>
      <c r="E619" s="21"/>
      <c r="F619" s="27" t="s">
        <v>103</v>
      </c>
      <c r="G619" s="19" t="s">
        <v>83</v>
      </c>
      <c r="H619" s="23" t="s">
        <v>159</v>
      </c>
      <c r="I619" s="21"/>
      <c r="J619" s="21"/>
      <c r="K619" s="25" t="s">
        <v>50</v>
      </c>
      <c r="L619" s="24" t="s">
        <v>65</v>
      </c>
      <c r="M619" s="11">
        <f t="shared" si="1"/>
        <v>1</v>
      </c>
      <c r="N619" s="21"/>
      <c r="O619" s="21"/>
      <c r="P619" s="21"/>
      <c r="Q619" s="21"/>
      <c r="R619" s="21"/>
      <c r="S619" s="21"/>
      <c r="T619" s="21"/>
      <c r="U619" s="21"/>
      <c r="V619" s="21"/>
      <c r="W619" s="24">
        <v>1.0</v>
      </c>
      <c r="X619" s="21"/>
      <c r="Y619" s="21"/>
      <c r="Z619" s="14">
        <f t="shared" si="3"/>
        <v>1</v>
      </c>
      <c r="AA619" s="15" t="s">
        <v>106</v>
      </c>
      <c r="AB619" s="14">
        <v>0.819677408833418</v>
      </c>
    </row>
    <row r="620" ht="14.25" customHeight="1">
      <c r="A620" s="11" t="s">
        <v>2059</v>
      </c>
      <c r="B620" s="11" t="s">
        <v>2060</v>
      </c>
      <c r="C620" s="38" t="s">
        <v>2061</v>
      </c>
      <c r="D620" s="12" t="s">
        <v>29</v>
      </c>
      <c r="E620" s="12" t="s">
        <v>2062</v>
      </c>
      <c r="F620" s="27" t="s">
        <v>37</v>
      </c>
      <c r="G620" s="11" t="s">
        <v>427</v>
      </c>
      <c r="H620" s="28" t="s">
        <v>172</v>
      </c>
      <c r="I620" s="11"/>
      <c r="J620" s="11"/>
      <c r="K620" s="29" t="s">
        <v>58</v>
      </c>
      <c r="L620" s="12" t="s">
        <v>111</v>
      </c>
      <c r="M620" s="11">
        <f t="shared" si="1"/>
        <v>1</v>
      </c>
      <c r="N620" s="18">
        <v>1.0</v>
      </c>
      <c r="O620" s="18">
        <v>1.0</v>
      </c>
      <c r="P620" s="11"/>
      <c r="Q620" s="11"/>
      <c r="R620" s="11"/>
      <c r="S620" s="12">
        <v>1.0</v>
      </c>
      <c r="T620" s="12">
        <v>1.0</v>
      </c>
      <c r="U620" s="12">
        <v>1.0</v>
      </c>
      <c r="V620" s="31">
        <v>1.0</v>
      </c>
      <c r="W620" s="18">
        <v>1.0</v>
      </c>
      <c r="X620" s="12">
        <v>1.0</v>
      </c>
      <c r="Y620" s="11"/>
      <c r="Z620" s="14">
        <f t="shared" si="3"/>
        <v>8</v>
      </c>
      <c r="AA620" s="15" t="s">
        <v>33</v>
      </c>
      <c r="AB620" s="14">
        <v>0.8211462030035164</v>
      </c>
    </row>
    <row r="621" ht="14.25" customHeight="1">
      <c r="A621" s="19" t="s">
        <v>2063</v>
      </c>
      <c r="B621" s="19" t="s">
        <v>2064</v>
      </c>
      <c r="C621" s="20" t="s">
        <v>2065</v>
      </c>
      <c r="D621" s="21"/>
      <c r="E621" s="21"/>
      <c r="F621" s="27" t="s">
        <v>77</v>
      </c>
      <c r="G621" s="19" t="s">
        <v>264</v>
      </c>
      <c r="H621" s="23" t="s">
        <v>225</v>
      </c>
      <c r="I621" s="21"/>
      <c r="J621" s="24"/>
      <c r="K621" s="25" t="s">
        <v>50</v>
      </c>
      <c r="L621" s="24" t="s">
        <v>565</v>
      </c>
      <c r="M621" s="11">
        <f t="shared" si="1"/>
        <v>1</v>
      </c>
      <c r="N621" s="21"/>
      <c r="O621" s="21"/>
      <c r="P621" s="21"/>
      <c r="Q621" s="21"/>
      <c r="R621" s="21"/>
      <c r="S621" s="21"/>
      <c r="T621" s="21"/>
      <c r="U621" s="21"/>
      <c r="V621" s="21"/>
      <c r="W621" s="24">
        <v>1.0</v>
      </c>
      <c r="X621" s="21"/>
      <c r="Y621" s="21"/>
      <c r="Z621" s="14">
        <f t="shared" si="3"/>
        <v>1</v>
      </c>
      <c r="AA621" s="15" t="s">
        <v>106</v>
      </c>
      <c r="AB621" s="14">
        <v>0.8218336934321626</v>
      </c>
    </row>
    <row r="622" ht="14.25" customHeight="1">
      <c r="A622" s="19" t="s">
        <v>2066</v>
      </c>
      <c r="B622" s="19" t="s">
        <v>1676</v>
      </c>
      <c r="C622" s="59" t="s">
        <v>2067</v>
      </c>
      <c r="D622" s="21"/>
      <c r="E622" s="21"/>
      <c r="F622" s="27" t="s">
        <v>171</v>
      </c>
      <c r="G622" s="19" t="s">
        <v>196</v>
      </c>
      <c r="H622" s="23" t="s">
        <v>1402</v>
      </c>
      <c r="I622" s="21"/>
      <c r="J622" s="21"/>
      <c r="K622" s="25" t="s">
        <v>50</v>
      </c>
      <c r="L622" s="24" t="s">
        <v>51</v>
      </c>
      <c r="M622" s="11">
        <f t="shared" si="1"/>
        <v>1</v>
      </c>
      <c r="N622" s="21"/>
      <c r="O622" s="21"/>
      <c r="P622" s="21"/>
      <c r="Q622" s="21"/>
      <c r="R622" s="21"/>
      <c r="S622" s="21"/>
      <c r="T622" s="21"/>
      <c r="U622" s="21"/>
      <c r="V622" s="21"/>
      <c r="W622" s="24">
        <v>1.0</v>
      </c>
      <c r="X622" s="21"/>
      <c r="Y622" s="21"/>
      <c r="Z622" s="14">
        <f t="shared" si="3"/>
        <v>1</v>
      </c>
      <c r="AA622" s="15" t="s">
        <v>91</v>
      </c>
      <c r="AB622" s="14">
        <v>0.8222854157900715</v>
      </c>
    </row>
    <row r="623" ht="14.25" hidden="1" customHeight="1">
      <c r="A623" s="45" t="s">
        <v>2068</v>
      </c>
      <c r="B623" s="45" t="s">
        <v>2069</v>
      </c>
      <c r="C623" s="81" t="s">
        <v>2070</v>
      </c>
      <c r="D623" s="45"/>
      <c r="E623" s="45"/>
      <c r="F623" s="45"/>
      <c r="G623" s="45" t="s">
        <v>78</v>
      </c>
      <c r="H623" s="45"/>
      <c r="I623" s="45"/>
      <c r="J623" s="45"/>
      <c r="K623" s="24" t="s">
        <v>89</v>
      </c>
      <c r="L623" s="24" t="s">
        <v>200</v>
      </c>
      <c r="M623" s="11">
        <f t="shared" si="1"/>
        <v>0</v>
      </c>
      <c r="N623" s="45"/>
      <c r="O623" s="45"/>
      <c r="P623" s="45">
        <v>1.0</v>
      </c>
      <c r="Q623" s="45"/>
      <c r="R623" s="45"/>
      <c r="S623" s="45"/>
      <c r="T623" s="45"/>
      <c r="U623" s="45"/>
      <c r="V623" s="45"/>
      <c r="W623" s="45"/>
      <c r="X623" s="45"/>
      <c r="Y623" s="45"/>
      <c r="Z623" s="14">
        <f t="shared" si="3"/>
        <v>1</v>
      </c>
      <c r="AA623" s="15" t="s">
        <v>52</v>
      </c>
    </row>
    <row r="624" ht="14.25" customHeight="1">
      <c r="A624" s="11" t="s">
        <v>2071</v>
      </c>
      <c r="B624" s="11" t="s">
        <v>2072</v>
      </c>
      <c r="C624" s="26" t="s">
        <v>2073</v>
      </c>
      <c r="D624" s="11"/>
      <c r="E624" s="11"/>
      <c r="F624" s="27" t="s">
        <v>103</v>
      </c>
      <c r="G624" s="11" t="s">
        <v>38</v>
      </c>
      <c r="H624" s="28" t="s">
        <v>2074</v>
      </c>
      <c r="I624" s="11"/>
      <c r="J624" s="11"/>
      <c r="K624" s="29" t="s">
        <v>50</v>
      </c>
      <c r="L624" s="12" t="s">
        <v>357</v>
      </c>
      <c r="M624" s="11">
        <f t="shared" si="1"/>
        <v>1</v>
      </c>
      <c r="N624" s="11"/>
      <c r="O624" s="11"/>
      <c r="P624" s="11"/>
      <c r="Q624" s="11"/>
      <c r="R624" s="11"/>
      <c r="S624" s="11"/>
      <c r="T624" s="11"/>
      <c r="U624" s="11"/>
      <c r="V624" s="18"/>
      <c r="W624" s="18">
        <v>1.0</v>
      </c>
      <c r="X624" s="11"/>
      <c r="Y624" s="11"/>
      <c r="Z624" s="14">
        <f t="shared" si="3"/>
        <v>1</v>
      </c>
      <c r="AA624" s="15" t="s">
        <v>91</v>
      </c>
      <c r="AB624" s="14">
        <v>0.8248727427520642</v>
      </c>
    </row>
    <row r="625" ht="14.25" hidden="1" customHeight="1">
      <c r="A625" s="19" t="s">
        <v>2075</v>
      </c>
      <c r="B625" s="19" t="s">
        <v>2076</v>
      </c>
      <c r="C625" s="44" t="s">
        <v>2077</v>
      </c>
      <c r="D625" s="21"/>
      <c r="E625" s="21"/>
      <c r="F625" s="21"/>
      <c r="G625" s="19" t="s">
        <v>48</v>
      </c>
      <c r="H625" s="21"/>
      <c r="I625" s="21"/>
      <c r="J625" s="21"/>
      <c r="K625" s="24" t="s">
        <v>89</v>
      </c>
      <c r="L625" s="24" t="s">
        <v>43</v>
      </c>
      <c r="M625" s="11">
        <f t="shared" si="1"/>
        <v>0</v>
      </c>
      <c r="N625" s="21"/>
      <c r="O625" s="21"/>
      <c r="P625" s="21"/>
      <c r="Q625" s="21"/>
      <c r="R625" s="21"/>
      <c r="S625" s="21"/>
      <c r="T625" s="21"/>
      <c r="U625" s="21"/>
      <c r="V625" s="21"/>
      <c r="W625" s="24">
        <v>1.0</v>
      </c>
      <c r="X625" s="21"/>
      <c r="Y625" s="21"/>
      <c r="Z625" s="14">
        <f t="shared" si="3"/>
        <v>1</v>
      </c>
      <c r="AA625" s="15" t="s">
        <v>52</v>
      </c>
    </row>
    <row r="626" ht="14.25" customHeight="1">
      <c r="A626" s="19" t="s">
        <v>2078</v>
      </c>
      <c r="B626" s="19" t="s">
        <v>310</v>
      </c>
      <c r="C626" s="20" t="s">
        <v>2079</v>
      </c>
      <c r="D626" s="21"/>
      <c r="E626" s="21"/>
      <c r="F626" s="27" t="s">
        <v>56</v>
      </c>
      <c r="G626" s="19" t="s">
        <v>83</v>
      </c>
      <c r="H626" s="23" t="s">
        <v>159</v>
      </c>
      <c r="I626" s="21"/>
      <c r="J626" s="21"/>
      <c r="K626" s="25" t="s">
        <v>58</v>
      </c>
      <c r="L626" s="24" t="s">
        <v>453</v>
      </c>
      <c r="M626" s="11">
        <f t="shared" si="1"/>
        <v>1</v>
      </c>
      <c r="N626" s="21"/>
      <c r="O626" s="21"/>
      <c r="P626" s="21"/>
      <c r="Q626" s="21"/>
      <c r="R626" s="21"/>
      <c r="S626" s="21"/>
      <c r="T626" s="21"/>
      <c r="U626" s="21"/>
      <c r="V626" s="21"/>
      <c r="W626" s="24">
        <v>1.0</v>
      </c>
      <c r="X626" s="21"/>
      <c r="Y626" s="21"/>
      <c r="Z626" s="14">
        <f t="shared" si="3"/>
        <v>1</v>
      </c>
      <c r="AA626" s="15" t="s">
        <v>33</v>
      </c>
      <c r="AB626" s="14">
        <v>0.8253436654957316</v>
      </c>
    </row>
    <row r="627" ht="14.25" customHeight="1">
      <c r="A627" s="11" t="s">
        <v>2080</v>
      </c>
      <c r="B627" s="11" t="s">
        <v>2081</v>
      </c>
      <c r="C627" s="38" t="s">
        <v>2082</v>
      </c>
      <c r="D627" s="11"/>
      <c r="E627" s="11"/>
      <c r="F627" s="27" t="s">
        <v>95</v>
      </c>
      <c r="G627" s="11" t="s">
        <v>38</v>
      </c>
      <c r="H627" s="28" t="s">
        <v>2083</v>
      </c>
      <c r="I627" s="11"/>
      <c r="J627" s="11"/>
      <c r="K627" s="29" t="s">
        <v>50</v>
      </c>
      <c r="L627" s="12" t="s">
        <v>152</v>
      </c>
      <c r="M627" s="11">
        <f t="shared" si="1"/>
        <v>1</v>
      </c>
      <c r="N627" s="18">
        <v>1.0</v>
      </c>
      <c r="O627" s="11"/>
      <c r="P627" s="11"/>
      <c r="Q627" s="11"/>
      <c r="R627" s="11"/>
      <c r="S627" s="11"/>
      <c r="T627" s="11"/>
      <c r="U627" s="11"/>
      <c r="V627" s="12">
        <v>1.0</v>
      </c>
      <c r="W627" s="11"/>
      <c r="X627" s="11"/>
      <c r="Y627" s="11"/>
      <c r="Z627" s="14">
        <f t="shared" si="3"/>
        <v>2</v>
      </c>
      <c r="AA627" s="15" t="s">
        <v>91</v>
      </c>
      <c r="AB627" s="14">
        <v>0.8279245316549462</v>
      </c>
    </row>
    <row r="628" ht="14.25" customHeight="1">
      <c r="A628" s="11" t="s">
        <v>2084</v>
      </c>
      <c r="B628" s="11" t="s">
        <v>2085</v>
      </c>
      <c r="C628" s="35" t="s">
        <v>2086</v>
      </c>
      <c r="D628" s="11"/>
      <c r="E628" s="11"/>
      <c r="F628" s="27" t="s">
        <v>77</v>
      </c>
      <c r="G628" s="11" t="s">
        <v>2087</v>
      </c>
      <c r="H628" s="28" t="s">
        <v>2088</v>
      </c>
      <c r="I628" s="11"/>
      <c r="J628" s="11"/>
      <c r="K628" s="29" t="s">
        <v>50</v>
      </c>
      <c r="L628" s="12" t="s">
        <v>51</v>
      </c>
      <c r="M628" s="11">
        <f t="shared" si="1"/>
        <v>1</v>
      </c>
      <c r="N628" s="11"/>
      <c r="O628" s="11"/>
      <c r="P628" s="11"/>
      <c r="Q628" s="11"/>
      <c r="R628" s="11"/>
      <c r="S628" s="11"/>
      <c r="T628" s="11"/>
      <c r="U628" s="11"/>
      <c r="V628" s="18"/>
      <c r="W628" s="18">
        <v>1.0</v>
      </c>
      <c r="X628" s="11"/>
      <c r="Y628" s="11"/>
      <c r="Z628" s="14">
        <f t="shared" si="3"/>
        <v>1</v>
      </c>
      <c r="AA628" s="15" t="s">
        <v>52</v>
      </c>
      <c r="AB628" s="14">
        <v>0.8320897285275596</v>
      </c>
    </row>
    <row r="629" ht="14.25" customHeight="1">
      <c r="A629" s="11" t="s">
        <v>2089</v>
      </c>
      <c r="B629" s="11" t="s">
        <v>2090</v>
      </c>
      <c r="C629" s="84" t="s">
        <v>2091</v>
      </c>
      <c r="D629" s="11"/>
      <c r="E629" s="11"/>
      <c r="F629" s="27" t="s">
        <v>140</v>
      </c>
      <c r="G629" s="11" t="s">
        <v>361</v>
      </c>
      <c r="H629" s="28" t="s">
        <v>239</v>
      </c>
      <c r="I629" s="11"/>
      <c r="J629" s="11"/>
      <c r="K629" s="29" t="s">
        <v>50</v>
      </c>
      <c r="L629" s="12" t="s">
        <v>51</v>
      </c>
      <c r="M629" s="11">
        <f t="shared" si="1"/>
        <v>1</v>
      </c>
      <c r="N629" s="11"/>
      <c r="O629" s="11"/>
      <c r="P629" s="11"/>
      <c r="Q629" s="11"/>
      <c r="R629" s="11"/>
      <c r="S629" s="11"/>
      <c r="T629" s="11"/>
      <c r="U629" s="11"/>
      <c r="V629" s="18"/>
      <c r="W629" s="18">
        <v>1.0</v>
      </c>
      <c r="X629" s="11"/>
      <c r="Y629" s="11"/>
      <c r="Z629" s="14">
        <f t="shared" si="3"/>
        <v>1</v>
      </c>
      <c r="AA629" s="15" t="s">
        <v>91</v>
      </c>
      <c r="AB629" s="14">
        <v>0.8334857806393084</v>
      </c>
    </row>
    <row r="630" ht="14.25" customHeight="1">
      <c r="A630" s="19" t="s">
        <v>2092</v>
      </c>
      <c r="B630" s="19" t="s">
        <v>227</v>
      </c>
      <c r="C630" s="33" t="s">
        <v>2093</v>
      </c>
      <c r="D630" s="21"/>
      <c r="E630" s="21"/>
      <c r="F630" s="27" t="s">
        <v>103</v>
      </c>
      <c r="G630" s="19" t="s">
        <v>83</v>
      </c>
      <c r="H630" s="23" t="s">
        <v>2094</v>
      </c>
      <c r="I630" s="21"/>
      <c r="J630" s="21"/>
      <c r="K630" s="25" t="s">
        <v>50</v>
      </c>
      <c r="L630" s="24" t="s">
        <v>2095</v>
      </c>
      <c r="M630" s="11">
        <f t="shared" si="1"/>
        <v>1</v>
      </c>
      <c r="N630" s="21"/>
      <c r="O630" s="21"/>
      <c r="P630" s="21"/>
      <c r="Q630" s="21"/>
      <c r="R630" s="21"/>
      <c r="S630" s="21"/>
      <c r="T630" s="21"/>
      <c r="U630" s="21"/>
      <c r="V630" s="21"/>
      <c r="W630" s="24">
        <v>1.0</v>
      </c>
      <c r="X630" s="21"/>
      <c r="Y630" s="21"/>
      <c r="Z630" s="14">
        <f t="shared" si="3"/>
        <v>1</v>
      </c>
      <c r="AA630" s="15" t="s">
        <v>91</v>
      </c>
      <c r="AB630" s="14">
        <v>0.8356688586267287</v>
      </c>
    </row>
    <row r="631" ht="14.25" customHeight="1">
      <c r="A631" s="11" t="s">
        <v>2096</v>
      </c>
      <c r="B631" s="11" t="s">
        <v>2097</v>
      </c>
      <c r="C631" s="38" t="s">
        <v>2098</v>
      </c>
      <c r="D631" s="11"/>
      <c r="E631" s="11"/>
      <c r="F631" s="27" t="s">
        <v>171</v>
      </c>
      <c r="G631" s="11" t="s">
        <v>38</v>
      </c>
      <c r="H631" s="28" t="s">
        <v>564</v>
      </c>
      <c r="I631" s="11"/>
      <c r="J631" s="12"/>
      <c r="K631" s="29" t="s">
        <v>50</v>
      </c>
      <c r="L631" s="12" t="s">
        <v>51</v>
      </c>
      <c r="M631" s="11">
        <f t="shared" si="1"/>
        <v>1</v>
      </c>
      <c r="N631" s="18">
        <v>1.0</v>
      </c>
      <c r="O631" s="11"/>
      <c r="P631" s="11"/>
      <c r="Q631" s="11"/>
      <c r="R631" s="11"/>
      <c r="S631" s="12">
        <v>1.0</v>
      </c>
      <c r="T631" s="12"/>
      <c r="U631" s="12"/>
      <c r="V631" s="12">
        <v>1.0</v>
      </c>
      <c r="W631" s="11">
        <v>1.0</v>
      </c>
      <c r="X631" s="11"/>
      <c r="Y631" s="11"/>
      <c r="Z631" s="14">
        <f t="shared" si="3"/>
        <v>4</v>
      </c>
      <c r="AA631" s="15" t="s">
        <v>106</v>
      </c>
      <c r="AB631" s="14">
        <v>0.8368194446739856</v>
      </c>
    </row>
    <row r="632" ht="14.25" hidden="1" customHeight="1">
      <c r="A632" s="12" t="s">
        <v>2099</v>
      </c>
      <c r="B632" s="12" t="s">
        <v>2100</v>
      </c>
      <c r="C632" s="51" t="s">
        <v>2101</v>
      </c>
      <c r="D632" s="11"/>
      <c r="E632" s="11"/>
      <c r="F632" s="11"/>
      <c r="G632" s="11"/>
      <c r="H632" s="11"/>
      <c r="I632" s="11"/>
      <c r="J632" s="11"/>
      <c r="K632" s="12" t="s">
        <v>89</v>
      </c>
      <c r="L632" s="12" t="s">
        <v>43</v>
      </c>
      <c r="M632" s="11">
        <f t="shared" si="1"/>
        <v>0</v>
      </c>
      <c r="N632" s="18"/>
      <c r="O632" s="11"/>
      <c r="P632" s="11"/>
      <c r="Q632" s="11"/>
      <c r="R632" s="11"/>
      <c r="S632" s="11"/>
      <c r="T632" s="11"/>
      <c r="U632" s="11"/>
      <c r="V632" s="12">
        <v>1.0</v>
      </c>
      <c r="W632" s="11"/>
      <c r="X632" s="11"/>
      <c r="Y632" s="11"/>
      <c r="Z632" s="14">
        <f t="shared" si="3"/>
        <v>1</v>
      </c>
      <c r="AA632" s="15" t="s">
        <v>52</v>
      </c>
    </row>
    <row r="633" ht="14.25" customHeight="1">
      <c r="A633" s="11" t="s">
        <v>1246</v>
      </c>
      <c r="B633" s="12" t="s">
        <v>2102</v>
      </c>
      <c r="C633" s="37" t="s">
        <v>1110</v>
      </c>
      <c r="D633" s="11"/>
      <c r="E633" s="11"/>
      <c r="F633" s="27" t="s">
        <v>77</v>
      </c>
      <c r="G633" s="11" t="s">
        <v>196</v>
      </c>
      <c r="H633" s="28" t="s">
        <v>823</v>
      </c>
      <c r="I633" s="11"/>
      <c r="J633" s="12"/>
      <c r="K633" s="29" t="s">
        <v>50</v>
      </c>
      <c r="L633" s="12" t="s">
        <v>357</v>
      </c>
      <c r="M633" s="11">
        <f t="shared" si="1"/>
        <v>1</v>
      </c>
      <c r="N633" s="11"/>
      <c r="O633" s="18">
        <v>1.0</v>
      </c>
      <c r="P633" s="11"/>
      <c r="Q633" s="11"/>
      <c r="R633" s="11"/>
      <c r="S633" s="11"/>
      <c r="T633" s="11"/>
      <c r="U633" s="11"/>
      <c r="V633" s="11"/>
      <c r="W633" s="11"/>
      <c r="X633" s="11"/>
      <c r="Y633" s="11"/>
      <c r="Z633" s="14">
        <f t="shared" si="3"/>
        <v>1</v>
      </c>
      <c r="AA633" s="15" t="s">
        <v>91</v>
      </c>
      <c r="AB633" s="14">
        <v>0.8412871188404261</v>
      </c>
    </row>
    <row r="634" ht="14.25" customHeight="1">
      <c r="A634" s="11" t="s">
        <v>2103</v>
      </c>
      <c r="B634" s="11" t="s">
        <v>2104</v>
      </c>
      <c r="C634" s="26" t="s">
        <v>2105</v>
      </c>
      <c r="D634" s="11"/>
      <c r="E634" s="11"/>
      <c r="F634" s="27" t="s">
        <v>77</v>
      </c>
      <c r="G634" s="11" t="s">
        <v>1210</v>
      </c>
      <c r="H634" s="28" t="s">
        <v>1215</v>
      </c>
      <c r="I634" s="11"/>
      <c r="J634" s="11"/>
      <c r="K634" s="29" t="s">
        <v>50</v>
      </c>
      <c r="L634" s="12" t="s">
        <v>357</v>
      </c>
      <c r="M634" s="11">
        <f t="shared" si="1"/>
        <v>1</v>
      </c>
      <c r="N634" s="11"/>
      <c r="O634" s="11"/>
      <c r="P634" s="11"/>
      <c r="Q634" s="11"/>
      <c r="R634" s="11"/>
      <c r="S634" s="11"/>
      <c r="T634" s="11"/>
      <c r="U634" s="11"/>
      <c r="V634" s="18"/>
      <c r="W634" s="18">
        <v>1.0</v>
      </c>
      <c r="X634" s="11"/>
      <c r="Y634" s="11"/>
      <c r="Z634" s="14">
        <f t="shared" si="3"/>
        <v>1</v>
      </c>
      <c r="AA634" s="15" t="s">
        <v>91</v>
      </c>
      <c r="AB634" s="14">
        <v>0.8441078485192615</v>
      </c>
    </row>
    <row r="635" ht="14.25" hidden="1" customHeight="1">
      <c r="A635" s="11" t="s">
        <v>2106</v>
      </c>
      <c r="B635" s="11" t="s">
        <v>2107</v>
      </c>
      <c r="C635" s="16" t="s">
        <v>891</v>
      </c>
      <c r="D635" s="11"/>
      <c r="E635" s="11"/>
      <c r="F635" s="11"/>
      <c r="G635" s="11" t="s">
        <v>361</v>
      </c>
      <c r="H635" s="11"/>
      <c r="I635" s="11"/>
      <c r="J635" s="11"/>
      <c r="K635" s="12" t="s">
        <v>89</v>
      </c>
      <c r="L635" s="12" t="s">
        <v>2108</v>
      </c>
      <c r="M635" s="11">
        <f t="shared" si="1"/>
        <v>0</v>
      </c>
      <c r="N635" s="18">
        <v>1.0</v>
      </c>
      <c r="O635" s="11"/>
      <c r="P635" s="11"/>
      <c r="Q635" s="11"/>
      <c r="R635" s="11"/>
      <c r="S635" s="11"/>
      <c r="T635" s="11"/>
      <c r="U635" s="11"/>
      <c r="V635" s="11"/>
      <c r="W635" s="12">
        <v>1.0</v>
      </c>
      <c r="X635" s="11"/>
      <c r="Y635" s="11"/>
      <c r="Z635" s="14">
        <f t="shared" si="3"/>
        <v>2</v>
      </c>
      <c r="AA635" s="15" t="s">
        <v>52</v>
      </c>
    </row>
    <row r="636" ht="14.25" customHeight="1">
      <c r="A636" s="32" t="s">
        <v>2109</v>
      </c>
      <c r="B636" s="19" t="s">
        <v>602</v>
      </c>
      <c r="C636" s="60" t="s">
        <v>2110</v>
      </c>
      <c r="D636" s="21"/>
      <c r="E636" s="21"/>
      <c r="F636" s="27" t="s">
        <v>103</v>
      </c>
      <c r="G636" s="19" t="s">
        <v>38</v>
      </c>
      <c r="H636" s="23" t="s">
        <v>99</v>
      </c>
      <c r="I636" s="21"/>
      <c r="J636" s="21"/>
      <c r="K636" s="25" t="s">
        <v>50</v>
      </c>
      <c r="L636" s="24" t="s">
        <v>65</v>
      </c>
      <c r="M636" s="11">
        <f t="shared" si="1"/>
        <v>1</v>
      </c>
      <c r="N636" s="21"/>
      <c r="O636" s="21"/>
      <c r="P636" s="21"/>
      <c r="Q636" s="21"/>
      <c r="R636" s="21"/>
      <c r="S636" s="21"/>
      <c r="T636" s="21"/>
      <c r="U636" s="21"/>
      <c r="V636" s="21"/>
      <c r="W636" s="24">
        <v>1.0</v>
      </c>
      <c r="X636" s="21"/>
      <c r="Y636" s="21"/>
      <c r="Z636" s="14">
        <f t="shared" si="3"/>
        <v>1</v>
      </c>
      <c r="AA636" s="15" t="s">
        <v>52</v>
      </c>
      <c r="AB636" s="14">
        <v>0.8470321511224153</v>
      </c>
    </row>
    <row r="637" ht="14.25" customHeight="1">
      <c r="A637" s="11" t="s">
        <v>2111</v>
      </c>
      <c r="B637" s="11" t="s">
        <v>374</v>
      </c>
      <c r="C637" s="37" t="s">
        <v>2112</v>
      </c>
      <c r="D637" s="11"/>
      <c r="E637" s="11"/>
      <c r="F637" s="27" t="s">
        <v>95</v>
      </c>
      <c r="G637" s="11" t="s">
        <v>48</v>
      </c>
      <c r="H637" s="28" t="s">
        <v>2113</v>
      </c>
      <c r="I637" s="11"/>
      <c r="J637" s="12"/>
      <c r="K637" s="29" t="s">
        <v>50</v>
      </c>
      <c r="L637" s="12" t="s">
        <v>1779</v>
      </c>
      <c r="M637" s="11">
        <f t="shared" si="1"/>
        <v>1</v>
      </c>
      <c r="N637" s="11"/>
      <c r="O637" s="11"/>
      <c r="P637" s="11"/>
      <c r="Q637" s="11"/>
      <c r="R637" s="11"/>
      <c r="S637" s="11"/>
      <c r="T637" s="11"/>
      <c r="U637" s="11"/>
      <c r="V637" s="31">
        <v>1.0</v>
      </c>
      <c r="W637" s="18">
        <v>1.0</v>
      </c>
      <c r="X637" s="11"/>
      <c r="Y637" s="11"/>
      <c r="Z637" s="14">
        <f t="shared" si="3"/>
        <v>2</v>
      </c>
      <c r="AA637" s="15" t="s">
        <v>106</v>
      </c>
      <c r="AB637" s="14">
        <v>0.8483840714777904</v>
      </c>
    </row>
    <row r="638" ht="14.25" customHeight="1">
      <c r="A638" s="19" t="s">
        <v>2114</v>
      </c>
      <c r="B638" s="19" t="s">
        <v>2115</v>
      </c>
      <c r="C638" s="20" t="s">
        <v>2116</v>
      </c>
      <c r="D638" s="21"/>
      <c r="E638" s="21"/>
      <c r="F638" s="27" t="s">
        <v>62</v>
      </c>
      <c r="G638" s="19" t="s">
        <v>78</v>
      </c>
      <c r="H638" s="23" t="s">
        <v>2088</v>
      </c>
      <c r="I638" s="21"/>
      <c r="J638" s="24"/>
      <c r="K638" s="25" t="s">
        <v>50</v>
      </c>
      <c r="L638" s="24" t="s">
        <v>51</v>
      </c>
      <c r="M638" s="11">
        <f t="shared" si="1"/>
        <v>1</v>
      </c>
      <c r="N638" s="21"/>
      <c r="O638" s="21"/>
      <c r="P638" s="21"/>
      <c r="Q638" s="21"/>
      <c r="R638" s="21"/>
      <c r="S638" s="21"/>
      <c r="T638" s="21"/>
      <c r="U638" s="21"/>
      <c r="V638" s="21"/>
      <c r="W638" s="24">
        <v>1.0</v>
      </c>
      <c r="X638" s="21"/>
      <c r="Y638" s="21"/>
      <c r="Z638" s="14">
        <f t="shared" si="3"/>
        <v>1</v>
      </c>
      <c r="AA638" s="15" t="s">
        <v>52</v>
      </c>
      <c r="AB638" s="14">
        <v>0.8484016375666292</v>
      </c>
    </row>
    <row r="639" ht="14.25" hidden="1" customHeight="1">
      <c r="A639" s="11" t="s">
        <v>2117</v>
      </c>
      <c r="B639" s="11" t="s">
        <v>2118</v>
      </c>
      <c r="C639" s="42" t="s">
        <v>2119</v>
      </c>
      <c r="D639" s="11"/>
      <c r="E639" s="11"/>
      <c r="F639" s="11"/>
      <c r="G639" s="11" t="s">
        <v>38</v>
      </c>
      <c r="H639" s="11"/>
      <c r="I639" s="11"/>
      <c r="J639" s="11"/>
      <c r="K639" s="12" t="s">
        <v>89</v>
      </c>
      <c r="L639" s="12" t="s">
        <v>252</v>
      </c>
      <c r="M639" s="11">
        <f t="shared" si="1"/>
        <v>0</v>
      </c>
      <c r="N639" s="11"/>
      <c r="O639" s="11"/>
      <c r="P639" s="11"/>
      <c r="Q639" s="11"/>
      <c r="R639" s="11"/>
      <c r="S639" s="11"/>
      <c r="T639" s="11"/>
      <c r="U639" s="11"/>
      <c r="V639" s="18"/>
      <c r="W639" s="18">
        <v>1.0</v>
      </c>
      <c r="X639" s="11"/>
      <c r="Y639" s="11"/>
      <c r="Z639" s="14">
        <f t="shared" si="3"/>
        <v>1</v>
      </c>
      <c r="AA639" s="15" t="s">
        <v>52</v>
      </c>
    </row>
    <row r="640" ht="14.25" hidden="1" customHeight="1">
      <c r="A640" s="19" t="s">
        <v>2120</v>
      </c>
      <c r="B640" s="19" t="s">
        <v>2121</v>
      </c>
      <c r="C640" s="40" t="s">
        <v>2122</v>
      </c>
      <c r="D640" s="21"/>
      <c r="E640" s="21"/>
      <c r="F640" s="21"/>
      <c r="G640" s="19" t="s">
        <v>1040</v>
      </c>
      <c r="H640" s="21"/>
      <c r="I640" s="21"/>
      <c r="J640" s="21"/>
      <c r="K640" s="24" t="s">
        <v>89</v>
      </c>
      <c r="L640" s="24" t="s">
        <v>252</v>
      </c>
      <c r="M640" s="11">
        <f t="shared" si="1"/>
        <v>0</v>
      </c>
      <c r="N640" s="21"/>
      <c r="O640" s="21"/>
      <c r="P640" s="21"/>
      <c r="Q640" s="21"/>
      <c r="R640" s="21"/>
      <c r="S640" s="21"/>
      <c r="T640" s="21"/>
      <c r="U640" s="21"/>
      <c r="V640" s="21"/>
      <c r="W640" s="24">
        <v>1.0</v>
      </c>
      <c r="X640" s="21"/>
      <c r="Y640" s="21"/>
      <c r="Z640" s="14">
        <f t="shared" si="3"/>
        <v>1</v>
      </c>
      <c r="AA640" s="15" t="s">
        <v>52</v>
      </c>
    </row>
    <row r="641" ht="14.25" customHeight="1">
      <c r="A641" s="11" t="s">
        <v>2123</v>
      </c>
      <c r="B641" s="11" t="s">
        <v>2124</v>
      </c>
      <c r="C641" s="37" t="s">
        <v>2125</v>
      </c>
      <c r="D641" s="12" t="s">
        <v>29</v>
      </c>
      <c r="E641" s="12" t="s">
        <v>29</v>
      </c>
      <c r="F641" s="27" t="s">
        <v>37</v>
      </c>
      <c r="G641" s="11" t="s">
        <v>38</v>
      </c>
      <c r="H641" s="28" t="s">
        <v>2126</v>
      </c>
      <c r="I641" s="11"/>
      <c r="J641" s="11"/>
      <c r="K641" s="29" t="s">
        <v>50</v>
      </c>
      <c r="L641" s="11"/>
      <c r="M641" s="11">
        <f t="shared" si="1"/>
        <v>1</v>
      </c>
      <c r="N641" s="18">
        <v>1.0</v>
      </c>
      <c r="O641" s="18">
        <v>1.0</v>
      </c>
      <c r="P641" s="11"/>
      <c r="Q641" s="11"/>
      <c r="R641" s="11"/>
      <c r="S641" s="12">
        <v>1.0</v>
      </c>
      <c r="T641" s="12">
        <v>1.0</v>
      </c>
      <c r="U641" s="12"/>
      <c r="V641" s="31">
        <v>1.0</v>
      </c>
      <c r="W641" s="18">
        <v>1.0</v>
      </c>
      <c r="X641" s="11"/>
      <c r="Y641" s="11"/>
      <c r="Z641" s="14">
        <f t="shared" si="3"/>
        <v>6</v>
      </c>
      <c r="AA641" s="15" t="s">
        <v>106</v>
      </c>
      <c r="AB641" s="14">
        <v>0.850143514530723</v>
      </c>
    </row>
    <row r="642" ht="14.25" customHeight="1">
      <c r="A642" s="11" t="s">
        <v>2127</v>
      </c>
      <c r="B642" s="11" t="s">
        <v>2128</v>
      </c>
      <c r="C642" s="37" t="s">
        <v>2129</v>
      </c>
      <c r="D642" s="12" t="s">
        <v>29</v>
      </c>
      <c r="E642" s="12" t="s">
        <v>2130</v>
      </c>
      <c r="F642" s="27" t="s">
        <v>37</v>
      </c>
      <c r="G642" s="11" t="s">
        <v>68</v>
      </c>
      <c r="H642" s="28" t="s">
        <v>99</v>
      </c>
      <c r="I642" s="11"/>
      <c r="J642" s="11"/>
      <c r="K642" s="29" t="s">
        <v>50</v>
      </c>
      <c r="L642" s="11"/>
      <c r="M642" s="11">
        <f t="shared" si="1"/>
        <v>1</v>
      </c>
      <c r="N642" s="11"/>
      <c r="O642" s="18">
        <v>1.0</v>
      </c>
      <c r="P642" s="18"/>
      <c r="Q642" s="31">
        <v>1.0</v>
      </c>
      <c r="R642" s="18"/>
      <c r="S642" s="31">
        <v>1.0</v>
      </c>
      <c r="T642" s="31">
        <v>1.0</v>
      </c>
      <c r="U642" s="31"/>
      <c r="V642" s="31">
        <v>1.0</v>
      </c>
      <c r="W642" s="18">
        <v>1.0</v>
      </c>
      <c r="X642" s="18"/>
      <c r="Y642" s="18">
        <v>1.0</v>
      </c>
      <c r="Z642" s="14">
        <f t="shared" si="3"/>
        <v>7</v>
      </c>
      <c r="AA642" s="15" t="s">
        <v>106</v>
      </c>
      <c r="AB642" s="14">
        <v>0.8506110686051446</v>
      </c>
    </row>
    <row r="643" ht="14.25" hidden="1" customHeight="1">
      <c r="A643" s="11" t="s">
        <v>2131</v>
      </c>
      <c r="B643" s="11" t="s">
        <v>2132</v>
      </c>
      <c r="C643" s="42" t="s">
        <v>2133</v>
      </c>
      <c r="D643" s="11"/>
      <c r="E643" s="11"/>
      <c r="F643" s="11"/>
      <c r="G643" s="11" t="s">
        <v>361</v>
      </c>
      <c r="H643" s="11"/>
      <c r="I643" s="11"/>
      <c r="J643" s="11"/>
      <c r="K643" s="12" t="s">
        <v>89</v>
      </c>
      <c r="L643" s="12" t="s">
        <v>69</v>
      </c>
      <c r="M643" s="11">
        <f t="shared" si="1"/>
        <v>0</v>
      </c>
      <c r="N643" s="11"/>
      <c r="O643" s="11"/>
      <c r="P643" s="11"/>
      <c r="Q643" s="11"/>
      <c r="R643" s="11"/>
      <c r="S643" s="11"/>
      <c r="T643" s="11"/>
      <c r="U643" s="11"/>
      <c r="V643" s="18"/>
      <c r="W643" s="18">
        <v>1.0</v>
      </c>
      <c r="X643" s="11"/>
      <c r="Y643" s="11"/>
      <c r="Z643" s="14">
        <f t="shared" si="3"/>
        <v>1</v>
      </c>
      <c r="AA643" s="15" t="s">
        <v>52</v>
      </c>
    </row>
    <row r="644" ht="14.25" hidden="1" customHeight="1">
      <c r="A644" s="11" t="s">
        <v>2134</v>
      </c>
      <c r="B644" s="11" t="s">
        <v>956</v>
      </c>
      <c r="C644" s="42" t="s">
        <v>2135</v>
      </c>
      <c r="D644" s="11"/>
      <c r="E644" s="11"/>
      <c r="F644" s="11"/>
      <c r="G644" s="11" t="s">
        <v>264</v>
      </c>
      <c r="H644" s="11"/>
      <c r="I644" s="11"/>
      <c r="J644" s="11"/>
      <c r="K644" s="12" t="s">
        <v>89</v>
      </c>
      <c r="L644" s="12" t="s">
        <v>200</v>
      </c>
      <c r="M644" s="11">
        <f t="shared" si="1"/>
        <v>0</v>
      </c>
      <c r="N644" s="11"/>
      <c r="O644" s="11"/>
      <c r="P644" s="11"/>
      <c r="Q644" s="11"/>
      <c r="R644" s="11"/>
      <c r="S644" s="11"/>
      <c r="T644" s="11"/>
      <c r="U644" s="11"/>
      <c r="V644" s="18"/>
      <c r="W644" s="18">
        <v>1.0</v>
      </c>
      <c r="X644" s="11"/>
      <c r="Y644" s="11"/>
      <c r="Z644" s="14">
        <f t="shared" si="3"/>
        <v>1</v>
      </c>
      <c r="AA644" s="15" t="s">
        <v>52</v>
      </c>
    </row>
    <row r="645" ht="14.25" hidden="1" customHeight="1">
      <c r="A645" s="11" t="s">
        <v>2136</v>
      </c>
      <c r="B645" s="11" t="s">
        <v>956</v>
      </c>
      <c r="C645" s="42" t="s">
        <v>2137</v>
      </c>
      <c r="D645" s="11"/>
      <c r="E645" s="11"/>
      <c r="F645" s="11"/>
      <c r="G645" s="11" t="s">
        <v>264</v>
      </c>
      <c r="H645" s="11"/>
      <c r="I645" s="11"/>
      <c r="J645" s="11"/>
      <c r="K645" s="12" t="s">
        <v>89</v>
      </c>
      <c r="L645" s="12" t="s">
        <v>468</v>
      </c>
      <c r="M645" s="11">
        <f t="shared" si="1"/>
        <v>0</v>
      </c>
      <c r="N645" s="11"/>
      <c r="O645" s="11"/>
      <c r="P645" s="11"/>
      <c r="Q645" s="11"/>
      <c r="R645" s="11"/>
      <c r="S645" s="11"/>
      <c r="T645" s="11"/>
      <c r="U645" s="11"/>
      <c r="V645" s="18"/>
      <c r="W645" s="18">
        <v>1.0</v>
      </c>
      <c r="X645" s="11"/>
      <c r="Y645" s="11"/>
      <c r="Z645" s="14">
        <f t="shared" si="3"/>
        <v>1</v>
      </c>
      <c r="AA645" s="15" t="s">
        <v>52</v>
      </c>
    </row>
    <row r="646" ht="14.25" hidden="1" customHeight="1">
      <c r="A646" s="11" t="s">
        <v>2138</v>
      </c>
      <c r="B646" s="11" t="s">
        <v>956</v>
      </c>
      <c r="C646" s="30" t="s">
        <v>2139</v>
      </c>
      <c r="D646" s="11"/>
      <c r="E646" s="11"/>
      <c r="F646" s="11"/>
      <c r="G646" s="11" t="s">
        <v>264</v>
      </c>
      <c r="H646" s="11"/>
      <c r="I646" s="11"/>
      <c r="J646" s="11"/>
      <c r="K646" s="12" t="s">
        <v>89</v>
      </c>
      <c r="L646" s="12" t="s">
        <v>252</v>
      </c>
      <c r="M646" s="11">
        <f t="shared" si="1"/>
        <v>0</v>
      </c>
      <c r="N646" s="11"/>
      <c r="O646" s="11"/>
      <c r="P646" s="11"/>
      <c r="Q646" s="11"/>
      <c r="R646" s="11"/>
      <c r="S646" s="11"/>
      <c r="T646" s="11"/>
      <c r="U646" s="11"/>
      <c r="V646" s="18"/>
      <c r="W646" s="18">
        <v>1.0</v>
      </c>
      <c r="X646" s="11"/>
      <c r="Y646" s="11"/>
      <c r="Z646" s="14">
        <f t="shared" si="3"/>
        <v>1</v>
      </c>
      <c r="AA646" s="15" t="s">
        <v>52</v>
      </c>
    </row>
    <row r="647" ht="14.25" customHeight="1">
      <c r="A647" s="11" t="s">
        <v>2140</v>
      </c>
      <c r="B647" s="11" t="s">
        <v>2141</v>
      </c>
      <c r="C647" s="37" t="s">
        <v>2142</v>
      </c>
      <c r="D647" s="11"/>
      <c r="E647" s="11"/>
      <c r="F647" s="27" t="s">
        <v>140</v>
      </c>
      <c r="G647" s="11" t="s">
        <v>78</v>
      </c>
      <c r="H647" s="28" t="s">
        <v>564</v>
      </c>
      <c r="I647" s="11"/>
      <c r="J647" s="11"/>
      <c r="K647" s="29" t="s">
        <v>50</v>
      </c>
      <c r="L647" s="12" t="s">
        <v>565</v>
      </c>
      <c r="M647" s="11">
        <f t="shared" si="1"/>
        <v>1</v>
      </c>
      <c r="N647" s="18">
        <v>1.0</v>
      </c>
      <c r="O647" s="11"/>
      <c r="P647" s="11"/>
      <c r="Q647" s="11"/>
      <c r="R647" s="11"/>
      <c r="S647" s="11"/>
      <c r="T647" s="11"/>
      <c r="U647" s="11"/>
      <c r="V647" s="12">
        <v>1.0</v>
      </c>
      <c r="W647" s="12">
        <v>1.0</v>
      </c>
      <c r="X647" s="11"/>
      <c r="Y647" s="11"/>
      <c r="Z647" s="14">
        <f t="shared" si="3"/>
        <v>3</v>
      </c>
      <c r="AA647" s="15" t="s">
        <v>52</v>
      </c>
      <c r="AB647" s="14">
        <v>0.8575218542010105</v>
      </c>
    </row>
    <row r="648" ht="14.25" customHeight="1">
      <c r="A648" s="19" t="s">
        <v>2143</v>
      </c>
      <c r="B648" s="19" t="s">
        <v>403</v>
      </c>
      <c r="C648" s="35" t="s">
        <v>2144</v>
      </c>
      <c r="D648" s="21"/>
      <c r="E648" s="21"/>
      <c r="F648" s="22" t="s">
        <v>405</v>
      </c>
      <c r="G648" s="19" t="s">
        <v>83</v>
      </c>
      <c r="H648" s="23" t="s">
        <v>2006</v>
      </c>
      <c r="I648" s="21"/>
      <c r="J648" s="24"/>
      <c r="K648" s="25" t="s">
        <v>50</v>
      </c>
      <c r="L648" s="24" t="s">
        <v>248</v>
      </c>
      <c r="M648" s="11">
        <f t="shared" si="1"/>
        <v>1</v>
      </c>
      <c r="N648" s="21"/>
      <c r="O648" s="21"/>
      <c r="P648" s="21"/>
      <c r="Q648" s="21"/>
      <c r="R648" s="21"/>
      <c r="S648" s="21"/>
      <c r="T648" s="21"/>
      <c r="U648" s="21"/>
      <c r="V648" s="21"/>
      <c r="W648" s="24">
        <v>1.0</v>
      </c>
      <c r="X648" s="21"/>
      <c r="Y648" s="21"/>
      <c r="Z648" s="14">
        <f t="shared" si="3"/>
        <v>1</v>
      </c>
      <c r="AA648" s="15" t="s">
        <v>106</v>
      </c>
      <c r="AB648" s="14">
        <v>0.8586749855766853</v>
      </c>
    </row>
    <row r="649" ht="14.25" hidden="1" customHeight="1">
      <c r="A649" s="11" t="s">
        <v>2145</v>
      </c>
      <c r="B649" s="11" t="s">
        <v>2146</v>
      </c>
      <c r="C649" s="42" t="s">
        <v>2147</v>
      </c>
      <c r="D649" s="11"/>
      <c r="E649" s="11"/>
      <c r="F649" s="11"/>
      <c r="G649" s="11" t="s">
        <v>2148</v>
      </c>
      <c r="H649" s="11"/>
      <c r="I649" s="11"/>
      <c r="J649" s="11"/>
      <c r="K649" s="12" t="s">
        <v>89</v>
      </c>
      <c r="L649" s="12" t="s">
        <v>1340</v>
      </c>
      <c r="M649" s="11">
        <f t="shared" si="1"/>
        <v>0</v>
      </c>
      <c r="N649" s="11"/>
      <c r="O649" s="11"/>
      <c r="P649" s="11"/>
      <c r="Q649" s="11"/>
      <c r="R649" s="11"/>
      <c r="S649" s="11"/>
      <c r="T649" s="11"/>
      <c r="U649" s="11"/>
      <c r="V649" s="18"/>
      <c r="W649" s="18">
        <v>1.0</v>
      </c>
      <c r="X649" s="11"/>
      <c r="Y649" s="11"/>
      <c r="Z649" s="14">
        <f t="shared" si="3"/>
        <v>1</v>
      </c>
      <c r="AA649" s="15" t="s">
        <v>52</v>
      </c>
    </row>
    <row r="650" ht="14.25" customHeight="1">
      <c r="A650" s="11" t="s">
        <v>2149</v>
      </c>
      <c r="B650" s="11" t="s">
        <v>2150</v>
      </c>
      <c r="C650" s="37" t="s">
        <v>2151</v>
      </c>
      <c r="D650" s="11"/>
      <c r="E650" s="11"/>
      <c r="F650" s="22" t="s">
        <v>77</v>
      </c>
      <c r="G650" s="11" t="s">
        <v>284</v>
      </c>
      <c r="H650" s="28" t="s">
        <v>2152</v>
      </c>
      <c r="I650" s="11"/>
      <c r="J650" s="11"/>
      <c r="K650" s="29" t="s">
        <v>50</v>
      </c>
      <c r="L650" s="11"/>
      <c r="M650" s="11">
        <f t="shared" si="1"/>
        <v>1</v>
      </c>
      <c r="N650" s="11"/>
      <c r="O650" s="11"/>
      <c r="P650" s="11"/>
      <c r="Q650" s="11"/>
      <c r="R650" s="11"/>
      <c r="S650" s="11"/>
      <c r="T650" s="11"/>
      <c r="U650" s="11"/>
      <c r="V650" s="18"/>
      <c r="W650" s="18">
        <v>1.0</v>
      </c>
      <c r="X650" s="11"/>
      <c r="Y650" s="11"/>
      <c r="Z650" s="14">
        <f t="shared" si="3"/>
        <v>1</v>
      </c>
      <c r="AA650" s="15" t="s">
        <v>106</v>
      </c>
      <c r="AB650" s="14">
        <v>0.8604361600815327</v>
      </c>
    </row>
    <row r="651" ht="14.25" customHeight="1">
      <c r="A651" s="19" t="s">
        <v>2153</v>
      </c>
      <c r="B651" s="19" t="s">
        <v>2154</v>
      </c>
      <c r="C651" s="35" t="s">
        <v>2155</v>
      </c>
      <c r="D651" s="21"/>
      <c r="E651" s="21"/>
      <c r="F651" s="27" t="s">
        <v>103</v>
      </c>
      <c r="G651" s="19" t="s">
        <v>83</v>
      </c>
      <c r="H651" s="23" t="s">
        <v>416</v>
      </c>
      <c r="I651" s="21"/>
      <c r="J651" s="21"/>
      <c r="K651" s="25" t="s">
        <v>50</v>
      </c>
      <c r="L651" s="24" t="s">
        <v>65</v>
      </c>
      <c r="M651" s="11">
        <f t="shared" si="1"/>
        <v>1</v>
      </c>
      <c r="N651" s="21"/>
      <c r="O651" s="21"/>
      <c r="P651" s="21"/>
      <c r="Q651" s="21"/>
      <c r="R651" s="21"/>
      <c r="S651" s="21"/>
      <c r="T651" s="21"/>
      <c r="U651" s="21"/>
      <c r="V651" s="21"/>
      <c r="W651" s="24">
        <v>1.0</v>
      </c>
      <c r="X651" s="21"/>
      <c r="Y651" s="21"/>
      <c r="Z651" s="14">
        <f t="shared" si="3"/>
        <v>1</v>
      </c>
      <c r="AA651" s="15" t="s">
        <v>91</v>
      </c>
      <c r="AB651" s="14">
        <v>0.8605031408507268</v>
      </c>
    </row>
    <row r="652" ht="14.25" customHeight="1">
      <c r="A652" s="19" t="s">
        <v>2156</v>
      </c>
      <c r="B652" s="19" t="s">
        <v>602</v>
      </c>
      <c r="C652" s="55" t="s">
        <v>2157</v>
      </c>
      <c r="D652" s="21"/>
      <c r="E652" s="21"/>
      <c r="F652" s="27" t="s">
        <v>103</v>
      </c>
      <c r="G652" s="19" t="s">
        <v>38</v>
      </c>
      <c r="H652" s="23" t="s">
        <v>652</v>
      </c>
      <c r="I652" s="21"/>
      <c r="J652" s="21"/>
      <c r="K652" s="25" t="s">
        <v>50</v>
      </c>
      <c r="L652" s="24" t="s">
        <v>51</v>
      </c>
      <c r="M652" s="11">
        <f t="shared" si="1"/>
        <v>1</v>
      </c>
      <c r="N652" s="21"/>
      <c r="O652" s="21"/>
      <c r="P652" s="21"/>
      <c r="Q652" s="21"/>
      <c r="R652" s="21"/>
      <c r="S652" s="21"/>
      <c r="T652" s="21"/>
      <c r="U652" s="21"/>
      <c r="V652" s="21"/>
      <c r="W652" s="24">
        <v>1.0</v>
      </c>
      <c r="X652" s="21"/>
      <c r="Y652" s="21"/>
      <c r="Z652" s="14">
        <f t="shared" si="3"/>
        <v>1</v>
      </c>
      <c r="AA652" s="15" t="s">
        <v>52</v>
      </c>
      <c r="AB652" s="14">
        <v>0.8613470283519368</v>
      </c>
    </row>
    <row r="653" ht="14.25" customHeight="1">
      <c r="A653" s="11" t="s">
        <v>2158</v>
      </c>
      <c r="B653" s="11" t="s">
        <v>2159</v>
      </c>
      <c r="C653" s="37" t="s">
        <v>2160</v>
      </c>
      <c r="D653" s="11"/>
      <c r="E653" s="11"/>
      <c r="F653" s="22" t="s">
        <v>95</v>
      </c>
      <c r="G653" s="11" t="s">
        <v>115</v>
      </c>
      <c r="H653" s="28" t="s">
        <v>172</v>
      </c>
      <c r="I653" s="11"/>
      <c r="J653" s="11"/>
      <c r="K653" s="29" t="s">
        <v>58</v>
      </c>
      <c r="L653" s="11"/>
      <c r="M653" s="11">
        <f t="shared" si="1"/>
        <v>1</v>
      </c>
      <c r="N653" s="11"/>
      <c r="O653" s="11"/>
      <c r="P653" s="11"/>
      <c r="Q653" s="11"/>
      <c r="R653" s="11"/>
      <c r="S653" s="11"/>
      <c r="T653" s="11"/>
      <c r="U653" s="11"/>
      <c r="V653" s="31">
        <v>1.0</v>
      </c>
      <c r="W653" s="18">
        <v>1.0</v>
      </c>
      <c r="X653" s="11"/>
      <c r="Y653" s="11"/>
      <c r="Z653" s="14">
        <f t="shared" si="3"/>
        <v>2</v>
      </c>
      <c r="AA653" s="15" t="s">
        <v>33</v>
      </c>
      <c r="AB653" s="14">
        <v>0.8649342287634907</v>
      </c>
    </row>
    <row r="654" ht="14.25" customHeight="1">
      <c r="A654" s="19" t="s">
        <v>2161</v>
      </c>
      <c r="B654" s="19" t="s">
        <v>491</v>
      </c>
      <c r="C654" s="33" t="s">
        <v>2162</v>
      </c>
      <c r="D654" s="21"/>
      <c r="E654" s="21"/>
      <c r="F654" s="27" t="s">
        <v>103</v>
      </c>
      <c r="G654" s="19" t="s">
        <v>83</v>
      </c>
      <c r="H654" s="23" t="s">
        <v>2163</v>
      </c>
      <c r="I654" s="21"/>
      <c r="J654" s="24"/>
      <c r="K654" s="25" t="s">
        <v>50</v>
      </c>
      <c r="L654" s="24" t="s">
        <v>51</v>
      </c>
      <c r="M654" s="11">
        <f t="shared" si="1"/>
        <v>1</v>
      </c>
      <c r="N654" s="21"/>
      <c r="O654" s="21"/>
      <c r="P654" s="21"/>
      <c r="Q654" s="21"/>
      <c r="R654" s="21"/>
      <c r="S654" s="21"/>
      <c r="T654" s="21"/>
      <c r="U654" s="21"/>
      <c r="V654" s="21"/>
      <c r="W654" s="24">
        <v>1.0</v>
      </c>
      <c r="X654" s="21"/>
      <c r="Y654" s="21"/>
      <c r="Z654" s="14">
        <f t="shared" si="3"/>
        <v>1</v>
      </c>
      <c r="AA654" s="15" t="s">
        <v>106</v>
      </c>
      <c r="AB654" s="14">
        <v>0.8656444587597644</v>
      </c>
    </row>
    <row r="655" ht="14.25" customHeight="1">
      <c r="A655" s="11" t="s">
        <v>2164</v>
      </c>
      <c r="B655" s="11" t="s">
        <v>2165</v>
      </c>
      <c r="C655" s="26" t="s">
        <v>2166</v>
      </c>
      <c r="D655" s="11"/>
      <c r="E655" s="11"/>
      <c r="F655" s="27" t="s">
        <v>77</v>
      </c>
      <c r="G655" s="11" t="s">
        <v>48</v>
      </c>
      <c r="H655" s="28" t="s">
        <v>189</v>
      </c>
      <c r="I655" s="11"/>
      <c r="J655" s="11"/>
      <c r="K655" s="29" t="s">
        <v>50</v>
      </c>
      <c r="L655" s="12" t="s">
        <v>357</v>
      </c>
      <c r="M655" s="11">
        <f t="shared" si="1"/>
        <v>1</v>
      </c>
      <c r="N655" s="11">
        <v>1.0</v>
      </c>
      <c r="O655" s="11"/>
      <c r="P655" s="11"/>
      <c r="Q655" s="11"/>
      <c r="R655" s="11"/>
      <c r="S655" s="11"/>
      <c r="T655" s="11"/>
      <c r="U655" s="11"/>
      <c r="V655" s="31">
        <v>1.0</v>
      </c>
      <c r="W655" s="18">
        <v>1.0</v>
      </c>
      <c r="X655" s="11"/>
      <c r="Y655" s="11"/>
      <c r="Z655" s="14">
        <f t="shared" si="3"/>
        <v>3</v>
      </c>
      <c r="AA655" s="15" t="s">
        <v>91</v>
      </c>
      <c r="AB655" s="14">
        <v>0.8693464205881127</v>
      </c>
    </row>
    <row r="656" ht="14.25" customHeight="1">
      <c r="A656" s="11" t="s">
        <v>2167</v>
      </c>
      <c r="B656" s="11" t="s">
        <v>237</v>
      </c>
      <c r="C656" s="37" t="s">
        <v>2168</v>
      </c>
      <c r="D656" s="12" t="s">
        <v>29</v>
      </c>
      <c r="E656" s="12" t="s">
        <v>29</v>
      </c>
      <c r="F656" s="27" t="s">
        <v>95</v>
      </c>
      <c r="G656" s="11" t="s">
        <v>48</v>
      </c>
      <c r="H656" s="28" t="s">
        <v>99</v>
      </c>
      <c r="I656" s="12" t="s">
        <v>2169</v>
      </c>
      <c r="J656" s="11"/>
      <c r="K656" s="29" t="s">
        <v>50</v>
      </c>
      <c r="L656" s="11"/>
      <c r="M656" s="11">
        <f t="shared" si="1"/>
        <v>1</v>
      </c>
      <c r="N656" s="11"/>
      <c r="O656" s="11"/>
      <c r="P656" s="11"/>
      <c r="Q656" s="11"/>
      <c r="R656" s="11"/>
      <c r="S656" s="11"/>
      <c r="T656" s="11"/>
      <c r="U656" s="11"/>
      <c r="V656" s="31">
        <v>1.0</v>
      </c>
      <c r="W656" s="18">
        <v>1.0</v>
      </c>
      <c r="X656" s="11"/>
      <c r="Y656" s="11"/>
      <c r="Z656" s="14">
        <f t="shared" si="3"/>
        <v>2</v>
      </c>
      <c r="AA656" s="15" t="s">
        <v>106</v>
      </c>
      <c r="AB656" s="14">
        <v>0.8695340981537893</v>
      </c>
    </row>
    <row r="657" ht="14.25" hidden="1" customHeight="1">
      <c r="A657" s="19" t="s">
        <v>2170</v>
      </c>
      <c r="B657" s="19" t="s">
        <v>2171</v>
      </c>
      <c r="C657" s="52" t="s">
        <v>2172</v>
      </c>
      <c r="D657" s="21"/>
      <c r="E657" s="21"/>
      <c r="F657" s="21"/>
      <c r="G657" s="19" t="s">
        <v>38</v>
      </c>
      <c r="H657" s="21"/>
      <c r="I657" s="21"/>
      <c r="J657" s="21"/>
      <c r="K657" s="24" t="s">
        <v>89</v>
      </c>
      <c r="L657" s="24" t="s">
        <v>43</v>
      </c>
      <c r="M657" s="11">
        <f t="shared" si="1"/>
        <v>0</v>
      </c>
      <c r="N657" s="21"/>
      <c r="O657" s="21"/>
      <c r="P657" s="21"/>
      <c r="Q657" s="21"/>
      <c r="R657" s="21"/>
      <c r="S657" s="21"/>
      <c r="T657" s="21"/>
      <c r="U657" s="21"/>
      <c r="V657" s="21"/>
      <c r="W657" s="24">
        <v>1.0</v>
      </c>
      <c r="X657" s="21"/>
      <c r="Y657" s="21"/>
      <c r="Z657" s="14">
        <f t="shared" si="3"/>
        <v>1</v>
      </c>
      <c r="AA657" s="15" t="s">
        <v>52</v>
      </c>
    </row>
    <row r="658" ht="14.25" hidden="1" customHeight="1">
      <c r="A658" s="19" t="s">
        <v>2173</v>
      </c>
      <c r="B658" s="19" t="s">
        <v>327</v>
      </c>
      <c r="C658" s="40" t="s">
        <v>2174</v>
      </c>
      <c r="D658" s="21"/>
      <c r="E658" s="21"/>
      <c r="F658" s="21"/>
      <c r="G658" s="19" t="s">
        <v>38</v>
      </c>
      <c r="H658" s="21"/>
      <c r="I658" s="21"/>
      <c r="J658" s="21"/>
      <c r="K658" s="24" t="s">
        <v>89</v>
      </c>
      <c r="L658" s="24" t="s">
        <v>43</v>
      </c>
      <c r="M658" s="11">
        <f t="shared" si="1"/>
        <v>0</v>
      </c>
      <c r="N658" s="21"/>
      <c r="O658" s="21"/>
      <c r="P658" s="21"/>
      <c r="Q658" s="21"/>
      <c r="R658" s="21"/>
      <c r="S658" s="21"/>
      <c r="T658" s="21"/>
      <c r="U658" s="21"/>
      <c r="V658" s="21"/>
      <c r="W658" s="24">
        <v>1.0</v>
      </c>
      <c r="X658" s="21"/>
      <c r="Y658" s="21"/>
      <c r="Z658" s="14">
        <f t="shared" si="3"/>
        <v>1</v>
      </c>
      <c r="AA658" s="15" t="s">
        <v>52</v>
      </c>
    </row>
    <row r="659" ht="14.25" customHeight="1">
      <c r="A659" s="19" t="s">
        <v>2175</v>
      </c>
      <c r="B659" s="19" t="s">
        <v>2176</v>
      </c>
      <c r="C659" s="20" t="s">
        <v>2177</v>
      </c>
      <c r="D659" s="21"/>
      <c r="E659" s="21"/>
      <c r="F659" s="27" t="s">
        <v>62</v>
      </c>
      <c r="G659" s="19" t="s">
        <v>48</v>
      </c>
      <c r="H659" s="23" t="s">
        <v>2178</v>
      </c>
      <c r="I659" s="21"/>
      <c r="J659" s="24"/>
      <c r="K659" s="25" t="s">
        <v>50</v>
      </c>
      <c r="L659" s="24" t="s">
        <v>51</v>
      </c>
      <c r="M659" s="11">
        <f t="shared" si="1"/>
        <v>1</v>
      </c>
      <c r="N659" s="21"/>
      <c r="O659" s="21"/>
      <c r="P659" s="21"/>
      <c r="Q659" s="21"/>
      <c r="R659" s="21"/>
      <c r="S659" s="21"/>
      <c r="T659" s="21"/>
      <c r="U659" s="21"/>
      <c r="V659" s="21"/>
      <c r="W659" s="24">
        <v>1.0</v>
      </c>
      <c r="X659" s="21"/>
      <c r="Y659" s="21"/>
      <c r="Z659" s="14">
        <f t="shared" si="3"/>
        <v>1</v>
      </c>
      <c r="AA659" s="15" t="s">
        <v>52</v>
      </c>
      <c r="AB659" s="14">
        <v>0.8734124250472105</v>
      </c>
    </row>
    <row r="660" ht="14.25" hidden="1" customHeight="1">
      <c r="A660" s="19" t="s">
        <v>2179</v>
      </c>
      <c r="B660" s="19" t="s">
        <v>2180</v>
      </c>
      <c r="C660" s="52" t="s">
        <v>2181</v>
      </c>
      <c r="D660" s="21"/>
      <c r="E660" s="21"/>
      <c r="F660" s="21"/>
      <c r="G660" s="19" t="s">
        <v>38</v>
      </c>
      <c r="H660" s="21"/>
      <c r="I660" s="21"/>
      <c r="J660" s="21"/>
      <c r="K660" s="24" t="s">
        <v>89</v>
      </c>
      <c r="L660" s="24" t="s">
        <v>252</v>
      </c>
      <c r="M660" s="11">
        <f t="shared" si="1"/>
        <v>0</v>
      </c>
      <c r="N660" s="21"/>
      <c r="O660" s="21"/>
      <c r="P660" s="21"/>
      <c r="Q660" s="21"/>
      <c r="R660" s="21"/>
      <c r="S660" s="21"/>
      <c r="T660" s="21"/>
      <c r="U660" s="21"/>
      <c r="V660" s="21"/>
      <c r="W660" s="24">
        <v>1.0</v>
      </c>
      <c r="X660" s="21"/>
      <c r="Y660" s="21"/>
      <c r="Z660" s="14">
        <f t="shared" si="3"/>
        <v>1</v>
      </c>
      <c r="AA660" s="15" t="s">
        <v>52</v>
      </c>
    </row>
    <row r="661" ht="14.25" hidden="1" customHeight="1">
      <c r="A661" s="19" t="s">
        <v>2182</v>
      </c>
      <c r="B661" s="19" t="s">
        <v>2183</v>
      </c>
      <c r="C661" s="40" t="s">
        <v>2184</v>
      </c>
      <c r="D661" s="21"/>
      <c r="E661" s="21"/>
      <c r="F661" s="21"/>
      <c r="G661" s="19" t="s">
        <v>38</v>
      </c>
      <c r="H661" s="21"/>
      <c r="I661" s="21"/>
      <c r="J661" s="21"/>
      <c r="K661" s="24" t="s">
        <v>89</v>
      </c>
      <c r="L661" s="24" t="s">
        <v>43</v>
      </c>
      <c r="M661" s="11">
        <f t="shared" si="1"/>
        <v>0</v>
      </c>
      <c r="N661" s="21"/>
      <c r="O661" s="21"/>
      <c r="P661" s="21"/>
      <c r="Q661" s="21"/>
      <c r="R661" s="21"/>
      <c r="S661" s="21"/>
      <c r="T661" s="21"/>
      <c r="U661" s="21"/>
      <c r="V661" s="21"/>
      <c r="W661" s="24">
        <v>1.0</v>
      </c>
      <c r="X661" s="21"/>
      <c r="Y661" s="21"/>
      <c r="Z661" s="14">
        <f t="shared" si="3"/>
        <v>1</v>
      </c>
      <c r="AA661" s="15" t="s">
        <v>52</v>
      </c>
    </row>
    <row r="662" ht="14.25" customHeight="1">
      <c r="A662" s="11" t="s">
        <v>2185</v>
      </c>
      <c r="B662" s="11" t="s">
        <v>631</v>
      </c>
      <c r="C662" s="37" t="s">
        <v>2186</v>
      </c>
      <c r="D662" s="12" t="s">
        <v>29</v>
      </c>
      <c r="E662" s="12" t="s">
        <v>29</v>
      </c>
      <c r="F662" s="27" t="s">
        <v>95</v>
      </c>
      <c r="G662" s="11" t="s">
        <v>48</v>
      </c>
      <c r="H662" s="28" t="s">
        <v>172</v>
      </c>
      <c r="I662" s="11"/>
      <c r="J662" s="11"/>
      <c r="K662" s="29" t="s">
        <v>50</v>
      </c>
      <c r="L662" s="11"/>
      <c r="M662" s="11">
        <f t="shared" si="1"/>
        <v>1</v>
      </c>
      <c r="N662" s="18">
        <v>1.0</v>
      </c>
      <c r="O662" s="11"/>
      <c r="P662" s="11"/>
      <c r="Q662" s="11"/>
      <c r="R662" s="11"/>
      <c r="S662" s="11"/>
      <c r="T662" s="11"/>
      <c r="U662" s="11"/>
      <c r="V662" s="31">
        <v>1.0</v>
      </c>
      <c r="W662" s="18">
        <v>1.0</v>
      </c>
      <c r="X662" s="11"/>
      <c r="Y662" s="11"/>
      <c r="Z662" s="14">
        <f t="shared" si="3"/>
        <v>3</v>
      </c>
      <c r="AA662" s="15" t="s">
        <v>106</v>
      </c>
      <c r="AB662" s="14">
        <v>0.8735833282208242</v>
      </c>
    </row>
    <row r="663" ht="14.25" customHeight="1">
      <c r="A663" s="19" t="s">
        <v>2187</v>
      </c>
      <c r="B663" s="19" t="s">
        <v>2188</v>
      </c>
      <c r="C663" s="33" t="s">
        <v>2189</v>
      </c>
      <c r="D663" s="21"/>
      <c r="E663" s="21"/>
      <c r="F663" s="22" t="s">
        <v>171</v>
      </c>
      <c r="G663" s="19" t="s">
        <v>63</v>
      </c>
      <c r="H663" s="23" t="s">
        <v>2190</v>
      </c>
      <c r="I663" s="21"/>
      <c r="J663" s="21"/>
      <c r="K663" s="58" t="s">
        <v>50</v>
      </c>
      <c r="L663" s="53" t="s">
        <v>51</v>
      </c>
      <c r="M663" s="11">
        <f t="shared" si="1"/>
        <v>1</v>
      </c>
      <c r="N663" s="21"/>
      <c r="O663" s="21"/>
      <c r="P663" s="21"/>
      <c r="Q663" s="21"/>
      <c r="R663" s="21"/>
      <c r="S663" s="21"/>
      <c r="T663" s="21"/>
      <c r="U663" s="21"/>
      <c r="V663" s="21"/>
      <c r="W663" s="24">
        <v>1.0</v>
      </c>
      <c r="X663" s="21"/>
      <c r="Y663" s="21"/>
      <c r="Z663" s="14">
        <f t="shared" si="3"/>
        <v>1</v>
      </c>
      <c r="AA663" s="15" t="s">
        <v>106</v>
      </c>
      <c r="AB663" s="14">
        <v>0.8759084617477659</v>
      </c>
    </row>
    <row r="664" ht="14.25" customHeight="1">
      <c r="A664" s="11" t="s">
        <v>2191</v>
      </c>
      <c r="B664" s="11" t="s">
        <v>726</v>
      </c>
      <c r="C664" s="59" t="s">
        <v>2192</v>
      </c>
      <c r="D664" s="11"/>
      <c r="E664" s="11"/>
      <c r="F664" s="27" t="s">
        <v>140</v>
      </c>
      <c r="G664" s="11" t="s">
        <v>196</v>
      </c>
      <c r="H664" s="28" t="s">
        <v>416</v>
      </c>
      <c r="I664" s="11"/>
      <c r="J664" s="11"/>
      <c r="K664" s="29" t="s">
        <v>50</v>
      </c>
      <c r="L664" s="12" t="s">
        <v>124</v>
      </c>
      <c r="M664" s="11">
        <f t="shared" si="1"/>
        <v>1</v>
      </c>
      <c r="N664" s="11"/>
      <c r="O664" s="11"/>
      <c r="P664" s="11"/>
      <c r="Q664" s="11"/>
      <c r="R664" s="11"/>
      <c r="S664" s="12">
        <v>1.0</v>
      </c>
      <c r="T664" s="12"/>
      <c r="U664" s="12"/>
      <c r="V664" s="31">
        <v>1.0</v>
      </c>
      <c r="W664" s="18">
        <v>1.0</v>
      </c>
      <c r="X664" s="11"/>
      <c r="Y664" s="11"/>
      <c r="Z664" s="14">
        <f t="shared" si="3"/>
        <v>3</v>
      </c>
      <c r="AA664" s="15" t="s">
        <v>106</v>
      </c>
      <c r="AB664" s="14">
        <v>0.8783314275171682</v>
      </c>
    </row>
    <row r="665" ht="14.25" customHeight="1">
      <c r="A665" s="11" t="s">
        <v>2193</v>
      </c>
      <c r="B665" s="12" t="s">
        <v>2194</v>
      </c>
      <c r="C665" s="37" t="s">
        <v>2195</v>
      </c>
      <c r="D665" s="12" t="s">
        <v>2196</v>
      </c>
      <c r="E665" s="12" t="s">
        <v>29</v>
      </c>
      <c r="F665" s="27" t="s">
        <v>37</v>
      </c>
      <c r="G665" s="12" t="s">
        <v>48</v>
      </c>
      <c r="H665" s="28" t="s">
        <v>2197</v>
      </c>
      <c r="I665" s="11"/>
      <c r="J665" s="11"/>
      <c r="K665" s="29" t="s">
        <v>50</v>
      </c>
      <c r="L665" s="12" t="s">
        <v>152</v>
      </c>
      <c r="M665" s="11">
        <f t="shared" si="1"/>
        <v>1</v>
      </c>
      <c r="N665" s="11"/>
      <c r="O665" s="11"/>
      <c r="P665" s="11"/>
      <c r="Q665" s="11"/>
      <c r="R665" s="11"/>
      <c r="S665" s="11"/>
      <c r="T665" s="11"/>
      <c r="U665" s="11"/>
      <c r="V665" s="11"/>
      <c r="W665" s="11"/>
      <c r="X665" s="11"/>
      <c r="Y665" s="11"/>
      <c r="Z665" s="14">
        <f t="shared" si="3"/>
        <v>0</v>
      </c>
      <c r="AA665" s="15" t="s">
        <v>106</v>
      </c>
      <c r="AB665" s="14">
        <v>0.881837685907059</v>
      </c>
    </row>
    <row r="666" ht="14.25" customHeight="1">
      <c r="A666" s="11" t="s">
        <v>2198</v>
      </c>
      <c r="B666" s="11" t="s">
        <v>2199</v>
      </c>
      <c r="C666" s="37" t="s">
        <v>2200</v>
      </c>
      <c r="D666" s="12" t="s">
        <v>29</v>
      </c>
      <c r="E666" s="12" t="s">
        <v>29</v>
      </c>
      <c r="F666" s="27" t="s">
        <v>77</v>
      </c>
      <c r="G666" s="11" t="s">
        <v>78</v>
      </c>
      <c r="H666" s="28" t="s">
        <v>2201</v>
      </c>
      <c r="I666" s="11"/>
      <c r="J666" s="11"/>
      <c r="K666" s="29" t="s">
        <v>50</v>
      </c>
      <c r="L666" s="12" t="s">
        <v>51</v>
      </c>
      <c r="M666" s="11">
        <f t="shared" si="1"/>
        <v>1</v>
      </c>
      <c r="N666" s="18">
        <v>1.0</v>
      </c>
      <c r="O666" s="18">
        <v>1.0</v>
      </c>
      <c r="P666" s="11"/>
      <c r="Q666" s="11"/>
      <c r="R666" s="12">
        <v>1.0</v>
      </c>
      <c r="S666" s="12">
        <v>1.0</v>
      </c>
      <c r="T666" s="12">
        <v>1.0</v>
      </c>
      <c r="U666" s="12"/>
      <c r="V666" s="12">
        <v>1.0</v>
      </c>
      <c r="W666" s="11">
        <v>1.0</v>
      </c>
      <c r="X666" s="12">
        <v>1.0</v>
      </c>
      <c r="Y666" s="11"/>
      <c r="Z666" s="14">
        <f t="shared" si="3"/>
        <v>8</v>
      </c>
      <c r="AA666" s="15" t="s">
        <v>106</v>
      </c>
      <c r="AB666" s="14">
        <v>0.8833680489598578</v>
      </c>
    </row>
    <row r="667" ht="14.25" customHeight="1">
      <c r="A667" s="11" t="s">
        <v>2202</v>
      </c>
      <c r="B667" s="11" t="s">
        <v>2203</v>
      </c>
      <c r="C667" s="26" t="s">
        <v>2204</v>
      </c>
      <c r="D667" s="11"/>
      <c r="E667" s="11"/>
      <c r="F667" s="27" t="s">
        <v>77</v>
      </c>
      <c r="G667" s="11" t="s">
        <v>63</v>
      </c>
      <c r="H667" s="28" t="s">
        <v>2205</v>
      </c>
      <c r="I667" s="11"/>
      <c r="J667" s="11"/>
      <c r="K667" s="29" t="s">
        <v>50</v>
      </c>
      <c r="L667" s="12" t="s">
        <v>124</v>
      </c>
      <c r="M667" s="11">
        <f t="shared" si="1"/>
        <v>1</v>
      </c>
      <c r="N667" s="11"/>
      <c r="O667" s="11"/>
      <c r="P667" s="11"/>
      <c r="Q667" s="11"/>
      <c r="R667" s="11"/>
      <c r="S667" s="11"/>
      <c r="T667" s="11"/>
      <c r="U667" s="11"/>
      <c r="V667" s="18"/>
      <c r="W667" s="18">
        <v>1.0</v>
      </c>
      <c r="X667" s="11"/>
      <c r="Y667" s="11"/>
      <c r="Z667" s="14">
        <f t="shared" si="3"/>
        <v>1</v>
      </c>
      <c r="AA667" s="15" t="s">
        <v>52</v>
      </c>
      <c r="AB667" s="14">
        <v>0.8862037464713121</v>
      </c>
    </row>
    <row r="668" ht="14.25" customHeight="1">
      <c r="A668" s="19" t="s">
        <v>2206</v>
      </c>
      <c r="B668" s="19" t="s">
        <v>2207</v>
      </c>
      <c r="C668" s="20" t="s">
        <v>2208</v>
      </c>
      <c r="D668" s="21"/>
      <c r="E668" s="21"/>
      <c r="F668" s="27" t="s">
        <v>103</v>
      </c>
      <c r="G668" s="19" t="s">
        <v>83</v>
      </c>
      <c r="H668" s="23" t="s">
        <v>2036</v>
      </c>
      <c r="I668" s="21"/>
      <c r="J668" s="24"/>
      <c r="K668" s="25" t="s">
        <v>50</v>
      </c>
      <c r="L668" s="24" t="s">
        <v>152</v>
      </c>
      <c r="M668" s="11">
        <f t="shared" si="1"/>
        <v>1</v>
      </c>
      <c r="N668" s="21"/>
      <c r="O668" s="21"/>
      <c r="P668" s="21"/>
      <c r="Q668" s="21"/>
      <c r="R668" s="21"/>
      <c r="S668" s="21"/>
      <c r="T668" s="21"/>
      <c r="U668" s="21"/>
      <c r="V668" s="21"/>
      <c r="W668" s="24">
        <v>1.0</v>
      </c>
      <c r="X668" s="21"/>
      <c r="Y668" s="21"/>
      <c r="Z668" s="14">
        <f t="shared" si="3"/>
        <v>1</v>
      </c>
      <c r="AA668" s="15" t="s">
        <v>91</v>
      </c>
      <c r="AB668" s="14">
        <v>0.8885837489388869</v>
      </c>
    </row>
    <row r="669" ht="14.25" customHeight="1">
      <c r="A669" s="19" t="s">
        <v>2209</v>
      </c>
      <c r="B669" s="19" t="s">
        <v>2210</v>
      </c>
      <c r="C669" s="33" t="s">
        <v>2211</v>
      </c>
      <c r="D669" s="21"/>
      <c r="E669" s="21"/>
      <c r="F669" s="27" t="s">
        <v>62</v>
      </c>
      <c r="G669" s="19" t="s">
        <v>78</v>
      </c>
      <c r="H669" s="23" t="s">
        <v>104</v>
      </c>
      <c r="I669" s="21"/>
      <c r="J669" s="24"/>
      <c r="K669" s="25" t="s">
        <v>50</v>
      </c>
      <c r="L669" s="24" t="s">
        <v>152</v>
      </c>
      <c r="M669" s="11">
        <f t="shared" si="1"/>
        <v>1</v>
      </c>
      <c r="N669" s="21"/>
      <c r="O669" s="21"/>
      <c r="P669" s="21"/>
      <c r="Q669" s="21"/>
      <c r="R669" s="21"/>
      <c r="S669" s="21"/>
      <c r="T669" s="21"/>
      <c r="U669" s="21"/>
      <c r="V669" s="21"/>
      <c r="W669" s="24">
        <v>1.0</v>
      </c>
      <c r="X669" s="21"/>
      <c r="Y669" s="21"/>
      <c r="Z669" s="14">
        <f t="shared" si="3"/>
        <v>1</v>
      </c>
      <c r="AA669" s="15" t="s">
        <v>52</v>
      </c>
      <c r="AB669" s="14">
        <v>0.8942526321188747</v>
      </c>
    </row>
    <row r="670" ht="14.25" hidden="1" customHeight="1">
      <c r="A670" s="11" t="s">
        <v>2212</v>
      </c>
      <c r="B670" s="12" t="s">
        <v>396</v>
      </c>
      <c r="C670" s="42" t="s">
        <v>2213</v>
      </c>
      <c r="D670" s="11"/>
      <c r="E670" s="11"/>
      <c r="F670" s="11"/>
      <c r="G670" s="11" t="s">
        <v>38</v>
      </c>
      <c r="H670" s="11"/>
      <c r="I670" s="11"/>
      <c r="J670" s="11"/>
      <c r="K670" s="12" t="s">
        <v>89</v>
      </c>
      <c r="L670" s="12" t="s">
        <v>1340</v>
      </c>
      <c r="M670" s="11">
        <f t="shared" si="1"/>
        <v>0</v>
      </c>
      <c r="N670" s="11"/>
      <c r="O670" s="11"/>
      <c r="P670" s="11"/>
      <c r="Q670" s="11"/>
      <c r="R670" s="11"/>
      <c r="S670" s="11"/>
      <c r="T670" s="11"/>
      <c r="U670" s="11"/>
      <c r="V670" s="18"/>
      <c r="W670" s="18">
        <v>1.0</v>
      </c>
      <c r="X670" s="11"/>
      <c r="Y670" s="11"/>
      <c r="Z670" s="14">
        <f t="shared" si="3"/>
        <v>1</v>
      </c>
      <c r="AA670" s="15" t="s">
        <v>52</v>
      </c>
    </row>
    <row r="671" ht="14.25" hidden="1" customHeight="1">
      <c r="A671" s="19" t="s">
        <v>2214</v>
      </c>
      <c r="B671" s="19" t="s">
        <v>396</v>
      </c>
      <c r="C671" s="44" t="s">
        <v>2215</v>
      </c>
      <c r="D671" s="21"/>
      <c r="E671" s="21"/>
      <c r="F671" s="21"/>
      <c r="G671" s="19" t="s">
        <v>38</v>
      </c>
      <c r="H671" s="21"/>
      <c r="I671" s="21"/>
      <c r="J671" s="21"/>
      <c r="K671" s="24" t="s">
        <v>89</v>
      </c>
      <c r="L671" s="24" t="s">
        <v>43</v>
      </c>
      <c r="M671" s="11">
        <f t="shared" si="1"/>
        <v>0</v>
      </c>
      <c r="N671" s="21"/>
      <c r="O671" s="21"/>
      <c r="P671" s="21"/>
      <c r="Q671" s="21"/>
      <c r="R671" s="21"/>
      <c r="S671" s="21"/>
      <c r="T671" s="21"/>
      <c r="U671" s="21"/>
      <c r="V671" s="21"/>
      <c r="W671" s="24">
        <v>1.0</v>
      </c>
      <c r="X671" s="21"/>
      <c r="Y671" s="21"/>
      <c r="Z671" s="14">
        <f t="shared" si="3"/>
        <v>1</v>
      </c>
      <c r="AA671" s="15" t="s">
        <v>52</v>
      </c>
    </row>
    <row r="672" ht="14.25" customHeight="1">
      <c r="A672" s="19" t="s">
        <v>2216</v>
      </c>
      <c r="B672" s="19" t="s">
        <v>2217</v>
      </c>
      <c r="C672" s="35" t="s">
        <v>2218</v>
      </c>
      <c r="D672" s="21"/>
      <c r="E672" s="21"/>
      <c r="F672" s="27" t="s">
        <v>77</v>
      </c>
      <c r="G672" s="19" t="s">
        <v>822</v>
      </c>
      <c r="H672" s="23" t="s">
        <v>104</v>
      </c>
      <c r="I672" s="21"/>
      <c r="J672" s="21"/>
      <c r="K672" s="25" t="s">
        <v>50</v>
      </c>
      <c r="L672" s="24" t="s">
        <v>181</v>
      </c>
      <c r="M672" s="11">
        <f t="shared" si="1"/>
        <v>1</v>
      </c>
      <c r="N672" s="21"/>
      <c r="O672" s="21"/>
      <c r="P672" s="21"/>
      <c r="Q672" s="21"/>
      <c r="R672" s="21"/>
      <c r="S672" s="21"/>
      <c r="T672" s="21"/>
      <c r="U672" s="21"/>
      <c r="V672" s="21"/>
      <c r="W672" s="24">
        <v>1.0</v>
      </c>
      <c r="X672" s="21"/>
      <c r="Y672" s="21"/>
      <c r="Z672" s="14">
        <f t="shared" si="3"/>
        <v>1</v>
      </c>
      <c r="AA672" s="15" t="s">
        <v>91</v>
      </c>
      <c r="AB672" s="14">
        <v>0.8954266784258669</v>
      </c>
    </row>
    <row r="673" ht="14.25" hidden="1" customHeight="1">
      <c r="A673" s="12" t="s">
        <v>2219</v>
      </c>
      <c r="B673" s="12" t="s">
        <v>396</v>
      </c>
      <c r="C673" s="30" t="s">
        <v>2220</v>
      </c>
      <c r="D673" s="11"/>
      <c r="E673" s="11"/>
      <c r="F673" s="11"/>
      <c r="G673" s="12" t="s">
        <v>38</v>
      </c>
      <c r="H673" s="11"/>
      <c r="I673" s="11"/>
      <c r="J673" s="12"/>
      <c r="K673" s="12" t="s">
        <v>89</v>
      </c>
      <c r="L673" s="12" t="s">
        <v>1340</v>
      </c>
      <c r="M673" s="11">
        <f t="shared" si="1"/>
        <v>0</v>
      </c>
      <c r="N673" s="11"/>
      <c r="O673" s="11"/>
      <c r="P673" s="11"/>
      <c r="Q673" s="11"/>
      <c r="R673" s="11"/>
      <c r="S673" s="12">
        <v>1.0</v>
      </c>
      <c r="T673" s="12">
        <v>1.0</v>
      </c>
      <c r="U673" s="12"/>
      <c r="V673" s="31">
        <v>1.0</v>
      </c>
      <c r="W673" s="18"/>
      <c r="X673" s="11"/>
      <c r="Y673" s="11"/>
      <c r="Z673" s="14">
        <f t="shared" si="3"/>
        <v>3</v>
      </c>
      <c r="AA673" s="15" t="s">
        <v>52</v>
      </c>
      <c r="AE673" s="95"/>
    </row>
    <row r="674" ht="14.25" customHeight="1">
      <c r="A674" s="19" t="s">
        <v>2221</v>
      </c>
      <c r="B674" s="19" t="s">
        <v>1877</v>
      </c>
      <c r="C674" s="20" t="s">
        <v>2222</v>
      </c>
      <c r="D674" s="21"/>
      <c r="E674" s="21"/>
      <c r="F674" s="27" t="s">
        <v>140</v>
      </c>
      <c r="G674" s="19" t="s">
        <v>83</v>
      </c>
      <c r="H674" s="23" t="s">
        <v>64</v>
      </c>
      <c r="I674" s="21"/>
      <c r="J674" s="21"/>
      <c r="K674" s="25" t="s">
        <v>50</v>
      </c>
      <c r="L674" s="21"/>
      <c r="M674" s="11">
        <f t="shared" si="1"/>
        <v>1</v>
      </c>
      <c r="N674" s="21"/>
      <c r="O674" s="21"/>
      <c r="P674" s="21"/>
      <c r="Q674" s="21"/>
      <c r="R674" s="21"/>
      <c r="S674" s="21"/>
      <c r="T674" s="21"/>
      <c r="U674" s="21"/>
      <c r="V674" s="21"/>
      <c r="W674" s="24">
        <v>1.0</v>
      </c>
      <c r="X674" s="21"/>
      <c r="Y674" s="21"/>
      <c r="Z674" s="14">
        <f t="shared" si="3"/>
        <v>1</v>
      </c>
      <c r="AA674" s="15" t="s">
        <v>91</v>
      </c>
      <c r="AB674" s="14">
        <v>0.8964432552077158</v>
      </c>
    </row>
    <row r="675" ht="14.25" customHeight="1">
      <c r="A675" s="19" t="s">
        <v>2223</v>
      </c>
      <c r="B675" s="19" t="s">
        <v>2224</v>
      </c>
      <c r="C675" s="20" t="s">
        <v>2225</v>
      </c>
      <c r="D675" s="21"/>
      <c r="E675" s="21"/>
      <c r="F675" s="27" t="s">
        <v>56</v>
      </c>
      <c r="G675" s="19" t="s">
        <v>83</v>
      </c>
      <c r="H675" s="23" t="s">
        <v>2226</v>
      </c>
      <c r="I675" s="21"/>
      <c r="J675" s="24"/>
      <c r="K675" s="25" t="s">
        <v>50</v>
      </c>
      <c r="L675" s="24"/>
      <c r="M675" s="11">
        <f t="shared" si="1"/>
        <v>1</v>
      </c>
      <c r="N675" s="21"/>
      <c r="O675" s="21"/>
      <c r="P675" s="21"/>
      <c r="Q675" s="21"/>
      <c r="R675" s="21"/>
      <c r="S675" s="21"/>
      <c r="T675" s="21"/>
      <c r="U675" s="21"/>
      <c r="V675" s="21"/>
      <c r="W675" s="24">
        <v>1.0</v>
      </c>
      <c r="X675" s="21"/>
      <c r="Y675" s="21"/>
      <c r="Z675" s="14">
        <f t="shared" si="3"/>
        <v>1</v>
      </c>
      <c r="AA675" s="15" t="s">
        <v>91</v>
      </c>
      <c r="AB675" s="14">
        <v>0.900972107160526</v>
      </c>
    </row>
    <row r="676" ht="14.25" customHeight="1">
      <c r="A676" s="11" t="s">
        <v>2227</v>
      </c>
      <c r="B676" s="11" t="s">
        <v>2228</v>
      </c>
      <c r="C676" s="38" t="s">
        <v>2229</v>
      </c>
      <c r="D676" s="11"/>
      <c r="E676" s="11"/>
      <c r="F676" s="27" t="s">
        <v>140</v>
      </c>
      <c r="G676" s="11" t="s">
        <v>78</v>
      </c>
      <c r="H676" s="28" t="s">
        <v>1775</v>
      </c>
      <c r="I676" s="11"/>
      <c r="J676" s="12"/>
      <c r="K676" s="29" t="s">
        <v>50</v>
      </c>
      <c r="L676" s="11"/>
      <c r="M676" s="11">
        <f t="shared" si="1"/>
        <v>1</v>
      </c>
      <c r="N676" s="18">
        <v>1.0</v>
      </c>
      <c r="O676" s="11"/>
      <c r="P676" s="11"/>
      <c r="Q676" s="11"/>
      <c r="R676" s="11"/>
      <c r="S676" s="12">
        <v>1.0</v>
      </c>
      <c r="T676" s="12"/>
      <c r="U676" s="12"/>
      <c r="V676" s="31">
        <v>1.0</v>
      </c>
      <c r="W676" s="18">
        <v>1.0</v>
      </c>
      <c r="X676" s="11"/>
      <c r="Y676" s="11"/>
      <c r="Z676" s="14">
        <f t="shared" si="3"/>
        <v>4</v>
      </c>
      <c r="AA676" s="15" t="s">
        <v>106</v>
      </c>
      <c r="AB676" s="14">
        <v>0.9026527664229758</v>
      </c>
    </row>
    <row r="677" ht="14.25" customHeight="1">
      <c r="A677" s="12" t="s">
        <v>2230</v>
      </c>
      <c r="B677" s="12" t="s">
        <v>2231</v>
      </c>
      <c r="C677" s="35" t="s">
        <v>2232</v>
      </c>
      <c r="D677" s="11"/>
      <c r="E677" s="11"/>
      <c r="F677" s="27" t="s">
        <v>351</v>
      </c>
      <c r="G677" s="12" t="s">
        <v>628</v>
      </c>
      <c r="H677" s="28" t="s">
        <v>1416</v>
      </c>
      <c r="I677" s="11"/>
      <c r="J677" s="12"/>
      <c r="K677" s="29" t="s">
        <v>50</v>
      </c>
      <c r="L677" s="12" t="s">
        <v>111</v>
      </c>
      <c r="M677" s="11">
        <f t="shared" si="1"/>
        <v>1</v>
      </c>
      <c r="N677" s="11"/>
      <c r="O677" s="11"/>
      <c r="P677" s="11"/>
      <c r="Q677" s="11"/>
      <c r="R677" s="11"/>
      <c r="S677" s="11"/>
      <c r="T677" s="11"/>
      <c r="U677" s="11"/>
      <c r="V677" s="31">
        <v>1.0</v>
      </c>
      <c r="W677" s="18"/>
      <c r="X677" s="11"/>
      <c r="Y677" s="11"/>
      <c r="Z677" s="14">
        <f t="shared" si="3"/>
        <v>1</v>
      </c>
      <c r="AA677" s="15" t="s">
        <v>52</v>
      </c>
      <c r="AB677" s="14">
        <v>0.9055509977522724</v>
      </c>
    </row>
    <row r="678" ht="14.25" hidden="1" customHeight="1">
      <c r="A678" s="11" t="s">
        <v>2233</v>
      </c>
      <c r="B678" s="12" t="s">
        <v>396</v>
      </c>
      <c r="C678" s="42" t="s">
        <v>2234</v>
      </c>
      <c r="D678" s="11"/>
      <c r="E678" s="11"/>
      <c r="F678" s="11"/>
      <c r="G678" s="11" t="s">
        <v>38</v>
      </c>
      <c r="H678" s="11"/>
      <c r="I678" s="11"/>
      <c r="J678" s="11"/>
      <c r="K678" s="12" t="s">
        <v>89</v>
      </c>
      <c r="L678" s="12" t="s">
        <v>1340</v>
      </c>
      <c r="M678" s="11">
        <f t="shared" si="1"/>
        <v>0</v>
      </c>
      <c r="N678" s="11"/>
      <c r="O678" s="11"/>
      <c r="P678" s="11"/>
      <c r="Q678" s="11"/>
      <c r="R678" s="11"/>
      <c r="S678" s="11"/>
      <c r="T678" s="11"/>
      <c r="U678" s="11"/>
      <c r="V678" s="18"/>
      <c r="W678" s="18">
        <v>1.0</v>
      </c>
      <c r="X678" s="11"/>
      <c r="Y678" s="11"/>
      <c r="Z678" s="14">
        <f t="shared" si="3"/>
        <v>1</v>
      </c>
      <c r="AA678" s="15" t="s">
        <v>52</v>
      </c>
    </row>
    <row r="679" ht="14.25" customHeight="1">
      <c r="A679" s="19" t="s">
        <v>2235</v>
      </c>
      <c r="B679" s="19" t="s">
        <v>310</v>
      </c>
      <c r="C679" s="35" t="s">
        <v>2236</v>
      </c>
      <c r="D679" s="21"/>
      <c r="E679" s="21"/>
      <c r="F679" s="27" t="s">
        <v>56</v>
      </c>
      <c r="G679" s="19" t="s">
        <v>83</v>
      </c>
      <c r="H679" s="23" t="s">
        <v>666</v>
      </c>
      <c r="I679" s="21"/>
      <c r="J679" s="21"/>
      <c r="K679" s="25" t="s">
        <v>58</v>
      </c>
      <c r="L679" s="24" t="s">
        <v>51</v>
      </c>
      <c r="M679" s="11">
        <f t="shared" si="1"/>
        <v>1</v>
      </c>
      <c r="N679" s="21"/>
      <c r="O679" s="21"/>
      <c r="P679" s="21"/>
      <c r="Q679" s="21"/>
      <c r="R679" s="21"/>
      <c r="S679" s="21"/>
      <c r="T679" s="21"/>
      <c r="U679" s="21"/>
      <c r="V679" s="21"/>
      <c r="W679" s="24">
        <v>1.0</v>
      </c>
      <c r="X679" s="21"/>
      <c r="Y679" s="21"/>
      <c r="Z679" s="14">
        <f t="shared" si="3"/>
        <v>1</v>
      </c>
      <c r="AA679" s="15" t="s">
        <v>33</v>
      </c>
      <c r="AB679" s="14">
        <v>0.9060812047294832</v>
      </c>
    </row>
    <row r="680" ht="14.25" customHeight="1">
      <c r="A680" s="19" t="s">
        <v>2237</v>
      </c>
      <c r="B680" s="19" t="s">
        <v>2238</v>
      </c>
      <c r="C680" s="35" t="s">
        <v>2239</v>
      </c>
      <c r="D680" s="21"/>
      <c r="E680" s="21"/>
      <c r="F680" s="27" t="s">
        <v>2240</v>
      </c>
      <c r="G680" s="19" t="s">
        <v>78</v>
      </c>
      <c r="H680" s="23" t="s">
        <v>64</v>
      </c>
      <c r="I680" s="21"/>
      <c r="J680" s="24"/>
      <c r="K680" s="25" t="s">
        <v>50</v>
      </c>
      <c r="L680" s="24" t="s">
        <v>65</v>
      </c>
      <c r="M680" s="11">
        <f t="shared" si="1"/>
        <v>1</v>
      </c>
      <c r="N680" s="21"/>
      <c r="O680" s="21"/>
      <c r="P680" s="21"/>
      <c r="Q680" s="21"/>
      <c r="R680" s="21"/>
      <c r="S680" s="21"/>
      <c r="T680" s="21"/>
      <c r="U680" s="21"/>
      <c r="V680" s="21"/>
      <c r="W680" s="24">
        <v>1.0</v>
      </c>
      <c r="X680" s="21"/>
      <c r="Y680" s="21"/>
      <c r="Z680" s="14">
        <f t="shared" si="3"/>
        <v>1</v>
      </c>
      <c r="AA680" s="15" t="s">
        <v>52</v>
      </c>
      <c r="AB680" s="14">
        <v>0.9062059608407391</v>
      </c>
    </row>
    <row r="681" ht="14.25" customHeight="1">
      <c r="A681" s="19" t="s">
        <v>2241</v>
      </c>
      <c r="B681" s="19" t="s">
        <v>396</v>
      </c>
      <c r="C681" s="35" t="s">
        <v>2242</v>
      </c>
      <c r="D681" s="21"/>
      <c r="E681" s="21"/>
      <c r="F681" s="22" t="s">
        <v>103</v>
      </c>
      <c r="G681" s="19" t="s">
        <v>38</v>
      </c>
      <c r="H681" s="23" t="s">
        <v>2243</v>
      </c>
      <c r="I681" s="21"/>
      <c r="J681" s="21"/>
      <c r="K681" s="25" t="s">
        <v>50</v>
      </c>
      <c r="L681" s="24" t="s">
        <v>1160</v>
      </c>
      <c r="M681" s="11">
        <f t="shared" si="1"/>
        <v>1</v>
      </c>
      <c r="N681" s="21"/>
      <c r="O681" s="21"/>
      <c r="P681" s="21"/>
      <c r="Q681" s="21"/>
      <c r="R681" s="21"/>
      <c r="S681" s="21"/>
      <c r="T681" s="21"/>
      <c r="U681" s="21"/>
      <c r="V681" s="21"/>
      <c r="W681" s="24">
        <v>1.0</v>
      </c>
      <c r="X681" s="21"/>
      <c r="Y681" s="21"/>
      <c r="Z681" s="14">
        <f t="shared" si="3"/>
        <v>1</v>
      </c>
      <c r="AA681" s="15" t="s">
        <v>52</v>
      </c>
      <c r="AB681" s="14">
        <v>0.908305439146746</v>
      </c>
    </row>
    <row r="682" ht="14.25" customHeight="1">
      <c r="A682" s="11" t="s">
        <v>2244</v>
      </c>
      <c r="B682" s="11" t="s">
        <v>2245</v>
      </c>
      <c r="C682" s="26" t="s">
        <v>2246</v>
      </c>
      <c r="D682" s="12" t="s">
        <v>29</v>
      </c>
      <c r="E682" s="12" t="s">
        <v>2247</v>
      </c>
      <c r="F682" s="27" t="s">
        <v>77</v>
      </c>
      <c r="G682" s="11" t="s">
        <v>38</v>
      </c>
      <c r="H682" s="28" t="s">
        <v>2126</v>
      </c>
      <c r="I682" s="12" t="s">
        <v>2248</v>
      </c>
      <c r="J682" s="11"/>
      <c r="K682" s="29" t="s">
        <v>50</v>
      </c>
      <c r="L682" s="11"/>
      <c r="M682" s="11">
        <f t="shared" si="1"/>
        <v>1</v>
      </c>
      <c r="N682" s="11">
        <v>1.0</v>
      </c>
      <c r="O682" s="11"/>
      <c r="P682" s="11"/>
      <c r="Q682" s="11"/>
      <c r="R682" s="11"/>
      <c r="S682" s="12">
        <v>1.0</v>
      </c>
      <c r="T682" s="12"/>
      <c r="U682" s="12"/>
      <c r="V682" s="31">
        <v>1.0</v>
      </c>
      <c r="W682" s="18">
        <v>1.0</v>
      </c>
      <c r="X682" s="11"/>
      <c r="Y682" s="11"/>
      <c r="Z682" s="14">
        <f t="shared" si="3"/>
        <v>4</v>
      </c>
      <c r="AA682" s="15" t="s">
        <v>106</v>
      </c>
      <c r="AB682" s="14">
        <v>0.9124878084272574</v>
      </c>
    </row>
    <row r="683" ht="14.25" customHeight="1">
      <c r="A683" s="19" t="s">
        <v>2249</v>
      </c>
      <c r="B683" s="19" t="s">
        <v>227</v>
      </c>
      <c r="C683" s="35" t="s">
        <v>2250</v>
      </c>
      <c r="D683" s="21"/>
      <c r="E683" s="21"/>
      <c r="F683" s="27" t="s">
        <v>103</v>
      </c>
      <c r="G683" s="19" t="s">
        <v>83</v>
      </c>
      <c r="H683" s="23" t="s">
        <v>229</v>
      </c>
      <c r="I683" s="21"/>
      <c r="J683" s="21"/>
      <c r="K683" s="25" t="s">
        <v>50</v>
      </c>
      <c r="L683" s="24" t="s">
        <v>152</v>
      </c>
      <c r="M683" s="11">
        <f t="shared" si="1"/>
        <v>1</v>
      </c>
      <c r="N683" s="21"/>
      <c r="O683" s="21"/>
      <c r="P683" s="21"/>
      <c r="Q683" s="21"/>
      <c r="R683" s="21"/>
      <c r="S683" s="21"/>
      <c r="T683" s="21"/>
      <c r="U683" s="21"/>
      <c r="V683" s="21"/>
      <c r="W683" s="24">
        <v>1.0</v>
      </c>
      <c r="X683" s="21"/>
      <c r="Y683" s="21"/>
      <c r="Z683" s="14">
        <f t="shared" si="3"/>
        <v>1</v>
      </c>
      <c r="AA683" s="15" t="s">
        <v>91</v>
      </c>
      <c r="AB683" s="14">
        <v>0.9125494265401962</v>
      </c>
    </row>
    <row r="684" ht="14.25" hidden="1" customHeight="1">
      <c r="A684" s="19" t="s">
        <v>2251</v>
      </c>
      <c r="B684" s="19" t="s">
        <v>2252</v>
      </c>
      <c r="C684" s="52" t="s">
        <v>2253</v>
      </c>
      <c r="D684" s="21"/>
      <c r="E684" s="21"/>
      <c r="F684" s="21"/>
      <c r="G684" s="19" t="s">
        <v>264</v>
      </c>
      <c r="H684" s="23" t="s">
        <v>49</v>
      </c>
      <c r="I684" s="21"/>
      <c r="J684" s="21"/>
      <c r="K684" s="24" t="s">
        <v>31</v>
      </c>
      <c r="L684" s="24" t="s">
        <v>152</v>
      </c>
      <c r="M684" s="11">
        <f t="shared" si="1"/>
        <v>0</v>
      </c>
      <c r="N684" s="21"/>
      <c r="O684" s="21"/>
      <c r="P684" s="21"/>
      <c r="Q684" s="21"/>
      <c r="R684" s="21"/>
      <c r="S684" s="21"/>
      <c r="T684" s="21"/>
      <c r="U684" s="21"/>
      <c r="V684" s="21"/>
      <c r="W684" s="24">
        <v>1.0</v>
      </c>
      <c r="X684" s="21"/>
      <c r="Y684" s="21"/>
      <c r="Z684" s="14">
        <f t="shared" si="3"/>
        <v>1</v>
      </c>
      <c r="AA684" s="15" t="s">
        <v>52</v>
      </c>
    </row>
    <row r="685" ht="14.25" customHeight="1">
      <c r="A685" s="11" t="s">
        <v>2254</v>
      </c>
      <c r="B685" s="11" t="s">
        <v>530</v>
      </c>
      <c r="C685" s="26" t="s">
        <v>2255</v>
      </c>
      <c r="D685" s="11"/>
      <c r="E685" s="11"/>
      <c r="F685" s="27" t="s">
        <v>103</v>
      </c>
      <c r="G685" s="19" t="s">
        <v>83</v>
      </c>
      <c r="H685" s="28" t="s">
        <v>2256</v>
      </c>
      <c r="I685" s="11"/>
      <c r="J685" s="11"/>
      <c r="K685" s="29" t="s">
        <v>50</v>
      </c>
      <c r="L685" s="12" t="s">
        <v>124</v>
      </c>
      <c r="M685" s="11">
        <f t="shared" si="1"/>
        <v>1</v>
      </c>
      <c r="N685" s="11"/>
      <c r="O685" s="11"/>
      <c r="P685" s="11"/>
      <c r="Q685" s="11"/>
      <c r="R685" s="11"/>
      <c r="S685" s="11"/>
      <c r="T685" s="11"/>
      <c r="U685" s="11"/>
      <c r="V685" s="18"/>
      <c r="W685" s="18">
        <v>1.0</v>
      </c>
      <c r="X685" s="11"/>
      <c r="Y685" s="11"/>
      <c r="Z685" s="14">
        <f t="shared" si="3"/>
        <v>1</v>
      </c>
      <c r="AA685" s="15" t="s">
        <v>106</v>
      </c>
      <c r="AB685" s="14">
        <v>0.9179404541204343</v>
      </c>
    </row>
    <row r="686" ht="14.25" customHeight="1">
      <c r="A686" s="19" t="s">
        <v>2257</v>
      </c>
      <c r="B686" s="19" t="s">
        <v>551</v>
      </c>
      <c r="C686" s="35" t="s">
        <v>2258</v>
      </c>
      <c r="D686" s="21"/>
      <c r="E686" s="21"/>
      <c r="F686" s="27" t="s">
        <v>103</v>
      </c>
      <c r="G686" s="19" t="s">
        <v>83</v>
      </c>
      <c r="H686" s="28" t="s">
        <v>1674</v>
      </c>
      <c r="I686" s="21"/>
      <c r="J686" s="21"/>
      <c r="K686" s="25" t="s">
        <v>50</v>
      </c>
      <c r="L686" s="24" t="s">
        <v>51</v>
      </c>
      <c r="M686" s="11">
        <f t="shared" si="1"/>
        <v>1</v>
      </c>
      <c r="N686" s="21"/>
      <c r="O686" s="21"/>
      <c r="P686" s="21"/>
      <c r="Q686" s="21"/>
      <c r="R686" s="21"/>
      <c r="S686" s="21"/>
      <c r="T686" s="21"/>
      <c r="U686" s="21"/>
      <c r="V686" s="21"/>
      <c r="W686" s="24">
        <v>1.0</v>
      </c>
      <c r="X686" s="21"/>
      <c r="Y686" s="21"/>
      <c r="Z686" s="14">
        <f t="shared" si="3"/>
        <v>1</v>
      </c>
      <c r="AA686" s="15" t="s">
        <v>106</v>
      </c>
      <c r="AB686" s="14">
        <v>0.9188134465924739</v>
      </c>
    </row>
    <row r="687" ht="14.25" customHeight="1">
      <c r="A687" s="12" t="s">
        <v>2259</v>
      </c>
      <c r="B687" s="12" t="s">
        <v>2260</v>
      </c>
      <c r="C687" s="96" t="s">
        <v>2261</v>
      </c>
      <c r="D687" s="11"/>
      <c r="E687" s="11"/>
      <c r="F687" s="27" t="s">
        <v>140</v>
      </c>
      <c r="G687" s="12" t="s">
        <v>196</v>
      </c>
      <c r="H687" s="39"/>
      <c r="I687" s="11"/>
      <c r="J687" s="12"/>
      <c r="K687" s="29" t="s">
        <v>58</v>
      </c>
      <c r="L687" s="12" t="s">
        <v>2262</v>
      </c>
      <c r="M687" s="11">
        <f t="shared" si="1"/>
        <v>1</v>
      </c>
      <c r="N687" s="11"/>
      <c r="O687" s="11"/>
      <c r="P687" s="11"/>
      <c r="Q687" s="11"/>
      <c r="R687" s="11"/>
      <c r="S687" s="11"/>
      <c r="T687" s="11"/>
      <c r="U687" s="11"/>
      <c r="V687" s="31">
        <v>1.0</v>
      </c>
      <c r="W687" s="18"/>
      <c r="X687" s="11"/>
      <c r="Y687" s="11"/>
      <c r="Z687" s="14">
        <f t="shared" si="3"/>
        <v>1</v>
      </c>
      <c r="AA687" s="15" t="s">
        <v>33</v>
      </c>
      <c r="AB687" s="14">
        <v>0.9200859768082318</v>
      </c>
    </row>
    <row r="688" ht="14.25" customHeight="1">
      <c r="A688" s="11" t="s">
        <v>1768</v>
      </c>
      <c r="B688" s="11" t="s">
        <v>1499</v>
      </c>
      <c r="C688" s="37" t="s">
        <v>2263</v>
      </c>
      <c r="D688" s="11"/>
      <c r="E688" s="11"/>
      <c r="F688" s="22" t="s">
        <v>77</v>
      </c>
      <c r="G688" s="11" t="s">
        <v>78</v>
      </c>
      <c r="H688" s="28" t="s">
        <v>2264</v>
      </c>
      <c r="I688" s="11"/>
      <c r="J688" s="11"/>
      <c r="K688" s="29" t="s">
        <v>50</v>
      </c>
      <c r="L688" s="12" t="s">
        <v>65</v>
      </c>
      <c r="M688" s="11">
        <f t="shared" si="1"/>
        <v>1</v>
      </c>
      <c r="N688" s="11"/>
      <c r="O688" s="11"/>
      <c r="P688" s="11">
        <v>1.0</v>
      </c>
      <c r="Q688" s="11"/>
      <c r="R688" s="11"/>
      <c r="S688" s="11"/>
      <c r="T688" s="11"/>
      <c r="U688" s="11"/>
      <c r="V688" s="18"/>
      <c r="W688" s="18">
        <v>1.0</v>
      </c>
      <c r="X688" s="11"/>
      <c r="Y688" s="11"/>
      <c r="Z688" s="14">
        <f t="shared" si="3"/>
        <v>2</v>
      </c>
      <c r="AA688" s="15" t="s">
        <v>106</v>
      </c>
      <c r="AB688" s="14">
        <v>0.9225766873821155</v>
      </c>
    </row>
    <row r="689" ht="14.25" customHeight="1">
      <c r="A689" s="19" t="s">
        <v>2265</v>
      </c>
      <c r="B689" s="19" t="s">
        <v>2266</v>
      </c>
      <c r="C689" s="20" t="s">
        <v>2267</v>
      </c>
      <c r="D689" s="21"/>
      <c r="E689" s="21"/>
      <c r="F689" s="27" t="s">
        <v>62</v>
      </c>
      <c r="G689" s="19" t="s">
        <v>78</v>
      </c>
      <c r="H689" s="23" t="s">
        <v>2268</v>
      </c>
      <c r="I689" s="21"/>
      <c r="J689" s="21"/>
      <c r="K689" s="25" t="s">
        <v>50</v>
      </c>
      <c r="L689" s="24" t="s">
        <v>51</v>
      </c>
      <c r="M689" s="11">
        <f t="shared" si="1"/>
        <v>1</v>
      </c>
      <c r="N689" s="21"/>
      <c r="O689" s="21"/>
      <c r="P689" s="21"/>
      <c r="Q689" s="21"/>
      <c r="R689" s="21"/>
      <c r="S689" s="21"/>
      <c r="T689" s="21"/>
      <c r="U689" s="21"/>
      <c r="V689" s="21"/>
      <c r="W689" s="24">
        <v>1.0</v>
      </c>
      <c r="X689" s="21"/>
      <c r="Y689" s="21"/>
      <c r="Z689" s="14">
        <f t="shared" si="3"/>
        <v>1</v>
      </c>
      <c r="AA689" s="15" t="s">
        <v>52</v>
      </c>
      <c r="AB689" s="14">
        <v>0.9258624027812221</v>
      </c>
    </row>
    <row r="690" ht="14.25" hidden="1" customHeight="1">
      <c r="A690" s="45" t="s">
        <v>2269</v>
      </c>
      <c r="B690" s="45" t="s">
        <v>399</v>
      </c>
      <c r="C690" s="81" t="s">
        <v>2270</v>
      </c>
      <c r="D690" s="45"/>
      <c r="E690" s="45"/>
      <c r="F690" s="45"/>
      <c r="G690" s="45" t="s">
        <v>78</v>
      </c>
      <c r="H690" s="45"/>
      <c r="I690" s="45"/>
      <c r="J690" s="45"/>
      <c r="K690" s="24" t="s">
        <v>89</v>
      </c>
      <c r="L690" s="24" t="s">
        <v>200</v>
      </c>
      <c r="M690" s="11">
        <f t="shared" si="1"/>
        <v>0</v>
      </c>
      <c r="N690" s="45"/>
      <c r="O690" s="45"/>
      <c r="P690" s="45">
        <v>1.0</v>
      </c>
      <c r="Q690" s="45"/>
      <c r="R690" s="45"/>
      <c r="S690" s="45"/>
      <c r="T690" s="45"/>
      <c r="U690" s="45"/>
      <c r="V690" s="45"/>
      <c r="W690" s="45"/>
      <c r="X690" s="45"/>
      <c r="Y690" s="45"/>
      <c r="Z690" s="14">
        <f t="shared" si="3"/>
        <v>1</v>
      </c>
      <c r="AA690" s="15" t="s">
        <v>52</v>
      </c>
    </row>
    <row r="691" ht="14.25" customHeight="1">
      <c r="A691" s="11" t="s">
        <v>2271</v>
      </c>
      <c r="B691" s="11" t="s">
        <v>2272</v>
      </c>
      <c r="C691" s="37" t="s">
        <v>2273</v>
      </c>
      <c r="D691" s="11"/>
      <c r="E691" s="11"/>
      <c r="F691" s="27" t="s">
        <v>77</v>
      </c>
      <c r="G691" s="11" t="s">
        <v>196</v>
      </c>
      <c r="H691" s="28" t="s">
        <v>1678</v>
      </c>
      <c r="I691" s="11"/>
      <c r="J691" s="11"/>
      <c r="K691" s="29" t="s">
        <v>50</v>
      </c>
      <c r="L691" s="97" t="s">
        <v>152</v>
      </c>
      <c r="M691" s="11">
        <f t="shared" si="1"/>
        <v>1</v>
      </c>
      <c r="N691" s="18">
        <v>1.0</v>
      </c>
      <c r="O691" s="11"/>
      <c r="P691" s="11"/>
      <c r="Q691" s="11"/>
      <c r="R691" s="11"/>
      <c r="S691" s="11"/>
      <c r="T691" s="11"/>
      <c r="U691" s="11"/>
      <c r="V691" s="12">
        <v>1.0</v>
      </c>
      <c r="W691" s="12">
        <v>1.0</v>
      </c>
      <c r="X691" s="11"/>
      <c r="Y691" s="11"/>
      <c r="Z691" s="14">
        <f t="shared" si="3"/>
        <v>3</v>
      </c>
      <c r="AA691" s="15" t="s">
        <v>106</v>
      </c>
      <c r="AB691" s="14">
        <v>0.9262855360410407</v>
      </c>
    </row>
    <row r="692" ht="14.25" customHeight="1">
      <c r="A692" s="11" t="s">
        <v>2274</v>
      </c>
      <c r="B692" s="11" t="s">
        <v>551</v>
      </c>
      <c r="C692" s="37" t="s">
        <v>2275</v>
      </c>
      <c r="D692" s="11"/>
      <c r="E692" s="11"/>
      <c r="F692" s="27" t="s">
        <v>103</v>
      </c>
      <c r="G692" s="19" t="s">
        <v>83</v>
      </c>
      <c r="H692" s="28" t="s">
        <v>2276</v>
      </c>
      <c r="I692" s="11"/>
      <c r="J692" s="11"/>
      <c r="K692" s="29" t="s">
        <v>50</v>
      </c>
      <c r="L692" s="12" t="s">
        <v>565</v>
      </c>
      <c r="M692" s="11">
        <f t="shared" si="1"/>
        <v>1</v>
      </c>
      <c r="N692" s="11"/>
      <c r="O692" s="11"/>
      <c r="P692" s="11"/>
      <c r="Q692" s="11"/>
      <c r="R692" s="11"/>
      <c r="S692" s="11"/>
      <c r="T692" s="11"/>
      <c r="U692" s="11"/>
      <c r="V692" s="18"/>
      <c r="W692" s="18">
        <v>1.0</v>
      </c>
      <c r="X692" s="11"/>
      <c r="Y692" s="11"/>
      <c r="Z692" s="14">
        <f t="shared" si="3"/>
        <v>1</v>
      </c>
      <c r="AA692" s="15" t="s">
        <v>106</v>
      </c>
      <c r="AB692" s="14">
        <v>0.9273735632165525</v>
      </c>
    </row>
    <row r="693" ht="14.25" hidden="1" customHeight="1">
      <c r="A693" s="19" t="s">
        <v>2277</v>
      </c>
      <c r="B693" s="19" t="s">
        <v>2278</v>
      </c>
      <c r="C693" s="52" t="s">
        <v>2279</v>
      </c>
      <c r="D693" s="21"/>
      <c r="E693" s="21"/>
      <c r="F693" s="21"/>
      <c r="G693" s="19" t="s">
        <v>361</v>
      </c>
      <c r="H693" s="21"/>
      <c r="I693" s="21"/>
      <c r="J693" s="21"/>
      <c r="K693" s="24" t="s">
        <v>89</v>
      </c>
      <c r="L693" s="24" t="s">
        <v>119</v>
      </c>
      <c r="M693" s="11">
        <f t="shared" si="1"/>
        <v>0</v>
      </c>
      <c r="N693" s="21"/>
      <c r="O693" s="21"/>
      <c r="P693" s="21"/>
      <c r="Q693" s="21"/>
      <c r="R693" s="21"/>
      <c r="S693" s="21"/>
      <c r="T693" s="21"/>
      <c r="U693" s="21"/>
      <c r="V693" s="21"/>
      <c r="W693" s="24">
        <v>1.0</v>
      </c>
      <c r="X693" s="21"/>
      <c r="Y693" s="21"/>
      <c r="Z693" s="14">
        <f t="shared" si="3"/>
        <v>1</v>
      </c>
      <c r="AA693" s="15" t="s">
        <v>52</v>
      </c>
    </row>
    <row r="694" ht="14.25" hidden="1" customHeight="1">
      <c r="A694" s="19" t="s">
        <v>2280</v>
      </c>
      <c r="B694" s="19" t="s">
        <v>2281</v>
      </c>
      <c r="C694" s="40" t="s">
        <v>1823</v>
      </c>
      <c r="D694" s="21"/>
      <c r="E694" s="21"/>
      <c r="F694" s="21"/>
      <c r="G694" s="19" t="s">
        <v>48</v>
      </c>
      <c r="H694" s="21"/>
      <c r="I694" s="21"/>
      <c r="J694" s="21"/>
      <c r="K694" s="24" t="s">
        <v>89</v>
      </c>
      <c r="L694" s="24" t="s">
        <v>43</v>
      </c>
      <c r="M694" s="11">
        <f t="shared" si="1"/>
        <v>0</v>
      </c>
      <c r="N694" s="21"/>
      <c r="O694" s="21"/>
      <c r="P694" s="21"/>
      <c r="Q694" s="21"/>
      <c r="R694" s="21"/>
      <c r="S694" s="21"/>
      <c r="T694" s="21"/>
      <c r="U694" s="21"/>
      <c r="V694" s="21"/>
      <c r="W694" s="24">
        <v>1.0</v>
      </c>
      <c r="X694" s="21"/>
      <c r="Y694" s="21"/>
      <c r="Z694" s="14">
        <f t="shared" si="3"/>
        <v>1</v>
      </c>
      <c r="AA694" s="15" t="s">
        <v>52</v>
      </c>
    </row>
    <row r="695" ht="14.25" customHeight="1">
      <c r="A695" s="19" t="s">
        <v>2282</v>
      </c>
      <c r="B695" s="19" t="s">
        <v>310</v>
      </c>
      <c r="C695" s="33" t="s">
        <v>2283</v>
      </c>
      <c r="D695" s="21"/>
      <c r="E695" s="21"/>
      <c r="F695" s="27" t="s">
        <v>56</v>
      </c>
      <c r="G695" s="19" t="s">
        <v>83</v>
      </c>
      <c r="H695" s="23" t="s">
        <v>652</v>
      </c>
      <c r="I695" s="21"/>
      <c r="J695" s="24"/>
      <c r="K695" s="25" t="s">
        <v>50</v>
      </c>
      <c r="L695" s="24" t="s">
        <v>407</v>
      </c>
      <c r="M695" s="11">
        <f t="shared" si="1"/>
        <v>1</v>
      </c>
      <c r="N695" s="21"/>
      <c r="O695" s="21"/>
      <c r="P695" s="21"/>
      <c r="Q695" s="21"/>
      <c r="R695" s="21"/>
      <c r="S695" s="21"/>
      <c r="T695" s="21"/>
      <c r="U695" s="21"/>
      <c r="V695" s="21"/>
      <c r="W695" s="24">
        <v>1.0</v>
      </c>
      <c r="X695" s="21"/>
      <c r="Y695" s="21"/>
      <c r="Z695" s="14">
        <f t="shared" si="3"/>
        <v>1</v>
      </c>
      <c r="AA695" s="15" t="s">
        <v>91</v>
      </c>
      <c r="AB695" s="14">
        <v>0.9290170309548731</v>
      </c>
    </row>
    <row r="696" ht="14.25" customHeight="1">
      <c r="A696" s="11" t="s">
        <v>2284</v>
      </c>
      <c r="B696" s="11" t="s">
        <v>2285</v>
      </c>
      <c r="C696" s="26" t="s">
        <v>2286</v>
      </c>
      <c r="D696" s="11"/>
      <c r="E696" s="11"/>
      <c r="F696" s="27" t="s">
        <v>103</v>
      </c>
      <c r="G696" s="11" t="s">
        <v>38</v>
      </c>
      <c r="H696" s="28" t="s">
        <v>593</v>
      </c>
      <c r="I696" s="11"/>
      <c r="J696" s="12"/>
      <c r="K696" s="29" t="s">
        <v>50</v>
      </c>
      <c r="L696" s="11"/>
      <c r="M696" s="11">
        <f t="shared" si="1"/>
        <v>1</v>
      </c>
      <c r="N696" s="11">
        <v>1.0</v>
      </c>
      <c r="O696" s="11"/>
      <c r="P696" s="11"/>
      <c r="Q696" s="11"/>
      <c r="R696" s="11"/>
      <c r="S696" s="11"/>
      <c r="T696" s="12">
        <v>1.0</v>
      </c>
      <c r="U696" s="12"/>
      <c r="V696" s="31">
        <v>1.0</v>
      </c>
      <c r="W696" s="18">
        <v>1.0</v>
      </c>
      <c r="X696" s="11"/>
      <c r="Y696" s="11"/>
      <c r="Z696" s="14">
        <f t="shared" si="3"/>
        <v>4</v>
      </c>
      <c r="AA696" s="15" t="s">
        <v>106</v>
      </c>
      <c r="AB696" s="14">
        <v>0.9315286594435357</v>
      </c>
    </row>
    <row r="697" ht="14.25" hidden="1" customHeight="1">
      <c r="A697" s="11" t="s">
        <v>2287</v>
      </c>
      <c r="B697" s="11" t="s">
        <v>2288</v>
      </c>
      <c r="C697" s="16" t="s">
        <v>2289</v>
      </c>
      <c r="D697" s="11"/>
      <c r="E697" s="11"/>
      <c r="F697" s="11"/>
      <c r="G697" s="11" t="s">
        <v>196</v>
      </c>
      <c r="H697" s="11"/>
      <c r="I697" s="11"/>
      <c r="J697" s="11"/>
      <c r="K697" s="12" t="s">
        <v>89</v>
      </c>
      <c r="L697" s="11" t="s">
        <v>2290</v>
      </c>
      <c r="M697" s="11">
        <f t="shared" si="1"/>
        <v>0</v>
      </c>
      <c r="N697" s="11"/>
      <c r="O697" s="11"/>
      <c r="P697" s="11"/>
      <c r="Q697" s="11"/>
      <c r="R697" s="11"/>
      <c r="S697" s="11"/>
      <c r="T697" s="11"/>
      <c r="U697" s="11"/>
      <c r="V697" s="31">
        <v>1.0</v>
      </c>
      <c r="W697" s="18">
        <v>1.0</v>
      </c>
      <c r="X697" s="11"/>
      <c r="Y697" s="11"/>
      <c r="Z697" s="14">
        <f t="shared" si="3"/>
        <v>2</v>
      </c>
      <c r="AA697" s="15" t="s">
        <v>52</v>
      </c>
    </row>
    <row r="698" ht="14.25" customHeight="1">
      <c r="A698" s="11" t="s">
        <v>2291</v>
      </c>
      <c r="B698" s="11" t="s">
        <v>310</v>
      </c>
      <c r="C698" s="37" t="s">
        <v>2292</v>
      </c>
      <c r="D698" s="11"/>
      <c r="E698" s="11"/>
      <c r="F698" s="27" t="s">
        <v>56</v>
      </c>
      <c r="G698" s="11" t="s">
        <v>83</v>
      </c>
      <c r="H698" s="28" t="s">
        <v>2293</v>
      </c>
      <c r="I698" s="11"/>
      <c r="J698" s="11"/>
      <c r="K698" s="29" t="s">
        <v>50</v>
      </c>
      <c r="L698" s="12" t="s">
        <v>51</v>
      </c>
      <c r="M698" s="11">
        <f t="shared" si="1"/>
        <v>1</v>
      </c>
      <c r="N698" s="18">
        <v>1.0</v>
      </c>
      <c r="O698" s="11"/>
      <c r="P698" s="11"/>
      <c r="Q698" s="11"/>
      <c r="R698" s="11"/>
      <c r="S698" s="11"/>
      <c r="T698" s="11"/>
      <c r="U698" s="11"/>
      <c r="V698" s="12">
        <v>1.0</v>
      </c>
      <c r="W698" s="11"/>
      <c r="X698" s="11"/>
      <c r="Y698" s="11"/>
      <c r="Z698" s="14">
        <f t="shared" si="3"/>
        <v>2</v>
      </c>
      <c r="AA698" s="15" t="s">
        <v>106</v>
      </c>
      <c r="AB698" s="14">
        <v>0.9323227571965637</v>
      </c>
    </row>
    <row r="699" ht="14.25" customHeight="1">
      <c r="A699" s="12" t="s">
        <v>2294</v>
      </c>
      <c r="B699" s="12" t="s">
        <v>2295</v>
      </c>
      <c r="C699" s="35" t="s">
        <v>2296</v>
      </c>
      <c r="D699" s="11"/>
      <c r="E699" s="11"/>
      <c r="F699" s="27" t="s">
        <v>140</v>
      </c>
      <c r="G699" s="12" t="s">
        <v>1536</v>
      </c>
      <c r="H699" s="28" t="s">
        <v>2297</v>
      </c>
      <c r="I699" s="11"/>
      <c r="J699" s="12"/>
      <c r="K699" s="29" t="s">
        <v>50</v>
      </c>
      <c r="L699" s="12"/>
      <c r="M699" s="11">
        <f t="shared" si="1"/>
        <v>1</v>
      </c>
      <c r="N699" s="11"/>
      <c r="O699" s="11"/>
      <c r="P699" s="11"/>
      <c r="Q699" s="11"/>
      <c r="R699" s="11"/>
      <c r="S699" s="12">
        <v>1.0</v>
      </c>
      <c r="T699" s="12"/>
      <c r="U699" s="12"/>
      <c r="V699" s="31"/>
      <c r="W699" s="31"/>
      <c r="X699" s="11"/>
      <c r="Y699" s="11"/>
      <c r="Z699" s="14">
        <f t="shared" si="3"/>
        <v>1</v>
      </c>
      <c r="AA699" s="15" t="s">
        <v>106</v>
      </c>
      <c r="AB699" s="14">
        <v>0.9371396206124657</v>
      </c>
    </row>
    <row r="700" ht="14.25" hidden="1" customHeight="1">
      <c r="A700" s="19" t="s">
        <v>2298</v>
      </c>
      <c r="B700" s="19" t="s">
        <v>45</v>
      </c>
      <c r="C700" s="40" t="s">
        <v>2299</v>
      </c>
      <c r="D700" s="21"/>
      <c r="E700" s="21"/>
      <c r="F700" s="21"/>
      <c r="G700" s="19" t="s">
        <v>48</v>
      </c>
      <c r="H700" s="21"/>
      <c r="I700" s="21"/>
      <c r="J700" s="24"/>
      <c r="K700" s="24" t="s">
        <v>89</v>
      </c>
      <c r="L700" s="24" t="s">
        <v>43</v>
      </c>
      <c r="M700" s="11">
        <f t="shared" si="1"/>
        <v>0</v>
      </c>
      <c r="N700" s="21"/>
      <c r="O700" s="21"/>
      <c r="P700" s="21"/>
      <c r="Q700" s="21"/>
      <c r="R700" s="21"/>
      <c r="S700" s="21"/>
      <c r="T700" s="21"/>
      <c r="U700" s="21"/>
      <c r="V700" s="21"/>
      <c r="W700" s="24">
        <v>1.0</v>
      </c>
      <c r="X700" s="21"/>
      <c r="Y700" s="21"/>
      <c r="Z700" s="14">
        <f t="shared" si="3"/>
        <v>1</v>
      </c>
      <c r="AA700" s="15" t="s">
        <v>91</v>
      </c>
    </row>
    <row r="701" ht="14.25" customHeight="1">
      <c r="A701" s="11" t="s">
        <v>2300</v>
      </c>
      <c r="B701" s="11" t="s">
        <v>2301</v>
      </c>
      <c r="C701" s="37" t="s">
        <v>2302</v>
      </c>
      <c r="D701" s="11"/>
      <c r="E701" s="11"/>
      <c r="F701" s="27" t="s">
        <v>62</v>
      </c>
      <c r="G701" s="11" t="s">
        <v>132</v>
      </c>
      <c r="H701" s="28" t="s">
        <v>2303</v>
      </c>
      <c r="I701" s="11"/>
      <c r="J701" s="11"/>
      <c r="K701" s="29" t="s">
        <v>50</v>
      </c>
      <c r="L701" s="12" t="s">
        <v>111</v>
      </c>
      <c r="M701" s="11">
        <f t="shared" si="1"/>
        <v>1</v>
      </c>
      <c r="N701" s="18">
        <v>1.0</v>
      </c>
      <c r="O701" s="11"/>
      <c r="P701" s="11"/>
      <c r="Q701" s="11"/>
      <c r="R701" s="11"/>
      <c r="S701" s="11"/>
      <c r="T701" s="11"/>
      <c r="U701" s="11"/>
      <c r="V701" s="11"/>
      <c r="W701" s="11"/>
      <c r="X701" s="11"/>
      <c r="Y701" s="11"/>
      <c r="Z701" s="14">
        <f t="shared" si="3"/>
        <v>1</v>
      </c>
      <c r="AA701" s="15" t="s">
        <v>106</v>
      </c>
      <c r="AB701" s="14">
        <v>0.9407958399213906</v>
      </c>
    </row>
    <row r="702" ht="14.25" customHeight="1">
      <c r="A702" s="11" t="s">
        <v>2304</v>
      </c>
      <c r="B702" s="11" t="s">
        <v>2305</v>
      </c>
      <c r="C702" s="43" t="s">
        <v>2306</v>
      </c>
      <c r="D702" s="12" t="s">
        <v>29</v>
      </c>
      <c r="E702" s="12" t="s">
        <v>29</v>
      </c>
      <c r="F702" s="27" t="s">
        <v>171</v>
      </c>
      <c r="G702" s="12" t="s">
        <v>48</v>
      </c>
      <c r="H702" s="28" t="s">
        <v>823</v>
      </c>
      <c r="I702" s="11"/>
      <c r="J702" s="12"/>
      <c r="K702" s="29" t="s">
        <v>50</v>
      </c>
      <c r="L702" s="12"/>
      <c r="M702" s="11">
        <f t="shared" si="1"/>
        <v>1</v>
      </c>
      <c r="N702" s="11"/>
      <c r="O702" s="18">
        <v>1.0</v>
      </c>
      <c r="P702" s="11"/>
      <c r="Q702" s="11"/>
      <c r="R702" s="11"/>
      <c r="S702" s="11"/>
      <c r="T702" s="12">
        <v>1.0</v>
      </c>
      <c r="U702" s="12"/>
      <c r="V702" s="11"/>
      <c r="W702" s="12">
        <v>1.0</v>
      </c>
      <c r="X702" s="11"/>
      <c r="Y702" s="11"/>
      <c r="Z702" s="14">
        <f t="shared" si="3"/>
        <v>3</v>
      </c>
      <c r="AA702" s="15" t="s">
        <v>91</v>
      </c>
      <c r="AB702" s="14">
        <v>0.9428508849588468</v>
      </c>
    </row>
    <row r="703" ht="14.25" customHeight="1">
      <c r="A703" s="32" t="s">
        <v>2307</v>
      </c>
      <c r="B703" s="19" t="s">
        <v>602</v>
      </c>
      <c r="C703" s="60" t="s">
        <v>2308</v>
      </c>
      <c r="D703" s="21"/>
      <c r="E703" s="21"/>
      <c r="F703" s="27" t="s">
        <v>103</v>
      </c>
      <c r="G703" s="19" t="s">
        <v>38</v>
      </c>
      <c r="H703" s="23" t="s">
        <v>2309</v>
      </c>
      <c r="I703" s="21"/>
      <c r="J703" s="24"/>
      <c r="K703" s="25" t="s">
        <v>50</v>
      </c>
      <c r="L703" s="24"/>
      <c r="M703" s="11">
        <f t="shared" si="1"/>
        <v>1</v>
      </c>
      <c r="N703" s="21"/>
      <c r="O703" s="21"/>
      <c r="P703" s="21"/>
      <c r="Q703" s="21"/>
      <c r="R703" s="21"/>
      <c r="S703" s="21"/>
      <c r="T703" s="21"/>
      <c r="U703" s="21"/>
      <c r="V703" s="21"/>
      <c r="W703" s="24">
        <v>1.0</v>
      </c>
      <c r="X703" s="21"/>
      <c r="Y703" s="21"/>
      <c r="Z703" s="14">
        <f t="shared" si="3"/>
        <v>1</v>
      </c>
      <c r="AA703" s="15" t="s">
        <v>52</v>
      </c>
      <c r="AB703" s="14">
        <v>0.9450373673217082</v>
      </c>
    </row>
    <row r="704" ht="14.25" customHeight="1">
      <c r="A704" s="12" t="s">
        <v>2310</v>
      </c>
      <c r="B704" s="11" t="s">
        <v>631</v>
      </c>
      <c r="C704" s="43" t="s">
        <v>2311</v>
      </c>
      <c r="D704" s="12" t="s">
        <v>2312</v>
      </c>
      <c r="E704" s="11"/>
      <c r="F704" s="27" t="s">
        <v>95</v>
      </c>
      <c r="G704" s="12" t="s">
        <v>48</v>
      </c>
      <c r="H704" s="28" t="s">
        <v>2313</v>
      </c>
      <c r="I704" s="11"/>
      <c r="J704" s="11"/>
      <c r="K704" s="29" t="s">
        <v>58</v>
      </c>
      <c r="L704" s="12" t="s">
        <v>51</v>
      </c>
      <c r="M704" s="11">
        <f t="shared" si="1"/>
        <v>1</v>
      </c>
      <c r="N704" s="11"/>
      <c r="O704" s="11"/>
      <c r="P704" s="11"/>
      <c r="Q704" s="11"/>
      <c r="R704" s="11"/>
      <c r="S704" s="12">
        <v>1.0</v>
      </c>
      <c r="T704" s="12"/>
      <c r="U704" s="12"/>
      <c r="V704" s="11"/>
      <c r="W704" s="11"/>
      <c r="X704" s="12">
        <v>1.0</v>
      </c>
      <c r="Y704" s="11"/>
      <c r="Z704" s="14">
        <f t="shared" si="3"/>
        <v>2</v>
      </c>
      <c r="AA704" s="15" t="s">
        <v>33</v>
      </c>
      <c r="AB704" s="14">
        <v>0.9461187896272288</v>
      </c>
    </row>
    <row r="705" ht="14.25" hidden="1" customHeight="1">
      <c r="A705" s="11" t="s">
        <v>2314</v>
      </c>
      <c r="B705" s="11" t="s">
        <v>2315</v>
      </c>
      <c r="C705" s="98" t="s">
        <v>2316</v>
      </c>
      <c r="D705" s="11"/>
      <c r="E705" s="11"/>
      <c r="F705" s="11"/>
      <c r="G705" s="11" t="s">
        <v>196</v>
      </c>
      <c r="H705" s="11"/>
      <c r="I705" s="11"/>
      <c r="J705" s="11"/>
      <c r="K705" s="12" t="s">
        <v>89</v>
      </c>
      <c r="L705" s="12" t="s">
        <v>119</v>
      </c>
      <c r="M705" s="11">
        <f t="shared" si="1"/>
        <v>0</v>
      </c>
      <c r="N705" s="11"/>
      <c r="O705" s="11"/>
      <c r="P705" s="11">
        <v>1.0</v>
      </c>
      <c r="Q705" s="11"/>
      <c r="R705" s="11"/>
      <c r="S705" s="11"/>
      <c r="T705" s="11"/>
      <c r="U705" s="11"/>
      <c r="V705" s="18"/>
      <c r="W705" s="18"/>
      <c r="X705" s="11"/>
      <c r="Y705" s="11"/>
      <c r="Z705" s="14">
        <f t="shared" si="3"/>
        <v>1</v>
      </c>
      <c r="AA705" s="15" t="s">
        <v>52</v>
      </c>
    </row>
    <row r="706" ht="14.25" hidden="1" customHeight="1">
      <c r="A706" s="19" t="s">
        <v>2317</v>
      </c>
      <c r="B706" s="19" t="s">
        <v>2318</v>
      </c>
      <c r="C706" s="40" t="s">
        <v>2319</v>
      </c>
      <c r="D706" s="21"/>
      <c r="E706" s="21"/>
      <c r="F706" s="21"/>
      <c r="G706" s="19" t="s">
        <v>361</v>
      </c>
      <c r="H706" s="21"/>
      <c r="I706" s="21"/>
      <c r="J706" s="24"/>
      <c r="K706" s="24" t="s">
        <v>89</v>
      </c>
      <c r="L706" s="24" t="s">
        <v>69</v>
      </c>
      <c r="M706" s="11">
        <f t="shared" si="1"/>
        <v>0</v>
      </c>
      <c r="N706" s="21"/>
      <c r="O706" s="21"/>
      <c r="P706" s="21"/>
      <c r="Q706" s="21"/>
      <c r="R706" s="21"/>
      <c r="S706" s="21"/>
      <c r="T706" s="21"/>
      <c r="U706" s="21"/>
      <c r="V706" s="21"/>
      <c r="W706" s="24">
        <v>1.0</v>
      </c>
      <c r="X706" s="21"/>
      <c r="Y706" s="21"/>
      <c r="Z706" s="14">
        <f t="shared" si="3"/>
        <v>1</v>
      </c>
      <c r="AA706" s="15" t="s">
        <v>52</v>
      </c>
    </row>
    <row r="707" ht="14.25" hidden="1" customHeight="1">
      <c r="A707" s="11" t="s">
        <v>2320</v>
      </c>
      <c r="B707" s="12" t="s">
        <v>2321</v>
      </c>
      <c r="C707" s="42" t="s">
        <v>2322</v>
      </c>
      <c r="D707" s="11"/>
      <c r="E707" s="11"/>
      <c r="F707" s="11"/>
      <c r="G707" s="11" t="s">
        <v>361</v>
      </c>
      <c r="H707" s="11"/>
      <c r="I707" s="11"/>
      <c r="J707" s="11"/>
      <c r="K707" s="12" t="s">
        <v>89</v>
      </c>
      <c r="L707" s="12" t="s">
        <v>200</v>
      </c>
      <c r="M707" s="11">
        <f t="shared" si="1"/>
        <v>0</v>
      </c>
      <c r="N707" s="11"/>
      <c r="O707" s="11"/>
      <c r="P707" s="11"/>
      <c r="Q707" s="11"/>
      <c r="R707" s="11"/>
      <c r="S707" s="11"/>
      <c r="T707" s="11"/>
      <c r="U707" s="11"/>
      <c r="V707" s="31">
        <v>1.0</v>
      </c>
      <c r="W707" s="18">
        <v>1.0</v>
      </c>
      <c r="X707" s="11"/>
      <c r="Y707" s="11"/>
      <c r="Z707" s="14">
        <f t="shared" si="3"/>
        <v>2</v>
      </c>
      <c r="AA707" s="15" t="s">
        <v>52</v>
      </c>
    </row>
    <row r="708" ht="14.25" customHeight="1">
      <c r="A708" s="11" t="s">
        <v>2323</v>
      </c>
      <c r="B708" s="11" t="s">
        <v>1396</v>
      </c>
      <c r="C708" s="26" t="s">
        <v>2324</v>
      </c>
      <c r="D708" s="11"/>
      <c r="E708" s="11"/>
      <c r="F708" s="27" t="s">
        <v>77</v>
      </c>
      <c r="G708" s="11" t="s">
        <v>440</v>
      </c>
      <c r="H708" s="28" t="s">
        <v>2325</v>
      </c>
      <c r="I708" s="11"/>
      <c r="J708" s="11"/>
      <c r="K708" s="29" t="s">
        <v>50</v>
      </c>
      <c r="L708" s="12" t="s">
        <v>357</v>
      </c>
      <c r="M708" s="11">
        <f t="shared" si="1"/>
        <v>1</v>
      </c>
      <c r="N708" s="11"/>
      <c r="O708" s="11"/>
      <c r="P708" s="11"/>
      <c r="Q708" s="11"/>
      <c r="R708" s="11"/>
      <c r="S708" s="11"/>
      <c r="T708" s="11"/>
      <c r="U708" s="11"/>
      <c r="V708" s="18"/>
      <c r="W708" s="18">
        <v>1.0</v>
      </c>
      <c r="X708" s="11"/>
      <c r="Y708" s="11"/>
      <c r="Z708" s="14">
        <f t="shared" si="3"/>
        <v>1</v>
      </c>
      <c r="AA708" s="15" t="s">
        <v>91</v>
      </c>
      <c r="AB708" s="14">
        <v>0.9470692256746566</v>
      </c>
    </row>
    <row r="709" ht="14.25" hidden="1" customHeight="1">
      <c r="A709" s="12" t="s">
        <v>2326</v>
      </c>
      <c r="B709" s="12" t="s">
        <v>2327</v>
      </c>
      <c r="C709" s="30" t="s">
        <v>2328</v>
      </c>
      <c r="D709" s="11"/>
      <c r="E709" s="11"/>
      <c r="F709" s="11"/>
      <c r="G709" s="12" t="s">
        <v>196</v>
      </c>
      <c r="H709" s="11"/>
      <c r="I709" s="11"/>
      <c r="J709" s="12"/>
      <c r="K709" s="12" t="s">
        <v>89</v>
      </c>
      <c r="L709" s="12" t="s">
        <v>69</v>
      </c>
      <c r="M709" s="11">
        <f t="shared" si="1"/>
        <v>0</v>
      </c>
      <c r="N709" s="11"/>
      <c r="O709" s="11"/>
      <c r="P709" s="11"/>
      <c r="Q709" s="11"/>
      <c r="R709" s="11"/>
      <c r="S709" s="11"/>
      <c r="T709" s="11"/>
      <c r="U709" s="11"/>
      <c r="V709" s="31">
        <v>1.0</v>
      </c>
      <c r="W709" s="18"/>
      <c r="X709" s="11"/>
      <c r="Y709" s="11"/>
      <c r="Z709" s="14">
        <f t="shared" si="3"/>
        <v>1</v>
      </c>
      <c r="AA709" s="15" t="s">
        <v>52</v>
      </c>
    </row>
    <row r="710" ht="14.25" hidden="1" customHeight="1">
      <c r="A710" s="12" t="s">
        <v>2329</v>
      </c>
      <c r="B710" s="12" t="s">
        <v>2330</v>
      </c>
      <c r="C710" s="30" t="s">
        <v>2331</v>
      </c>
      <c r="D710" s="11"/>
      <c r="E710" s="11"/>
      <c r="F710" s="11"/>
      <c r="G710" s="11" t="s">
        <v>196</v>
      </c>
      <c r="H710" s="11"/>
      <c r="I710" s="11"/>
      <c r="J710" s="12"/>
      <c r="K710" s="12" t="s">
        <v>89</v>
      </c>
      <c r="L710" s="12" t="s">
        <v>69</v>
      </c>
      <c r="M710" s="11">
        <f t="shared" si="1"/>
        <v>0</v>
      </c>
      <c r="N710" s="11"/>
      <c r="O710" s="11"/>
      <c r="P710" s="11"/>
      <c r="Q710" s="11"/>
      <c r="R710" s="11"/>
      <c r="S710" s="11"/>
      <c r="T710" s="11"/>
      <c r="U710" s="11"/>
      <c r="V710" s="31">
        <v>1.0</v>
      </c>
      <c r="W710" s="18"/>
      <c r="X710" s="11"/>
      <c r="Y710" s="11"/>
      <c r="Z710" s="14">
        <f t="shared" si="3"/>
        <v>1</v>
      </c>
      <c r="AA710" s="15" t="s">
        <v>52</v>
      </c>
    </row>
    <row r="711" ht="14.25" hidden="1" customHeight="1">
      <c r="A711" s="12" t="s">
        <v>2332</v>
      </c>
      <c r="B711" s="12" t="s">
        <v>2333</v>
      </c>
      <c r="C711" s="51" t="s">
        <v>2334</v>
      </c>
      <c r="D711" s="11"/>
      <c r="E711" s="11"/>
      <c r="F711" s="11"/>
      <c r="G711" s="12" t="s">
        <v>78</v>
      </c>
      <c r="H711" s="11"/>
      <c r="I711" s="11"/>
      <c r="J711" s="12"/>
      <c r="K711" s="12" t="s">
        <v>89</v>
      </c>
      <c r="L711" s="12" t="s">
        <v>252</v>
      </c>
      <c r="M711" s="11">
        <f t="shared" si="1"/>
        <v>0</v>
      </c>
      <c r="N711" s="18"/>
      <c r="O711" s="11"/>
      <c r="P711" s="11"/>
      <c r="Q711" s="11"/>
      <c r="R711" s="11"/>
      <c r="S711" s="12">
        <v>1.0</v>
      </c>
      <c r="T711" s="12"/>
      <c r="U711" s="12"/>
      <c r="V711" s="31">
        <v>1.0</v>
      </c>
      <c r="W711" s="18"/>
      <c r="X711" s="11"/>
      <c r="Y711" s="11"/>
      <c r="Z711" s="14">
        <f t="shared" si="3"/>
        <v>2</v>
      </c>
      <c r="AA711" s="15" t="s">
        <v>52</v>
      </c>
    </row>
    <row r="712" ht="14.25" customHeight="1">
      <c r="A712" s="11" t="s">
        <v>2335</v>
      </c>
      <c r="B712" s="11" t="s">
        <v>165</v>
      </c>
      <c r="C712" s="26" t="s">
        <v>2336</v>
      </c>
      <c r="D712" s="11"/>
      <c r="E712" s="11"/>
      <c r="F712" s="22" t="s">
        <v>77</v>
      </c>
      <c r="G712" s="11" t="s">
        <v>78</v>
      </c>
      <c r="H712" s="28" t="s">
        <v>2337</v>
      </c>
      <c r="I712" s="11"/>
      <c r="J712" s="11"/>
      <c r="K712" s="29" t="s">
        <v>50</v>
      </c>
      <c r="L712" s="12" t="s">
        <v>51</v>
      </c>
      <c r="M712" s="11">
        <f t="shared" si="1"/>
        <v>1</v>
      </c>
      <c r="N712" s="11"/>
      <c r="O712" s="11"/>
      <c r="P712" s="11"/>
      <c r="Q712" s="11"/>
      <c r="R712" s="11"/>
      <c r="S712" s="11"/>
      <c r="T712" s="11"/>
      <c r="U712" s="11"/>
      <c r="V712" s="18"/>
      <c r="W712" s="18">
        <v>1.0</v>
      </c>
      <c r="X712" s="11"/>
      <c r="Y712" s="11"/>
      <c r="Z712" s="14">
        <f t="shared" si="3"/>
        <v>1</v>
      </c>
      <c r="AA712" s="15" t="s">
        <v>106</v>
      </c>
      <c r="AB712" s="14">
        <v>0.9533808316769895</v>
      </c>
    </row>
    <row r="713" ht="14.25" customHeight="1">
      <c r="A713" s="11" t="s">
        <v>2338</v>
      </c>
      <c r="B713" s="11" t="s">
        <v>2339</v>
      </c>
      <c r="C713" s="37" t="s">
        <v>2340</v>
      </c>
      <c r="D713" s="11"/>
      <c r="E713" s="11"/>
      <c r="F713" s="27" t="s">
        <v>95</v>
      </c>
      <c r="G713" s="11" t="s">
        <v>48</v>
      </c>
      <c r="H713" s="28" t="s">
        <v>2341</v>
      </c>
      <c r="I713" s="11"/>
      <c r="J713" s="12"/>
      <c r="K713" s="29" t="s">
        <v>50</v>
      </c>
      <c r="L713" s="11"/>
      <c r="M713" s="11">
        <f t="shared" si="1"/>
        <v>1</v>
      </c>
      <c r="N713" s="18">
        <v>1.0</v>
      </c>
      <c r="O713" s="11"/>
      <c r="P713" s="11"/>
      <c r="Q713" s="11"/>
      <c r="R713" s="11"/>
      <c r="S713" s="12">
        <v>1.0</v>
      </c>
      <c r="T713" s="12"/>
      <c r="U713" s="12"/>
      <c r="V713" s="31">
        <v>1.0</v>
      </c>
      <c r="W713" s="18">
        <v>1.0</v>
      </c>
      <c r="X713" s="11"/>
      <c r="Y713" s="11"/>
      <c r="Z713" s="14">
        <f t="shared" si="3"/>
        <v>4</v>
      </c>
      <c r="AA713" s="15" t="s">
        <v>106</v>
      </c>
      <c r="AB713" s="14">
        <v>0.9588547569291438</v>
      </c>
    </row>
    <row r="714" ht="14.25" customHeight="1">
      <c r="A714" s="19" t="s">
        <v>2342</v>
      </c>
      <c r="B714" s="19" t="s">
        <v>310</v>
      </c>
      <c r="C714" s="33" t="s">
        <v>2343</v>
      </c>
      <c r="D714" s="21"/>
      <c r="E714" s="21"/>
      <c r="F714" s="27" t="s">
        <v>56</v>
      </c>
      <c r="G714" s="19" t="s">
        <v>83</v>
      </c>
      <c r="H714" s="23" t="s">
        <v>1055</v>
      </c>
      <c r="I714" s="21"/>
      <c r="J714" s="24"/>
      <c r="K714" s="25" t="s">
        <v>50</v>
      </c>
      <c r="L714" s="24" t="s">
        <v>1836</v>
      </c>
      <c r="M714" s="11">
        <f t="shared" si="1"/>
        <v>1</v>
      </c>
      <c r="N714" s="21"/>
      <c r="O714" s="21"/>
      <c r="P714" s="21"/>
      <c r="Q714" s="21"/>
      <c r="R714" s="21"/>
      <c r="S714" s="21"/>
      <c r="T714" s="21"/>
      <c r="U714" s="21"/>
      <c r="V714" s="21"/>
      <c r="W714" s="24">
        <v>1.0</v>
      </c>
      <c r="X714" s="21"/>
      <c r="Y714" s="21"/>
      <c r="Z714" s="14">
        <f t="shared" si="3"/>
        <v>1</v>
      </c>
      <c r="AA714" s="15" t="s">
        <v>91</v>
      </c>
      <c r="AB714" s="14">
        <v>0.960207571785537</v>
      </c>
    </row>
    <row r="715" ht="14.25" hidden="1" customHeight="1">
      <c r="A715" s="11" t="s">
        <v>2344</v>
      </c>
      <c r="B715" s="11" t="s">
        <v>2345</v>
      </c>
      <c r="C715" s="16" t="s">
        <v>2346</v>
      </c>
      <c r="D715" s="11"/>
      <c r="E715" s="11"/>
      <c r="F715" s="11"/>
      <c r="G715" s="11" t="s">
        <v>38</v>
      </c>
      <c r="H715" s="11"/>
      <c r="I715" s="11"/>
      <c r="J715" s="11"/>
      <c r="K715" s="12" t="s">
        <v>89</v>
      </c>
      <c r="L715" s="12" t="s">
        <v>2347</v>
      </c>
      <c r="M715" s="11">
        <f t="shared" si="1"/>
        <v>0</v>
      </c>
      <c r="N715" s="18">
        <v>1.0</v>
      </c>
      <c r="O715" s="11"/>
      <c r="P715" s="11"/>
      <c r="Q715" s="11"/>
      <c r="R715" s="11"/>
      <c r="S715" s="11"/>
      <c r="T715" s="11"/>
      <c r="U715" s="11"/>
      <c r="V715" s="12">
        <v>1.0</v>
      </c>
      <c r="W715" s="11"/>
      <c r="X715" s="11"/>
      <c r="Y715" s="11"/>
      <c r="Z715" s="14">
        <f t="shared" si="3"/>
        <v>2</v>
      </c>
      <c r="AA715" s="15" t="s">
        <v>52</v>
      </c>
    </row>
    <row r="716" ht="14.25" hidden="1" customHeight="1">
      <c r="A716" s="11" t="s">
        <v>2348</v>
      </c>
      <c r="B716" s="11" t="s">
        <v>2349</v>
      </c>
      <c r="C716" s="42" t="s">
        <v>2350</v>
      </c>
      <c r="D716" s="11"/>
      <c r="E716" s="11"/>
      <c r="F716" s="11"/>
      <c r="G716" s="11" t="s">
        <v>48</v>
      </c>
      <c r="H716" s="11"/>
      <c r="I716" s="11"/>
      <c r="J716" s="11"/>
      <c r="K716" s="12" t="s">
        <v>89</v>
      </c>
      <c r="L716" s="12" t="s">
        <v>43</v>
      </c>
      <c r="M716" s="11">
        <f t="shared" si="1"/>
        <v>0</v>
      </c>
      <c r="N716" s="11"/>
      <c r="O716" s="11"/>
      <c r="P716" s="11"/>
      <c r="Q716" s="11"/>
      <c r="R716" s="11"/>
      <c r="S716" s="12">
        <v>1.0</v>
      </c>
      <c r="T716" s="12"/>
      <c r="U716" s="12"/>
      <c r="V716" s="18"/>
      <c r="W716" s="18">
        <v>1.0</v>
      </c>
      <c r="X716" s="11"/>
      <c r="Y716" s="11"/>
      <c r="Z716" s="14">
        <f t="shared" si="3"/>
        <v>2</v>
      </c>
      <c r="AA716" s="15" t="s">
        <v>52</v>
      </c>
    </row>
    <row r="717" ht="14.25" hidden="1" customHeight="1">
      <c r="A717" s="11" t="s">
        <v>2351</v>
      </c>
      <c r="B717" s="11" t="s">
        <v>2349</v>
      </c>
      <c r="C717" s="42" t="s">
        <v>2352</v>
      </c>
      <c r="D717" s="11"/>
      <c r="E717" s="11"/>
      <c r="F717" s="11"/>
      <c r="G717" s="11" t="s">
        <v>48</v>
      </c>
      <c r="H717" s="11"/>
      <c r="I717" s="11"/>
      <c r="J717" s="11"/>
      <c r="K717" s="12" t="s">
        <v>89</v>
      </c>
      <c r="L717" s="12" t="s">
        <v>468</v>
      </c>
      <c r="M717" s="11">
        <f t="shared" si="1"/>
        <v>0</v>
      </c>
      <c r="N717" s="11"/>
      <c r="O717" s="11"/>
      <c r="P717" s="11"/>
      <c r="Q717" s="11"/>
      <c r="R717" s="11"/>
      <c r="S717" s="12">
        <v>1.0</v>
      </c>
      <c r="T717" s="12"/>
      <c r="U717" s="12"/>
      <c r="V717" s="31">
        <v>1.0</v>
      </c>
      <c r="W717" s="18">
        <v>1.0</v>
      </c>
      <c r="X717" s="11"/>
      <c r="Y717" s="11"/>
      <c r="Z717" s="14">
        <f t="shared" si="3"/>
        <v>3</v>
      </c>
      <c r="AA717" s="15" t="s">
        <v>52</v>
      </c>
    </row>
    <row r="718" ht="14.25" customHeight="1">
      <c r="A718" s="11" t="s">
        <v>2353</v>
      </c>
      <c r="B718" s="11" t="s">
        <v>2354</v>
      </c>
      <c r="C718" s="35" t="s">
        <v>2355</v>
      </c>
      <c r="D718" s="11"/>
      <c r="E718" s="11"/>
      <c r="F718" s="27" t="s">
        <v>351</v>
      </c>
      <c r="G718" s="11" t="s">
        <v>2356</v>
      </c>
      <c r="H718" s="28" t="s">
        <v>99</v>
      </c>
      <c r="I718" s="11"/>
      <c r="J718" s="11"/>
      <c r="K718" s="29" t="s">
        <v>50</v>
      </c>
      <c r="L718" s="12" t="s">
        <v>51</v>
      </c>
      <c r="M718" s="11">
        <f t="shared" si="1"/>
        <v>1</v>
      </c>
      <c r="N718" s="11"/>
      <c r="O718" s="11"/>
      <c r="P718" s="11"/>
      <c r="Q718" s="11"/>
      <c r="R718" s="11"/>
      <c r="S718" s="11"/>
      <c r="T718" s="11"/>
      <c r="U718" s="11"/>
      <c r="V718" s="18"/>
      <c r="W718" s="18">
        <v>1.0</v>
      </c>
      <c r="X718" s="11"/>
      <c r="Y718" s="11"/>
      <c r="Z718" s="14">
        <f t="shared" si="3"/>
        <v>1</v>
      </c>
      <c r="AA718" s="15" t="s">
        <v>106</v>
      </c>
      <c r="AB718" s="14">
        <v>0.9692659259803446</v>
      </c>
    </row>
    <row r="719" ht="14.25" customHeight="1">
      <c r="A719" s="11" t="s">
        <v>2357</v>
      </c>
      <c r="B719" s="11" t="s">
        <v>2358</v>
      </c>
      <c r="C719" s="37" t="s">
        <v>2359</v>
      </c>
      <c r="D719" s="11"/>
      <c r="E719" s="11"/>
      <c r="F719" s="27" t="s">
        <v>405</v>
      </c>
      <c r="G719" s="11" t="s">
        <v>83</v>
      </c>
      <c r="H719" s="28" t="s">
        <v>2360</v>
      </c>
      <c r="I719" s="11"/>
      <c r="J719" s="11"/>
      <c r="K719" s="29" t="s">
        <v>50</v>
      </c>
      <c r="L719" s="12" t="s">
        <v>111</v>
      </c>
      <c r="M719" s="11">
        <f t="shared" si="1"/>
        <v>1</v>
      </c>
      <c r="N719" s="18">
        <v>1.0</v>
      </c>
      <c r="O719" s="11"/>
      <c r="P719" s="11"/>
      <c r="Q719" s="11"/>
      <c r="R719" s="11"/>
      <c r="S719" s="11"/>
      <c r="T719" s="11"/>
      <c r="U719" s="11"/>
      <c r="V719" s="12">
        <v>1.0</v>
      </c>
      <c r="W719" s="11"/>
      <c r="X719" s="11"/>
      <c r="Y719" s="11"/>
      <c r="Z719" s="14">
        <f t="shared" si="3"/>
        <v>2</v>
      </c>
      <c r="AA719" s="15" t="s">
        <v>52</v>
      </c>
      <c r="AB719" s="14">
        <v>0.9699478130612819</v>
      </c>
    </row>
    <row r="720" ht="14.25" hidden="1" customHeight="1">
      <c r="A720" s="12" t="s">
        <v>2361</v>
      </c>
      <c r="B720" s="11" t="s">
        <v>210</v>
      </c>
      <c r="C720" s="30" t="s">
        <v>2362</v>
      </c>
      <c r="D720" s="11"/>
      <c r="E720" s="11"/>
      <c r="F720" s="11"/>
      <c r="G720" s="12" t="s">
        <v>38</v>
      </c>
      <c r="H720" s="11"/>
      <c r="I720" s="11"/>
      <c r="J720" s="12"/>
      <c r="K720" s="12" t="s">
        <v>89</v>
      </c>
      <c r="L720" s="12" t="s">
        <v>200</v>
      </c>
      <c r="M720" s="11">
        <f t="shared" si="1"/>
        <v>0</v>
      </c>
      <c r="N720" s="11"/>
      <c r="O720" s="11"/>
      <c r="P720" s="11"/>
      <c r="Q720" s="11"/>
      <c r="R720" s="11"/>
      <c r="S720" s="11"/>
      <c r="T720" s="12">
        <v>1.0</v>
      </c>
      <c r="U720" s="12"/>
      <c r="V720" s="31"/>
      <c r="W720" s="18"/>
      <c r="X720" s="11"/>
      <c r="Y720" s="11"/>
      <c r="Z720" s="14">
        <f t="shared" si="3"/>
        <v>1</v>
      </c>
      <c r="AA720" s="15" t="s">
        <v>52</v>
      </c>
    </row>
    <row r="721" ht="14.25" customHeight="1">
      <c r="A721" s="11" t="s">
        <v>2363</v>
      </c>
      <c r="B721" s="11" t="s">
        <v>2364</v>
      </c>
      <c r="C721" s="37" t="s">
        <v>2365</v>
      </c>
      <c r="D721" s="11"/>
      <c r="E721" s="11"/>
      <c r="F721" s="27" t="s">
        <v>95</v>
      </c>
      <c r="G721" s="11" t="s">
        <v>48</v>
      </c>
      <c r="H721" s="28" t="s">
        <v>99</v>
      </c>
      <c r="I721" s="11"/>
      <c r="J721" s="11"/>
      <c r="K721" s="29" t="s">
        <v>50</v>
      </c>
      <c r="L721" s="12"/>
      <c r="M721" s="11">
        <f t="shared" si="1"/>
        <v>1</v>
      </c>
      <c r="N721" s="11"/>
      <c r="O721" s="11"/>
      <c r="P721" s="11"/>
      <c r="Q721" s="11"/>
      <c r="R721" s="11"/>
      <c r="S721" s="11"/>
      <c r="T721" s="11"/>
      <c r="U721" s="11"/>
      <c r="V721" s="18"/>
      <c r="W721" s="18">
        <v>1.0</v>
      </c>
      <c r="X721" s="11"/>
      <c r="Y721" s="11"/>
      <c r="Z721" s="14">
        <f t="shared" si="3"/>
        <v>1</v>
      </c>
      <c r="AA721" s="15" t="s">
        <v>52</v>
      </c>
      <c r="AB721" s="14">
        <v>0.9735821661395017</v>
      </c>
    </row>
    <row r="722" ht="14.25" customHeight="1">
      <c r="A722" s="11" t="s">
        <v>2366</v>
      </c>
      <c r="B722" s="12" t="s">
        <v>2367</v>
      </c>
      <c r="C722" s="99" t="s">
        <v>2368</v>
      </c>
      <c r="D722" s="12" t="s">
        <v>29</v>
      </c>
      <c r="E722" s="12" t="s">
        <v>29</v>
      </c>
      <c r="F722" s="27" t="s">
        <v>95</v>
      </c>
      <c r="G722" s="11" t="s">
        <v>204</v>
      </c>
      <c r="H722" s="28" t="s">
        <v>666</v>
      </c>
      <c r="I722" s="11"/>
      <c r="J722" s="11"/>
      <c r="K722" s="29" t="s">
        <v>50</v>
      </c>
      <c r="L722" s="11"/>
      <c r="M722" s="11">
        <f t="shared" si="1"/>
        <v>1</v>
      </c>
      <c r="N722" s="18">
        <v>1.0</v>
      </c>
      <c r="O722" s="11"/>
      <c r="P722" s="11"/>
      <c r="Q722" s="11"/>
      <c r="R722" s="11"/>
      <c r="S722" s="12">
        <v>1.0</v>
      </c>
      <c r="T722" s="12"/>
      <c r="U722" s="12"/>
      <c r="V722" s="31">
        <v>1.0</v>
      </c>
      <c r="W722" s="18">
        <v>1.0</v>
      </c>
      <c r="X722" s="11"/>
      <c r="Y722" s="11"/>
      <c r="Z722" s="14">
        <f t="shared" si="3"/>
        <v>4</v>
      </c>
      <c r="AA722" s="15" t="s">
        <v>106</v>
      </c>
      <c r="AB722" s="14">
        <v>0.9742445107650486</v>
      </c>
    </row>
    <row r="723" ht="14.25" customHeight="1">
      <c r="A723" s="11" t="s">
        <v>2369</v>
      </c>
      <c r="B723" s="11" t="s">
        <v>2370</v>
      </c>
      <c r="C723" s="35" t="s">
        <v>2371</v>
      </c>
      <c r="D723" s="11"/>
      <c r="E723" s="11"/>
      <c r="F723" s="27" t="s">
        <v>77</v>
      </c>
      <c r="G723" s="11" t="s">
        <v>1255</v>
      </c>
      <c r="H723" s="28" t="s">
        <v>2372</v>
      </c>
      <c r="I723" s="11"/>
      <c r="J723" s="11"/>
      <c r="K723" s="29" t="s">
        <v>50</v>
      </c>
      <c r="L723" s="12" t="s">
        <v>51</v>
      </c>
      <c r="M723" s="11">
        <f t="shared" si="1"/>
        <v>1</v>
      </c>
      <c r="N723" s="11"/>
      <c r="O723" s="11"/>
      <c r="P723" s="11"/>
      <c r="Q723" s="11"/>
      <c r="R723" s="11"/>
      <c r="S723" s="11"/>
      <c r="T723" s="11"/>
      <c r="U723" s="11"/>
      <c r="V723" s="18"/>
      <c r="W723" s="18">
        <v>1.0</v>
      </c>
      <c r="X723" s="11"/>
      <c r="Y723" s="11"/>
      <c r="Z723" s="14">
        <f t="shared" si="3"/>
        <v>1</v>
      </c>
      <c r="AA723" s="15" t="s">
        <v>52</v>
      </c>
      <c r="AB723" s="14">
        <v>0.9763170297225797</v>
      </c>
    </row>
    <row r="724" ht="14.25" customHeight="1">
      <c r="A724" s="11" t="s">
        <v>2373</v>
      </c>
      <c r="B724" s="11" t="s">
        <v>2374</v>
      </c>
      <c r="C724" s="37" t="s">
        <v>2375</v>
      </c>
      <c r="D724" s="11"/>
      <c r="E724" s="11"/>
      <c r="F724" s="27" t="s">
        <v>62</v>
      </c>
      <c r="G724" s="11" t="s">
        <v>2376</v>
      </c>
      <c r="H724" s="28" t="s">
        <v>239</v>
      </c>
      <c r="I724" s="11"/>
      <c r="J724" s="11"/>
      <c r="K724" s="29" t="s">
        <v>50</v>
      </c>
      <c r="L724" s="12"/>
      <c r="M724" s="11">
        <f t="shared" si="1"/>
        <v>1</v>
      </c>
      <c r="N724" s="11"/>
      <c r="O724" s="11"/>
      <c r="P724" s="11"/>
      <c r="Q724" s="11"/>
      <c r="R724" s="11"/>
      <c r="S724" s="11"/>
      <c r="T724" s="11"/>
      <c r="U724" s="11"/>
      <c r="V724" s="18"/>
      <c r="W724" s="18">
        <v>1.0</v>
      </c>
      <c r="X724" s="11"/>
      <c r="Y724" s="11"/>
      <c r="Z724" s="14">
        <f t="shared" si="3"/>
        <v>1</v>
      </c>
      <c r="AA724" s="15" t="s">
        <v>52</v>
      </c>
      <c r="AB724" s="14">
        <v>0.9768627658254447</v>
      </c>
    </row>
    <row r="725" ht="14.25" customHeight="1">
      <c r="A725" s="12" t="s">
        <v>2377</v>
      </c>
      <c r="B725" s="12" t="s">
        <v>2378</v>
      </c>
      <c r="C725" s="38" t="s">
        <v>2379</v>
      </c>
      <c r="D725" s="11"/>
      <c r="E725" s="11"/>
      <c r="F725" s="27" t="s">
        <v>77</v>
      </c>
      <c r="G725" s="12" t="s">
        <v>78</v>
      </c>
      <c r="H725" s="28" t="s">
        <v>2380</v>
      </c>
      <c r="I725" s="11"/>
      <c r="J725" s="12"/>
      <c r="K725" s="29" t="s">
        <v>50</v>
      </c>
      <c r="L725" s="12" t="s">
        <v>152</v>
      </c>
      <c r="M725" s="11">
        <f t="shared" si="1"/>
        <v>1</v>
      </c>
      <c r="N725" s="18"/>
      <c r="O725" s="11"/>
      <c r="P725" s="11"/>
      <c r="Q725" s="11"/>
      <c r="R725" s="11"/>
      <c r="S725" s="12">
        <v>1.0</v>
      </c>
      <c r="T725" s="12"/>
      <c r="U725" s="12"/>
      <c r="V725" s="31"/>
      <c r="W725" s="18"/>
      <c r="X725" s="11"/>
      <c r="Y725" s="11"/>
      <c r="Z725" s="14">
        <f t="shared" si="3"/>
        <v>1</v>
      </c>
      <c r="AA725" s="15" t="s">
        <v>52</v>
      </c>
      <c r="AB725" s="14">
        <v>0.9777977234032359</v>
      </c>
    </row>
    <row r="726" ht="14.25" customHeight="1">
      <c r="A726" s="11" t="s">
        <v>2381</v>
      </c>
      <c r="B726" s="11" t="s">
        <v>169</v>
      </c>
      <c r="C726" s="38" t="s">
        <v>2382</v>
      </c>
      <c r="D726" s="11"/>
      <c r="E726" s="11"/>
      <c r="F726" s="27" t="s">
        <v>171</v>
      </c>
      <c r="G726" s="11" t="s">
        <v>48</v>
      </c>
      <c r="H726" s="28" t="s">
        <v>2372</v>
      </c>
      <c r="I726" s="11"/>
      <c r="J726" s="12"/>
      <c r="K726" s="29" t="s">
        <v>50</v>
      </c>
      <c r="L726" s="12" t="s">
        <v>51</v>
      </c>
      <c r="M726" s="11">
        <f t="shared" si="1"/>
        <v>1</v>
      </c>
      <c r="N726" s="18">
        <v>1.0</v>
      </c>
      <c r="O726" s="11"/>
      <c r="P726" s="11"/>
      <c r="Q726" s="12">
        <v>1.0</v>
      </c>
      <c r="R726" s="11"/>
      <c r="S726" s="11"/>
      <c r="T726" s="11"/>
      <c r="U726" s="11"/>
      <c r="V726" s="12">
        <v>1.0</v>
      </c>
      <c r="W726" s="12">
        <v>1.0</v>
      </c>
      <c r="X726" s="11"/>
      <c r="Y726" s="11"/>
      <c r="Z726" s="14">
        <f t="shared" si="3"/>
        <v>4</v>
      </c>
      <c r="AA726" s="15" t="s">
        <v>91</v>
      </c>
      <c r="AB726" s="14">
        <v>0.9791906455950482</v>
      </c>
    </row>
    <row r="727" ht="14.25" customHeight="1">
      <c r="A727" s="19" t="s">
        <v>2383</v>
      </c>
      <c r="B727" s="19" t="s">
        <v>2384</v>
      </c>
      <c r="C727" s="33" t="s">
        <v>2385</v>
      </c>
      <c r="D727" s="21"/>
      <c r="E727" s="21"/>
      <c r="F727" s="22" t="s">
        <v>62</v>
      </c>
      <c r="G727" s="19" t="s">
        <v>48</v>
      </c>
      <c r="H727" s="23" t="s">
        <v>499</v>
      </c>
      <c r="I727" s="21"/>
      <c r="J727" s="24"/>
      <c r="K727" s="25" t="s">
        <v>50</v>
      </c>
      <c r="L727" s="24" t="s">
        <v>2386</v>
      </c>
      <c r="M727" s="11">
        <f t="shared" si="1"/>
        <v>1</v>
      </c>
      <c r="N727" s="21"/>
      <c r="O727" s="21"/>
      <c r="P727" s="21"/>
      <c r="Q727" s="21"/>
      <c r="R727" s="21"/>
      <c r="S727" s="21"/>
      <c r="T727" s="21"/>
      <c r="U727" s="21"/>
      <c r="V727" s="21"/>
      <c r="W727" s="24">
        <v>1.0</v>
      </c>
      <c r="X727" s="21"/>
      <c r="Y727" s="21"/>
      <c r="Z727" s="14">
        <f t="shared" si="3"/>
        <v>1</v>
      </c>
      <c r="AA727" s="100" t="s">
        <v>91</v>
      </c>
      <c r="AB727" s="14">
        <v>0.9794906651651019</v>
      </c>
      <c r="AD727" s="101"/>
      <c r="AE727" s="101"/>
      <c r="AF727" s="101"/>
      <c r="AG727" s="101"/>
      <c r="AH727" s="101"/>
      <c r="AI727" s="101"/>
      <c r="AJ727" s="101"/>
      <c r="AK727" s="101"/>
      <c r="AL727" s="101"/>
    </row>
    <row r="728" ht="15.0" hidden="1" customHeight="1">
      <c r="A728" s="19" t="s">
        <v>2387</v>
      </c>
      <c r="B728" s="19" t="s">
        <v>515</v>
      </c>
      <c r="C728" s="52" t="s">
        <v>2388</v>
      </c>
      <c r="D728" s="21"/>
      <c r="E728" s="21"/>
      <c r="F728" s="21"/>
      <c r="G728" s="19" t="s">
        <v>38</v>
      </c>
      <c r="H728" s="21"/>
      <c r="I728" s="21"/>
      <c r="J728" s="24"/>
      <c r="K728" s="24" t="s">
        <v>89</v>
      </c>
      <c r="L728" s="24" t="s">
        <v>200</v>
      </c>
      <c r="M728" s="11">
        <f t="shared" si="1"/>
        <v>0</v>
      </c>
      <c r="N728" s="21"/>
      <c r="O728" s="21"/>
      <c r="P728" s="21"/>
      <c r="Q728" s="21"/>
      <c r="R728" s="21"/>
      <c r="S728" s="21"/>
      <c r="T728" s="21"/>
      <c r="U728" s="21"/>
      <c r="V728" s="21"/>
      <c r="W728" s="24">
        <v>1.0</v>
      </c>
      <c r="X728" s="21"/>
      <c r="Y728" s="21"/>
      <c r="Z728" s="14">
        <f t="shared" si="3"/>
        <v>1</v>
      </c>
      <c r="AA728" s="15" t="s">
        <v>52</v>
      </c>
    </row>
    <row r="729" ht="14.25" customHeight="1">
      <c r="A729" s="19" t="s">
        <v>2389</v>
      </c>
      <c r="B729" s="19" t="s">
        <v>227</v>
      </c>
      <c r="C729" s="35" t="s">
        <v>2390</v>
      </c>
      <c r="D729" s="21"/>
      <c r="E729" s="21"/>
      <c r="F729" s="27" t="s">
        <v>103</v>
      </c>
      <c r="G729" s="19" t="s">
        <v>83</v>
      </c>
      <c r="H729" s="23" t="s">
        <v>2391</v>
      </c>
      <c r="I729" s="21"/>
      <c r="J729" s="21"/>
      <c r="K729" s="25" t="s">
        <v>50</v>
      </c>
      <c r="L729" s="24" t="s">
        <v>235</v>
      </c>
      <c r="M729" s="11">
        <f t="shared" si="1"/>
        <v>1</v>
      </c>
      <c r="N729" s="21"/>
      <c r="O729" s="21"/>
      <c r="P729" s="21"/>
      <c r="Q729" s="21"/>
      <c r="R729" s="21"/>
      <c r="S729" s="21"/>
      <c r="T729" s="21"/>
      <c r="U729" s="21"/>
      <c r="V729" s="21"/>
      <c r="W729" s="24">
        <v>1.0</v>
      </c>
      <c r="X729" s="21"/>
      <c r="Y729" s="21"/>
      <c r="Z729" s="14">
        <f t="shared" si="3"/>
        <v>1</v>
      </c>
      <c r="AA729" s="15" t="s">
        <v>91</v>
      </c>
      <c r="AB729" s="14">
        <v>0.9795548230664973</v>
      </c>
    </row>
    <row r="730" ht="14.25" customHeight="1">
      <c r="A730" s="11" t="s">
        <v>2392</v>
      </c>
      <c r="B730" s="12" t="s">
        <v>2393</v>
      </c>
      <c r="C730" s="37" t="s">
        <v>2394</v>
      </c>
      <c r="D730" s="12" t="s">
        <v>2395</v>
      </c>
      <c r="E730" s="12" t="s">
        <v>2396</v>
      </c>
      <c r="F730" s="27" t="s">
        <v>77</v>
      </c>
      <c r="G730" s="11" t="s">
        <v>284</v>
      </c>
      <c r="H730" s="28" t="s">
        <v>99</v>
      </c>
      <c r="I730" s="11"/>
      <c r="J730" s="11"/>
      <c r="K730" s="29" t="s">
        <v>50</v>
      </c>
      <c r="L730" s="12" t="s">
        <v>51</v>
      </c>
      <c r="M730" s="11">
        <f t="shared" si="1"/>
        <v>1</v>
      </c>
      <c r="N730" s="18">
        <v>1.0</v>
      </c>
      <c r="O730" s="11"/>
      <c r="P730" s="11"/>
      <c r="Q730" s="11"/>
      <c r="R730" s="11"/>
      <c r="S730" s="12">
        <v>1.0</v>
      </c>
      <c r="T730" s="12"/>
      <c r="U730" s="12"/>
      <c r="V730" s="31">
        <v>1.0</v>
      </c>
      <c r="W730" s="18">
        <v>1.0</v>
      </c>
      <c r="X730" s="12">
        <v>1.0</v>
      </c>
      <c r="Y730" s="11"/>
      <c r="Z730" s="14">
        <f t="shared" si="3"/>
        <v>5</v>
      </c>
      <c r="AA730" s="15" t="s">
        <v>106</v>
      </c>
      <c r="AB730" s="14">
        <v>0.998574267704545</v>
      </c>
    </row>
    <row r="731" ht="14.25" customHeight="1">
      <c r="A731" s="19" t="s">
        <v>2397</v>
      </c>
      <c r="B731" s="19" t="s">
        <v>272</v>
      </c>
      <c r="C731" s="33" t="s">
        <v>2398</v>
      </c>
      <c r="D731" s="21"/>
      <c r="E731" s="21"/>
      <c r="F731" s="27" t="s">
        <v>56</v>
      </c>
      <c r="G731" s="19" t="s">
        <v>83</v>
      </c>
      <c r="H731" s="23" t="s">
        <v>2399</v>
      </c>
      <c r="I731" s="21"/>
      <c r="J731" s="24"/>
      <c r="K731" s="25" t="s">
        <v>50</v>
      </c>
      <c r="L731" s="24" t="s">
        <v>51</v>
      </c>
      <c r="M731" s="11">
        <f t="shared" si="1"/>
        <v>1</v>
      </c>
      <c r="N731" s="21"/>
      <c r="O731" s="21"/>
      <c r="P731" s="21"/>
      <c r="Q731" s="21"/>
      <c r="R731" s="21"/>
      <c r="S731" s="21"/>
      <c r="T731" s="21"/>
      <c r="U731" s="21"/>
      <c r="V731" s="21"/>
      <c r="W731" s="24">
        <v>1.0</v>
      </c>
      <c r="X731" s="21"/>
      <c r="Y731" s="21"/>
      <c r="Z731" s="14">
        <f t="shared" si="3"/>
        <v>1</v>
      </c>
      <c r="AA731" s="15" t="s">
        <v>91</v>
      </c>
      <c r="AB731" s="14">
        <v>0.9986008359166155</v>
      </c>
    </row>
    <row r="732" ht="14.25" hidden="1" customHeight="1">
      <c r="H732" s="39"/>
    </row>
    <row r="733" ht="14.25" hidden="1" customHeight="1">
      <c r="H733" s="39"/>
    </row>
    <row r="734" ht="14.25" hidden="1" customHeight="1">
      <c r="H734" s="39"/>
    </row>
    <row r="735" ht="14.25" hidden="1" customHeight="1">
      <c r="H735" s="39"/>
    </row>
    <row r="736" ht="14.25" hidden="1" customHeight="1">
      <c r="H736" s="39"/>
    </row>
    <row r="737" ht="14.25" hidden="1" customHeight="1">
      <c r="H737" s="39"/>
    </row>
    <row r="738" ht="14.25" hidden="1" customHeight="1">
      <c r="H738" s="39"/>
    </row>
    <row r="739" ht="14.25" hidden="1" customHeight="1">
      <c r="H739" s="28"/>
    </row>
    <row r="740" ht="14.25" hidden="1" customHeight="1">
      <c r="H740" s="102"/>
    </row>
    <row r="741" ht="14.25" hidden="1" customHeight="1">
      <c r="H741" s="102"/>
    </row>
    <row r="742" ht="14.25" hidden="1" customHeight="1">
      <c r="H742" s="102"/>
    </row>
    <row r="743" ht="14.25" hidden="1" customHeight="1">
      <c r="H743" s="102"/>
    </row>
    <row r="744" ht="14.25" hidden="1" customHeight="1">
      <c r="H744" s="102"/>
    </row>
    <row r="745" ht="14.25" hidden="1" customHeight="1">
      <c r="H745" s="39"/>
    </row>
    <row r="746" ht="14.25" hidden="1" customHeight="1">
      <c r="H746" s="39"/>
    </row>
    <row r="747" ht="14.25" hidden="1" customHeight="1">
      <c r="H747" s="28"/>
    </row>
    <row r="748" ht="14.25" hidden="1" customHeight="1">
      <c r="H748" s="28"/>
    </row>
    <row r="749" ht="14.25" hidden="1" customHeight="1">
      <c r="H749" s="39"/>
    </row>
    <row r="750" ht="14.25" hidden="1" customHeight="1">
      <c r="H750" s="28"/>
    </row>
    <row r="751" ht="14.25" hidden="1" customHeight="1">
      <c r="H751" s="39"/>
    </row>
    <row r="752" ht="14.25" hidden="1" customHeight="1">
      <c r="H752" s="39"/>
    </row>
    <row r="753" ht="14.25" hidden="1" customHeight="1">
      <c r="H753" s="103"/>
    </row>
    <row r="754" ht="14.25" hidden="1" customHeight="1">
      <c r="H754" s="104"/>
    </row>
    <row r="755" ht="14.25" hidden="1" customHeight="1">
      <c r="H755" s="102"/>
    </row>
    <row r="756" ht="14.25" hidden="1" customHeight="1">
      <c r="H756" s="39"/>
    </row>
    <row r="757" ht="14.25" hidden="1" customHeight="1">
      <c r="H757" s="28"/>
    </row>
    <row r="758" ht="14.25" hidden="1" customHeight="1">
      <c r="H758" s="39"/>
    </row>
    <row r="759" ht="14.25" hidden="1" customHeight="1">
      <c r="H759" s="39"/>
    </row>
    <row r="760" ht="14.25" hidden="1" customHeight="1">
      <c r="H760" s="28"/>
    </row>
    <row r="761" ht="14.25" hidden="1" customHeight="1">
      <c r="H761" s="39"/>
    </row>
    <row r="762" ht="14.25" hidden="1" customHeight="1">
      <c r="H762" s="102"/>
    </row>
    <row r="763" ht="14.25" hidden="1" customHeight="1">
      <c r="H763" s="102"/>
    </row>
    <row r="764" ht="14.25" hidden="1" customHeight="1">
      <c r="H764" s="28"/>
    </row>
    <row r="765" ht="14.25" hidden="1" customHeight="1">
      <c r="H765" s="39"/>
    </row>
    <row r="766" ht="14.25" hidden="1" customHeight="1">
      <c r="H766" s="39"/>
    </row>
    <row r="767" ht="14.25" hidden="1" customHeight="1">
      <c r="H767" s="39"/>
    </row>
    <row r="768" ht="14.25" hidden="1" customHeight="1">
      <c r="H768" s="102"/>
    </row>
    <row r="769" ht="14.25" hidden="1" customHeight="1">
      <c r="H769" s="39"/>
    </row>
    <row r="770" ht="14.25" hidden="1" customHeight="1">
      <c r="H770" s="28"/>
    </row>
    <row r="771" ht="14.25" hidden="1" customHeight="1">
      <c r="H771" s="39"/>
    </row>
    <row r="772" ht="14.25" hidden="1" customHeight="1">
      <c r="H772" s="102"/>
    </row>
    <row r="773" ht="14.25" hidden="1" customHeight="1">
      <c r="H773" s="102"/>
    </row>
    <row r="774" ht="14.25" hidden="1" customHeight="1">
      <c r="H774" s="39"/>
    </row>
    <row r="775" ht="14.25" hidden="1" customHeight="1">
      <c r="H775" s="39"/>
    </row>
    <row r="776" ht="14.25" hidden="1" customHeight="1">
      <c r="H776" s="39"/>
    </row>
    <row r="777" ht="14.25" hidden="1" customHeight="1">
      <c r="H777" s="39"/>
    </row>
    <row r="778" ht="14.25" hidden="1" customHeight="1">
      <c r="H778" s="39"/>
    </row>
    <row r="779" ht="14.25" hidden="1" customHeight="1">
      <c r="H779" s="102"/>
    </row>
    <row r="780" ht="14.25" hidden="1" customHeight="1">
      <c r="H780" s="39"/>
    </row>
    <row r="781" ht="14.25" hidden="1" customHeight="1">
      <c r="H781" s="39"/>
    </row>
    <row r="782" ht="14.25" hidden="1" customHeight="1">
      <c r="H782" s="102"/>
    </row>
    <row r="783" ht="14.25" hidden="1" customHeight="1">
      <c r="H783" s="102"/>
    </row>
    <row r="784" ht="14.25" hidden="1" customHeight="1">
      <c r="H784" s="102"/>
    </row>
    <row r="785" ht="14.25" hidden="1" customHeight="1">
      <c r="H785" s="102"/>
    </row>
    <row r="786" ht="14.25" hidden="1" customHeight="1">
      <c r="H786" s="102"/>
    </row>
    <row r="787" ht="14.25" hidden="1" customHeight="1">
      <c r="H787" s="102"/>
    </row>
    <row r="788" ht="14.25" hidden="1" customHeight="1">
      <c r="H788" s="39"/>
    </row>
    <row r="789" ht="14.25" hidden="1" customHeight="1">
      <c r="H789" s="102"/>
    </row>
    <row r="790" ht="14.25" hidden="1" customHeight="1">
      <c r="H790" s="39"/>
    </row>
    <row r="791" ht="14.25" hidden="1" customHeight="1">
      <c r="H791" s="39"/>
    </row>
    <row r="792" ht="14.25" hidden="1" customHeight="1">
      <c r="H792" s="39"/>
    </row>
    <row r="793" ht="14.25" hidden="1" customHeight="1">
      <c r="H793" s="39"/>
    </row>
    <row r="794" ht="14.25" hidden="1" customHeight="1">
      <c r="H794" s="39"/>
    </row>
    <row r="795" ht="14.25" hidden="1" customHeight="1">
      <c r="H795" s="39"/>
    </row>
    <row r="796" ht="14.25" hidden="1" customHeight="1">
      <c r="H796" s="39"/>
    </row>
    <row r="797" ht="14.25" hidden="1" customHeight="1">
      <c r="H797" s="102"/>
    </row>
    <row r="798" ht="14.25" hidden="1" customHeight="1">
      <c r="H798" s="102"/>
    </row>
    <row r="799" ht="14.25" hidden="1" customHeight="1">
      <c r="H799" s="102"/>
    </row>
    <row r="800" ht="14.25" hidden="1" customHeight="1">
      <c r="H800" s="102"/>
    </row>
    <row r="801" ht="14.25" hidden="1" customHeight="1">
      <c r="H801" s="102"/>
    </row>
    <row r="802" ht="14.25" hidden="1" customHeight="1">
      <c r="H802" s="102"/>
    </row>
    <row r="803" ht="14.25" hidden="1" customHeight="1">
      <c r="H803" s="102"/>
    </row>
    <row r="804" ht="14.25" hidden="1" customHeight="1">
      <c r="H804" s="102"/>
    </row>
    <row r="805" ht="14.25" hidden="1" customHeight="1">
      <c r="H805" s="39"/>
    </row>
    <row r="806" ht="14.25" hidden="1" customHeight="1">
      <c r="H806" s="102"/>
    </row>
    <row r="807" ht="14.25" hidden="1" customHeight="1">
      <c r="H807" s="102"/>
    </row>
    <row r="808" ht="14.25" hidden="1" customHeight="1">
      <c r="H808" s="102"/>
    </row>
    <row r="809" ht="14.25" hidden="1" customHeight="1">
      <c r="H809" s="102"/>
    </row>
    <row r="810" ht="14.25" hidden="1" customHeight="1">
      <c r="H810" s="102"/>
    </row>
    <row r="811" ht="14.25" hidden="1" customHeight="1">
      <c r="H811" s="102"/>
    </row>
    <row r="812" ht="14.25" hidden="1" customHeight="1">
      <c r="H812" s="39"/>
    </row>
    <row r="813" ht="14.25" hidden="1" customHeight="1">
      <c r="H813" s="39"/>
    </row>
    <row r="814" ht="14.25" hidden="1" customHeight="1">
      <c r="H814" s="39"/>
    </row>
    <row r="815" ht="14.25" hidden="1" customHeight="1">
      <c r="H815" s="28"/>
    </row>
    <row r="816" ht="14.25" hidden="1" customHeight="1">
      <c r="H816" s="39"/>
    </row>
    <row r="817" ht="14.25" hidden="1" customHeight="1">
      <c r="H817" s="102"/>
    </row>
    <row r="818" ht="14.25" hidden="1" customHeight="1">
      <c r="H818" s="39"/>
    </row>
    <row r="819" ht="14.25" hidden="1" customHeight="1">
      <c r="H819" s="39"/>
    </row>
    <row r="820" ht="14.25" hidden="1" customHeight="1">
      <c r="H820" s="39"/>
    </row>
    <row r="821" ht="14.25" hidden="1" customHeight="1">
      <c r="H821" s="39"/>
    </row>
    <row r="822" ht="14.25" hidden="1" customHeight="1">
      <c r="H822" s="39"/>
    </row>
    <row r="823" ht="14.25" hidden="1" customHeight="1">
      <c r="H823" s="39"/>
    </row>
    <row r="824" ht="14.25" hidden="1" customHeight="1">
      <c r="H824" s="39"/>
    </row>
    <row r="825" ht="14.25" hidden="1" customHeight="1">
      <c r="H825" s="102"/>
    </row>
    <row r="826" ht="14.25" hidden="1" customHeight="1">
      <c r="H826" s="39"/>
    </row>
    <row r="827" ht="14.25" hidden="1" customHeight="1">
      <c r="H827" s="39"/>
    </row>
    <row r="828" ht="14.25" hidden="1" customHeight="1">
      <c r="H828" s="39"/>
    </row>
    <row r="829" ht="14.25" hidden="1" customHeight="1">
      <c r="H829" s="39"/>
    </row>
    <row r="830" ht="14.25" hidden="1" customHeight="1">
      <c r="H830" s="39"/>
    </row>
    <row r="831" ht="14.25" hidden="1" customHeight="1">
      <c r="H831" s="39"/>
    </row>
    <row r="832" ht="14.25" hidden="1" customHeight="1">
      <c r="H832" s="102"/>
    </row>
    <row r="833" ht="14.25" hidden="1" customHeight="1">
      <c r="H833" s="39"/>
    </row>
    <row r="834" ht="14.25" hidden="1" customHeight="1">
      <c r="H834" s="28"/>
    </row>
    <row r="835" ht="14.25" hidden="1" customHeight="1">
      <c r="H835" s="39"/>
    </row>
    <row r="836" ht="14.25" hidden="1" customHeight="1">
      <c r="H836" s="102"/>
    </row>
    <row r="837" ht="14.25" hidden="1" customHeight="1">
      <c r="H837" s="39"/>
    </row>
    <row r="838" ht="14.25" hidden="1" customHeight="1">
      <c r="H838" s="102"/>
    </row>
    <row r="839" ht="14.25" hidden="1" customHeight="1">
      <c r="H839" s="104"/>
    </row>
    <row r="840" ht="14.25" hidden="1" customHeight="1">
      <c r="H840" s="39"/>
    </row>
    <row r="841" ht="14.25" hidden="1" customHeight="1">
      <c r="H841" s="39"/>
    </row>
    <row r="842" ht="14.25" hidden="1" customHeight="1">
      <c r="H842" s="102"/>
    </row>
    <row r="843" ht="14.25" hidden="1" customHeight="1">
      <c r="H843" s="39"/>
    </row>
    <row r="844" ht="14.25" hidden="1" customHeight="1">
      <c r="H844" s="28"/>
    </row>
    <row r="845" ht="14.25" hidden="1" customHeight="1">
      <c r="H845" s="102"/>
    </row>
    <row r="846" ht="14.25" hidden="1" customHeight="1">
      <c r="H846" s="102"/>
    </row>
    <row r="847" ht="14.25" hidden="1" customHeight="1">
      <c r="H847" s="39"/>
    </row>
    <row r="848" ht="14.25" hidden="1" customHeight="1">
      <c r="H848" s="39"/>
    </row>
    <row r="849" ht="14.25" hidden="1" customHeight="1">
      <c r="H849" s="102"/>
    </row>
    <row r="850" ht="14.25" hidden="1" customHeight="1">
      <c r="H850" s="102"/>
    </row>
    <row r="851" ht="14.25" hidden="1" customHeight="1">
      <c r="H851" s="39"/>
    </row>
    <row r="852" ht="14.25" hidden="1" customHeight="1">
      <c r="H852" s="39"/>
    </row>
    <row r="853" ht="14.25" hidden="1" customHeight="1">
      <c r="H853" s="28"/>
    </row>
    <row r="854" ht="14.25" hidden="1" customHeight="1">
      <c r="H854" s="102"/>
    </row>
    <row r="855" ht="14.25" hidden="1" customHeight="1">
      <c r="H855" s="39"/>
    </row>
    <row r="856" ht="14.25" hidden="1" customHeight="1">
      <c r="H856" s="102"/>
    </row>
    <row r="857" ht="14.25" hidden="1" customHeight="1">
      <c r="H857" s="102"/>
    </row>
    <row r="858" ht="14.25" hidden="1" customHeight="1">
      <c r="H858" s="102"/>
    </row>
    <row r="859" ht="14.25" hidden="1" customHeight="1">
      <c r="H859" s="102"/>
    </row>
    <row r="860" ht="14.25" hidden="1" customHeight="1">
      <c r="H860" s="102"/>
    </row>
    <row r="861" ht="14.25" hidden="1" customHeight="1">
      <c r="H861" s="102"/>
    </row>
    <row r="862" ht="14.25" hidden="1" customHeight="1">
      <c r="H862" s="102"/>
    </row>
    <row r="863" ht="14.25" hidden="1" customHeight="1">
      <c r="H863" s="102"/>
    </row>
    <row r="864" ht="14.25" hidden="1" customHeight="1">
      <c r="H864" s="102"/>
    </row>
    <row r="865" ht="14.25" hidden="1" customHeight="1">
      <c r="H865" s="102"/>
    </row>
    <row r="866" ht="14.25" hidden="1" customHeight="1">
      <c r="H866" s="102"/>
    </row>
    <row r="867" ht="14.25" hidden="1" customHeight="1">
      <c r="H867" s="102"/>
    </row>
    <row r="868" ht="14.25" hidden="1" customHeight="1">
      <c r="H868" s="102"/>
    </row>
    <row r="869" ht="14.25" hidden="1" customHeight="1">
      <c r="H869" s="28"/>
    </row>
    <row r="870" ht="14.25" hidden="1" customHeight="1">
      <c r="H870" s="102"/>
    </row>
    <row r="871" ht="14.25" hidden="1" customHeight="1">
      <c r="H871" s="102"/>
    </row>
    <row r="872" ht="14.25" hidden="1" customHeight="1">
      <c r="H872" s="39"/>
    </row>
    <row r="873" ht="14.25" hidden="1" customHeight="1">
      <c r="H873" s="39"/>
    </row>
    <row r="874" ht="14.25" hidden="1" customHeight="1">
      <c r="H874" s="102"/>
    </row>
    <row r="875" ht="14.25" hidden="1" customHeight="1">
      <c r="H875" s="102"/>
    </row>
    <row r="876" ht="14.25" hidden="1" customHeight="1">
      <c r="H876" s="102"/>
    </row>
    <row r="877" ht="14.25" hidden="1" customHeight="1">
      <c r="H877" s="102"/>
    </row>
    <row r="878" ht="14.25" hidden="1" customHeight="1">
      <c r="H878" s="102"/>
    </row>
    <row r="879" ht="14.25" hidden="1" customHeight="1">
      <c r="H879" s="102"/>
    </row>
    <row r="880" ht="14.25" hidden="1" customHeight="1">
      <c r="H880" s="102"/>
    </row>
    <row r="881" ht="14.25" hidden="1" customHeight="1">
      <c r="H881" s="102"/>
    </row>
    <row r="882" ht="14.25" hidden="1" customHeight="1">
      <c r="H882" s="102"/>
    </row>
    <row r="883" ht="14.25" hidden="1" customHeight="1">
      <c r="H883" s="102"/>
    </row>
    <row r="884" ht="14.25" hidden="1" customHeight="1">
      <c r="H884" s="102"/>
    </row>
    <row r="885" ht="14.25" hidden="1" customHeight="1">
      <c r="H885" s="102"/>
    </row>
    <row r="886" ht="14.25" hidden="1" customHeight="1">
      <c r="H886" s="102"/>
    </row>
    <row r="887" ht="14.25" hidden="1" customHeight="1">
      <c r="H887" s="102"/>
    </row>
    <row r="888" ht="14.25" hidden="1" customHeight="1">
      <c r="H888" s="102"/>
    </row>
    <row r="889" ht="14.25" hidden="1" customHeight="1">
      <c r="H889" s="39"/>
    </row>
    <row r="890" ht="14.25" hidden="1" customHeight="1">
      <c r="H890" s="102"/>
    </row>
    <row r="891" ht="14.25" hidden="1" customHeight="1">
      <c r="H891" s="102"/>
    </row>
    <row r="892" ht="14.25" hidden="1" customHeight="1">
      <c r="H892" s="102"/>
    </row>
    <row r="893" ht="14.25" hidden="1" customHeight="1">
      <c r="H893" s="39"/>
    </row>
    <row r="894" ht="14.25" hidden="1" customHeight="1">
      <c r="H894" s="102"/>
    </row>
    <row r="895" ht="14.25" hidden="1" customHeight="1">
      <c r="H895" s="102"/>
    </row>
    <row r="896" ht="14.25" hidden="1" customHeight="1">
      <c r="H896" s="102"/>
    </row>
    <row r="897" ht="14.25" hidden="1" customHeight="1">
      <c r="H897" s="102"/>
    </row>
    <row r="898" ht="14.25" hidden="1" customHeight="1">
      <c r="H898" s="102"/>
    </row>
    <row r="899" ht="14.25" hidden="1" customHeight="1">
      <c r="H899" s="102"/>
    </row>
    <row r="900" ht="14.25" hidden="1" customHeight="1">
      <c r="H900" s="102"/>
    </row>
    <row r="901" ht="14.25" hidden="1" customHeight="1">
      <c r="H901" s="39"/>
    </row>
    <row r="902" ht="14.25" hidden="1" customHeight="1">
      <c r="H902" s="102"/>
    </row>
    <row r="903" ht="14.25" hidden="1" customHeight="1">
      <c r="H903" s="39"/>
    </row>
    <row r="904" ht="14.25" hidden="1" customHeight="1">
      <c r="H904" s="102"/>
    </row>
    <row r="905" ht="14.25" hidden="1" customHeight="1">
      <c r="H905" s="102"/>
    </row>
    <row r="906" ht="14.25" hidden="1" customHeight="1">
      <c r="H906" s="102"/>
    </row>
    <row r="907" ht="14.25" hidden="1" customHeight="1">
      <c r="H907" s="102"/>
    </row>
    <row r="908" ht="14.25" hidden="1" customHeight="1">
      <c r="H908" s="102"/>
    </row>
    <row r="909" ht="14.25" hidden="1" customHeight="1">
      <c r="H909" s="102"/>
    </row>
    <row r="910" ht="14.25" hidden="1" customHeight="1">
      <c r="H910" s="28"/>
    </row>
    <row r="911" ht="14.25" hidden="1" customHeight="1">
      <c r="H911" s="28"/>
    </row>
    <row r="912" ht="14.25" hidden="1" customHeight="1">
      <c r="H912" s="39"/>
    </row>
    <row r="913" ht="14.25" hidden="1" customHeight="1">
      <c r="H913" s="39"/>
    </row>
    <row r="914" ht="14.25" hidden="1" customHeight="1">
      <c r="H914" s="39"/>
    </row>
    <row r="915" ht="14.25" hidden="1" customHeight="1">
      <c r="H915" s="39"/>
    </row>
    <row r="916" ht="14.25" hidden="1" customHeight="1">
      <c r="H916" s="39"/>
    </row>
    <row r="917" ht="14.25" hidden="1" customHeight="1">
      <c r="H917" s="39"/>
    </row>
    <row r="918" ht="14.25" hidden="1" customHeight="1">
      <c r="H918" s="28"/>
    </row>
    <row r="919" ht="14.25" hidden="1" customHeight="1">
      <c r="H919" s="39"/>
    </row>
    <row r="920" ht="14.25" hidden="1" customHeight="1">
      <c r="H920" s="102"/>
    </row>
    <row r="921" ht="14.25" hidden="1" customHeight="1">
      <c r="H921" s="102"/>
    </row>
    <row r="922" ht="14.25" hidden="1" customHeight="1">
      <c r="H922" s="102"/>
    </row>
    <row r="923" ht="14.25" hidden="1" customHeight="1">
      <c r="H923" s="102"/>
    </row>
    <row r="924" ht="14.25" hidden="1" customHeight="1">
      <c r="H924" s="102"/>
    </row>
    <row r="925" ht="14.25" hidden="1" customHeight="1">
      <c r="H925" s="39"/>
    </row>
    <row r="926" ht="14.25" hidden="1" customHeight="1">
      <c r="H926" s="102"/>
    </row>
    <row r="927" ht="14.25" hidden="1" customHeight="1">
      <c r="H927" s="39"/>
    </row>
    <row r="928" ht="14.25" hidden="1" customHeight="1">
      <c r="H928" s="28"/>
    </row>
    <row r="929" ht="14.25" hidden="1" customHeight="1">
      <c r="H929" s="102"/>
    </row>
    <row r="930" ht="14.25" hidden="1" customHeight="1">
      <c r="H930" s="39"/>
    </row>
    <row r="931" ht="14.25" hidden="1" customHeight="1">
      <c r="H931" s="28"/>
    </row>
    <row r="932" ht="14.25" hidden="1" customHeight="1">
      <c r="H932" s="102"/>
    </row>
    <row r="933" ht="14.25" hidden="1" customHeight="1">
      <c r="H933" s="39"/>
    </row>
    <row r="934" ht="14.25" hidden="1" customHeight="1">
      <c r="H934" s="39"/>
    </row>
    <row r="935" ht="14.25" hidden="1" customHeight="1">
      <c r="H935" s="102"/>
    </row>
    <row r="936" ht="14.25" hidden="1" customHeight="1">
      <c r="H936" s="28"/>
    </row>
    <row r="937" ht="14.25" hidden="1" customHeight="1">
      <c r="H937" s="28"/>
    </row>
    <row r="938" ht="14.25" hidden="1" customHeight="1">
      <c r="H938" s="39"/>
    </row>
    <row r="939" ht="14.25" hidden="1" customHeight="1">
      <c r="H939" s="39"/>
    </row>
    <row r="940" ht="14.25" hidden="1" customHeight="1">
      <c r="H940" s="102"/>
    </row>
    <row r="941" ht="14.25" hidden="1" customHeight="1">
      <c r="H941" s="102"/>
    </row>
    <row r="942" ht="14.25" hidden="1" customHeight="1">
      <c r="H942" s="102"/>
    </row>
    <row r="943" ht="14.25" hidden="1" customHeight="1">
      <c r="H943" s="102"/>
    </row>
    <row r="944" ht="14.25" hidden="1" customHeight="1">
      <c r="H944" s="102"/>
    </row>
    <row r="945" ht="14.25" hidden="1" customHeight="1">
      <c r="H945" s="28"/>
    </row>
    <row r="946" ht="14.25" hidden="1" customHeight="1">
      <c r="H946" s="28"/>
    </row>
    <row r="947" ht="14.25" hidden="1" customHeight="1">
      <c r="H947" s="39"/>
    </row>
    <row r="948" ht="14.25" hidden="1" customHeight="1">
      <c r="H948" s="102"/>
    </row>
    <row r="949" ht="14.25" hidden="1" customHeight="1">
      <c r="H949" s="39"/>
    </row>
    <row r="950" ht="14.25" hidden="1" customHeight="1">
      <c r="H950" s="102"/>
    </row>
    <row r="951" ht="14.25" hidden="1" customHeight="1">
      <c r="H951" s="28"/>
    </row>
    <row r="952" ht="14.25" hidden="1" customHeight="1">
      <c r="H952" s="102"/>
    </row>
    <row r="953" ht="14.25" hidden="1" customHeight="1">
      <c r="H953" s="102"/>
    </row>
    <row r="954" ht="14.25" hidden="1" customHeight="1">
      <c r="H954" s="39"/>
    </row>
    <row r="955" ht="14.25" hidden="1" customHeight="1">
      <c r="H955" s="39"/>
    </row>
    <row r="956" ht="14.25" hidden="1" customHeight="1">
      <c r="H956" s="28"/>
    </row>
    <row r="957" ht="14.25" hidden="1" customHeight="1">
      <c r="H957" s="39"/>
    </row>
    <row r="958" ht="14.25" hidden="1" customHeight="1">
      <c r="H958" s="28"/>
    </row>
    <row r="959" ht="14.25" hidden="1" customHeight="1">
      <c r="H959" s="39"/>
    </row>
    <row r="960" ht="14.25" hidden="1" customHeight="1">
      <c r="H960" s="39"/>
    </row>
    <row r="961" ht="14.25" hidden="1" customHeight="1">
      <c r="H961" s="28"/>
    </row>
    <row r="962" ht="14.25" hidden="1" customHeight="1">
      <c r="H962" s="28"/>
    </row>
    <row r="963" ht="14.25" hidden="1" customHeight="1">
      <c r="H963" s="39"/>
    </row>
    <row r="964" ht="14.25" hidden="1" customHeight="1">
      <c r="H964" s="39"/>
    </row>
    <row r="965" ht="14.25" hidden="1" customHeight="1">
      <c r="H965" s="39"/>
    </row>
    <row r="966" ht="14.25" hidden="1" customHeight="1">
      <c r="H966" s="102"/>
    </row>
    <row r="967" ht="14.25" hidden="1" customHeight="1">
      <c r="H967" s="102"/>
    </row>
    <row r="968" ht="14.25" hidden="1" customHeight="1">
      <c r="H968" s="39"/>
    </row>
    <row r="969" ht="14.25" hidden="1" customHeight="1">
      <c r="H969" s="39"/>
    </row>
    <row r="970" ht="14.25" hidden="1" customHeight="1">
      <c r="H970" s="39"/>
    </row>
    <row r="971" ht="14.25" hidden="1" customHeight="1">
      <c r="H971" s="39"/>
    </row>
    <row r="972" ht="14.25" hidden="1" customHeight="1">
      <c r="H972" s="39"/>
    </row>
    <row r="973" ht="14.25" hidden="1" customHeight="1">
      <c r="H973" s="28"/>
    </row>
    <row r="974" ht="14.25" hidden="1" customHeight="1">
      <c r="H974" s="39"/>
    </row>
    <row r="975" ht="14.25" hidden="1" customHeight="1">
      <c r="H975" s="28"/>
    </row>
    <row r="976" ht="14.25" hidden="1" customHeight="1">
      <c r="H976" s="39"/>
    </row>
    <row r="977" ht="14.25" hidden="1" customHeight="1">
      <c r="H977" s="39"/>
    </row>
    <row r="978" ht="14.25" hidden="1" customHeight="1">
      <c r="H978" s="105"/>
    </row>
    <row r="979" ht="14.25" hidden="1" customHeight="1">
      <c r="H979" s="39"/>
    </row>
    <row r="980" ht="14.25" hidden="1" customHeight="1">
      <c r="H980" s="39"/>
    </row>
    <row r="981" ht="14.25" hidden="1" customHeight="1">
      <c r="H981" s="102"/>
    </row>
    <row r="982" ht="14.25" hidden="1" customHeight="1">
      <c r="H982" s="39"/>
    </row>
    <row r="983" ht="14.25" hidden="1" customHeight="1">
      <c r="H983" s="39"/>
    </row>
    <row r="984" ht="14.25" hidden="1" customHeight="1">
      <c r="H984" s="28"/>
    </row>
    <row r="985" ht="14.25" hidden="1" customHeight="1">
      <c r="H985" s="39"/>
    </row>
    <row r="986" ht="14.25" hidden="1" customHeight="1">
      <c r="H986" s="39"/>
    </row>
    <row r="987" ht="14.25" hidden="1" customHeight="1">
      <c r="H987" s="28"/>
    </row>
    <row r="988" ht="14.25" hidden="1" customHeight="1">
      <c r="H988" s="39"/>
    </row>
    <row r="989" ht="14.25" hidden="1" customHeight="1">
      <c r="H989" s="102"/>
    </row>
    <row r="990" ht="14.25" hidden="1" customHeight="1">
      <c r="H990" s="102"/>
    </row>
    <row r="991" ht="14.25" hidden="1" customHeight="1">
      <c r="H991" s="102"/>
    </row>
    <row r="992" ht="14.25" hidden="1" customHeight="1">
      <c r="H992" s="102"/>
    </row>
    <row r="993" ht="14.25" hidden="1" customHeight="1">
      <c r="H993" s="28"/>
    </row>
    <row r="994" ht="14.25" hidden="1" customHeight="1">
      <c r="H994" s="102"/>
    </row>
    <row r="995" ht="14.25" hidden="1" customHeight="1">
      <c r="H995" s="39"/>
    </row>
    <row r="996" ht="14.25" hidden="1" customHeight="1">
      <c r="H996" s="39"/>
    </row>
    <row r="997" ht="14.25" hidden="1" customHeight="1">
      <c r="H997" s="39"/>
    </row>
    <row r="998" ht="14.25" hidden="1" customHeight="1">
      <c r="H998" s="39"/>
    </row>
    <row r="999" ht="14.25" hidden="1" customHeight="1">
      <c r="H999" s="39"/>
    </row>
    <row r="1000" ht="14.25" hidden="1" customHeight="1">
      <c r="H1000" s="39"/>
    </row>
    <row r="1001" ht="14.25" hidden="1" customHeight="1">
      <c r="H1001" s="39"/>
    </row>
    <row r="1002" ht="14.25" hidden="1" customHeight="1">
      <c r="H1002" s="39"/>
    </row>
    <row r="1003" ht="14.25" hidden="1" customHeight="1">
      <c r="H1003" s="39"/>
    </row>
    <row r="1004" ht="14.25" hidden="1" customHeight="1">
      <c r="H1004" s="39"/>
    </row>
    <row r="1005" ht="14.25" hidden="1" customHeight="1">
      <c r="H1005" s="28"/>
    </row>
    <row r="1006" ht="14.25" hidden="1" customHeight="1">
      <c r="H1006" s="39"/>
    </row>
    <row r="1007" ht="14.25" hidden="1" customHeight="1">
      <c r="H1007" s="39"/>
    </row>
    <row r="1008" ht="14.25" hidden="1" customHeight="1">
      <c r="H1008" s="102"/>
    </row>
    <row r="1009" ht="14.25" hidden="1" customHeight="1">
      <c r="H1009" s="102"/>
    </row>
    <row r="1010" ht="14.25" hidden="1" customHeight="1">
      <c r="H1010" s="102"/>
    </row>
    <row r="1011" ht="14.25" hidden="1" customHeight="1">
      <c r="H1011" s="102"/>
    </row>
    <row r="1012" ht="14.25" hidden="1" customHeight="1">
      <c r="H1012" s="102"/>
    </row>
    <row r="1013" ht="14.25" hidden="1" customHeight="1">
      <c r="H1013" s="28"/>
    </row>
    <row r="1014" ht="14.25" hidden="1" customHeight="1">
      <c r="H1014" s="102"/>
    </row>
    <row r="1015" ht="14.25" hidden="1" customHeight="1">
      <c r="H1015" s="102"/>
    </row>
    <row r="1016" ht="14.25" hidden="1" customHeight="1">
      <c r="H1016" s="39"/>
    </row>
    <row r="1017" ht="14.25" hidden="1" customHeight="1">
      <c r="H1017" s="39"/>
    </row>
    <row r="1018" ht="14.25" hidden="1" customHeight="1">
      <c r="H1018" s="102"/>
    </row>
    <row r="1019" ht="14.25" hidden="1" customHeight="1">
      <c r="H1019" s="102"/>
    </row>
    <row r="1020" ht="14.25" hidden="1" customHeight="1">
      <c r="H1020" s="102"/>
    </row>
    <row r="1021" ht="14.25" hidden="1" customHeight="1">
      <c r="H1021" s="39"/>
    </row>
    <row r="1022" ht="14.25" hidden="1" customHeight="1">
      <c r="H1022" s="102"/>
    </row>
    <row r="1023" ht="14.25" hidden="1" customHeight="1">
      <c r="H1023" s="39"/>
    </row>
    <row r="1024" ht="14.25" hidden="1" customHeight="1">
      <c r="H1024" s="39"/>
    </row>
    <row r="1025" ht="14.25" hidden="1" customHeight="1">
      <c r="H1025" s="39"/>
    </row>
    <row r="1026" ht="14.25" hidden="1" customHeight="1">
      <c r="H1026" s="39"/>
    </row>
    <row r="1027" ht="14.25" hidden="1" customHeight="1">
      <c r="H1027" s="28"/>
    </row>
    <row r="1028" ht="14.25" hidden="1" customHeight="1">
      <c r="H1028" s="39"/>
    </row>
    <row r="1029" ht="14.25" hidden="1" customHeight="1">
      <c r="H1029" s="39"/>
    </row>
    <row r="1030" hidden="1">
      <c r="H1030" s="39"/>
    </row>
    <row r="1031" hidden="1">
      <c r="H1031" s="39"/>
    </row>
    <row r="1032" hidden="1">
      <c r="H1032" s="39"/>
    </row>
    <row r="1033" hidden="1">
      <c r="H1033" s="39"/>
    </row>
    <row r="1034" hidden="1">
      <c r="H1034" s="39"/>
    </row>
    <row r="1035" hidden="1">
      <c r="H1035" s="39"/>
    </row>
    <row r="1036" hidden="1">
      <c r="H1036" s="39"/>
    </row>
    <row r="1037" hidden="1">
      <c r="H1037" s="39"/>
    </row>
    <row r="1038" hidden="1">
      <c r="H1038" s="39"/>
    </row>
    <row r="1039" hidden="1">
      <c r="H1039" s="102"/>
    </row>
    <row r="1040" hidden="1">
      <c r="H1040" s="39"/>
    </row>
    <row r="1041" hidden="1">
      <c r="H1041" s="39"/>
    </row>
    <row r="1042" hidden="1">
      <c r="H1042" s="39"/>
    </row>
    <row r="1043" hidden="1">
      <c r="H1043" s="39"/>
    </row>
    <row r="1044" hidden="1">
      <c r="H1044" s="39"/>
    </row>
    <row r="1045" hidden="1">
      <c r="H1045" s="39"/>
    </row>
    <row r="1046" hidden="1">
      <c r="H1046" s="28"/>
    </row>
    <row r="1047" hidden="1">
      <c r="H1047" s="39"/>
    </row>
    <row r="1048" hidden="1">
      <c r="H1048" s="28"/>
    </row>
    <row r="1049" hidden="1">
      <c r="H1049" s="28"/>
    </row>
    <row r="1050" hidden="1">
      <c r="H1050" s="39"/>
    </row>
    <row r="1051" hidden="1">
      <c r="H1051" s="28"/>
    </row>
    <row r="1052" hidden="1">
      <c r="H1052" s="39"/>
    </row>
    <row r="1053" hidden="1">
      <c r="H1053" s="102"/>
    </row>
    <row r="1054" hidden="1">
      <c r="H1054" s="102"/>
    </row>
    <row r="1055" hidden="1">
      <c r="H1055" s="39"/>
    </row>
    <row r="1056" hidden="1">
      <c r="H1056" s="39"/>
    </row>
    <row r="1057" hidden="1">
      <c r="H1057" s="39"/>
    </row>
    <row r="1058" hidden="1">
      <c r="H1058" s="39"/>
    </row>
    <row r="1059" hidden="1">
      <c r="H1059" s="39"/>
    </row>
    <row r="1060" hidden="1">
      <c r="H1060" s="39"/>
    </row>
    <row r="1061" hidden="1">
      <c r="H1061" s="39"/>
    </row>
    <row r="1062" hidden="1">
      <c r="H1062" s="28"/>
    </row>
    <row r="1063" hidden="1">
      <c r="H1063" s="39"/>
    </row>
    <row r="1064" hidden="1">
      <c r="H1064" s="39"/>
    </row>
    <row r="1065" hidden="1">
      <c r="H1065" s="39"/>
    </row>
    <row r="1066" hidden="1">
      <c r="H1066" s="39"/>
    </row>
    <row r="1067" hidden="1">
      <c r="H1067" s="102"/>
    </row>
    <row r="1068" hidden="1">
      <c r="H1068" s="39"/>
    </row>
    <row r="1069" hidden="1">
      <c r="H1069" s="102"/>
    </row>
    <row r="1070" hidden="1">
      <c r="H1070" s="102"/>
    </row>
    <row r="1071" hidden="1">
      <c r="H1071" s="39"/>
    </row>
    <row r="1072" hidden="1">
      <c r="H1072" s="28"/>
    </row>
    <row r="1073" hidden="1">
      <c r="H1073" s="39"/>
    </row>
    <row r="1074" hidden="1">
      <c r="H1074" s="39"/>
    </row>
    <row r="1075" hidden="1">
      <c r="H1075" s="39"/>
    </row>
    <row r="1076" hidden="1">
      <c r="H1076" s="39"/>
    </row>
    <row r="1077" hidden="1">
      <c r="H1077" s="102"/>
    </row>
    <row r="1078" hidden="1">
      <c r="H1078" s="39"/>
    </row>
    <row r="1079" hidden="1">
      <c r="H1079" s="102"/>
    </row>
    <row r="1080" hidden="1">
      <c r="H1080" s="28"/>
    </row>
    <row r="1081" hidden="1">
      <c r="H1081" s="39"/>
    </row>
    <row r="1082" hidden="1">
      <c r="H1082" s="39"/>
    </row>
    <row r="1083" hidden="1">
      <c r="H1083" s="39"/>
    </row>
    <row r="1084" hidden="1">
      <c r="H1084" s="39"/>
    </row>
    <row r="1085" hidden="1">
      <c r="H1085" s="39"/>
    </row>
    <row r="1086" hidden="1">
      <c r="H1086" s="39"/>
    </row>
    <row r="1087" hidden="1">
      <c r="H1087" s="39"/>
    </row>
    <row r="1088" hidden="1">
      <c r="H1088" s="39"/>
    </row>
    <row r="1089" hidden="1">
      <c r="H1089" s="28"/>
    </row>
    <row r="1090" hidden="1">
      <c r="H1090" s="39"/>
    </row>
    <row r="1091" hidden="1">
      <c r="H1091" s="39"/>
    </row>
    <row r="1092" hidden="1">
      <c r="H1092" s="39"/>
    </row>
    <row r="1093" hidden="1">
      <c r="H1093" s="102"/>
    </row>
    <row r="1094" hidden="1">
      <c r="H1094" s="39"/>
    </row>
    <row r="1095" hidden="1">
      <c r="H1095" s="39"/>
    </row>
    <row r="1096" hidden="1">
      <c r="H1096" s="39"/>
    </row>
    <row r="1097" hidden="1">
      <c r="H1097" s="39"/>
    </row>
    <row r="1098" hidden="1">
      <c r="H1098" s="28"/>
    </row>
    <row r="1099" hidden="1">
      <c r="H1099" s="28"/>
    </row>
    <row r="1100" hidden="1">
      <c r="H1100" s="39"/>
    </row>
    <row r="1101" hidden="1">
      <c r="H1101" s="28"/>
    </row>
    <row r="1102" hidden="1">
      <c r="H1102" s="39"/>
    </row>
    <row r="1103" hidden="1">
      <c r="H1103" s="102"/>
    </row>
    <row r="1104" hidden="1">
      <c r="H1104" s="102"/>
    </row>
    <row r="1105" hidden="1">
      <c r="H1105" s="102"/>
    </row>
    <row r="1106" hidden="1">
      <c r="H1106" s="39"/>
    </row>
    <row r="1107" hidden="1">
      <c r="H1107" s="39"/>
    </row>
    <row r="1108" hidden="1">
      <c r="H1108" s="102"/>
    </row>
    <row r="1109" hidden="1">
      <c r="H1109" s="39"/>
    </row>
    <row r="1110" hidden="1">
      <c r="H1110" s="39"/>
    </row>
    <row r="1111" hidden="1">
      <c r="H1111" s="102"/>
    </row>
    <row r="1112" hidden="1">
      <c r="H1112" s="102"/>
    </row>
    <row r="1113" hidden="1">
      <c r="H1113" s="102"/>
    </row>
    <row r="1114" hidden="1">
      <c r="H1114" s="102"/>
    </row>
    <row r="1115" hidden="1">
      <c r="H1115" s="28"/>
    </row>
    <row r="1116" hidden="1">
      <c r="H1116" s="102"/>
    </row>
    <row r="1117" hidden="1">
      <c r="H1117" s="102"/>
    </row>
    <row r="1118" hidden="1">
      <c r="H1118" s="102"/>
    </row>
    <row r="1119" hidden="1">
      <c r="H1119" s="102"/>
    </row>
    <row r="1120" hidden="1">
      <c r="H1120" s="102"/>
    </row>
    <row r="1121" hidden="1">
      <c r="H1121" s="102"/>
    </row>
    <row r="1122" hidden="1">
      <c r="H1122" s="28"/>
    </row>
    <row r="1123" hidden="1">
      <c r="H1123" s="102"/>
    </row>
    <row r="1124" hidden="1">
      <c r="H1124" s="28"/>
    </row>
    <row r="1125" hidden="1">
      <c r="H1125" s="39"/>
    </row>
    <row r="1126" hidden="1">
      <c r="H1126" s="39"/>
    </row>
    <row r="1127" hidden="1">
      <c r="H1127" s="102"/>
    </row>
    <row r="1128" hidden="1">
      <c r="H1128" s="102"/>
    </row>
    <row r="1129" hidden="1">
      <c r="H1129" s="102"/>
    </row>
    <row r="1130" hidden="1">
      <c r="H1130" s="102"/>
    </row>
    <row r="1131" hidden="1">
      <c r="H1131" s="39"/>
    </row>
    <row r="1132" hidden="1">
      <c r="H1132" s="102"/>
    </row>
    <row r="1133" hidden="1">
      <c r="H1133" s="102"/>
    </row>
    <row r="1134" hidden="1">
      <c r="H1134" s="39"/>
    </row>
    <row r="1135" hidden="1">
      <c r="H1135" s="102"/>
    </row>
    <row r="1136" hidden="1">
      <c r="H1136" s="102"/>
    </row>
    <row r="1137" hidden="1">
      <c r="H1137" s="102"/>
    </row>
    <row r="1138" hidden="1">
      <c r="H1138" s="102"/>
    </row>
    <row r="1139" hidden="1">
      <c r="H1139" s="28"/>
    </row>
    <row r="1140" hidden="1">
      <c r="H1140" s="102"/>
    </row>
    <row r="1141" hidden="1">
      <c r="H1141" s="39"/>
    </row>
    <row r="1142" hidden="1">
      <c r="H1142" s="39"/>
    </row>
    <row r="1143" hidden="1">
      <c r="H1143" s="28"/>
    </row>
    <row r="1144" hidden="1">
      <c r="H1144" s="39"/>
    </row>
    <row r="1145" hidden="1">
      <c r="H1145" s="102"/>
    </row>
    <row r="1146" hidden="1">
      <c r="H1146" s="39"/>
    </row>
    <row r="1147" hidden="1">
      <c r="H1147" s="102"/>
    </row>
    <row r="1148" hidden="1">
      <c r="H1148" s="39"/>
    </row>
    <row r="1149" hidden="1">
      <c r="H1149" s="39"/>
    </row>
    <row r="1150" hidden="1">
      <c r="H1150" s="102"/>
    </row>
    <row r="1151" hidden="1">
      <c r="H1151" s="39"/>
    </row>
    <row r="1152" hidden="1">
      <c r="H1152" s="39"/>
    </row>
    <row r="1153" hidden="1">
      <c r="H1153" s="102"/>
    </row>
    <row r="1154" hidden="1">
      <c r="H1154" s="39"/>
    </row>
  </sheetData>
  <autoFilter ref="$A$1:$AL$1154">
    <filterColumn colId="10">
      <filters>
        <filter val="Included"/>
        <filter val="included"/>
        <filter val="not included"/>
      </filters>
    </filterColumn>
    <sortState ref="A1:AL1154">
      <sortCondition ref="AB1:AB1154"/>
      <sortCondition ref="AA1:AA1154"/>
    </sortState>
  </autoFilter>
  <customSheetViews>
    <customSheetView guid="{E6DA5226-9988-4563-BBF9-ECB0F241FFC7}" filter="1" showAutoFilter="1">
      <autoFilter ref="$A$1:$Y$1154"/>
      <extLst>
        <ext uri="GoogleSheetsCustomDataVersion1">
          <go:sheetsCustomData xmlns:go="http://customooxmlschemas.google.com/" filterViewId="1060836562"/>
        </ext>
      </extLst>
    </customSheetView>
    <customSheetView guid="{47F40A6E-1041-496A-AC55-0EB52BC48796}" filter="1" showAutoFilter="1">
      <autoFilter ref="$A$1:$Y$1154">
        <filterColumn colId="10">
          <filters>
            <filter val="maybe"/>
            <filter val="Included"/>
            <filter val="included"/>
            <filter val="not included"/>
          </filters>
        </filterColumn>
      </autoFilter>
      <extLst>
        <ext uri="GoogleSheetsCustomDataVersion1">
          <go:sheetsCustomData xmlns:go="http://customooxmlschemas.google.com/" filterViewId="1270288086"/>
        </ext>
      </extLst>
    </customSheetView>
    <customSheetView guid="{36B470F2-8894-4B3D-8A61-984D811E35F6}" filter="1" showAutoFilter="1">
      <autoFilter ref="$A$1:$AL$1154"/>
      <extLst>
        <ext uri="GoogleSheetsCustomDataVersion1">
          <go:sheetsCustomData xmlns:go="http://customooxmlschemas.google.com/" filterViewId="1367927627"/>
        </ext>
      </extLst>
    </customSheetView>
    <customSheetView guid="{040263B7-F20D-4432-A4A5-E83594D7F42C}" filter="1" showAutoFilter="1">
      <autoFilter ref="$A$1:$Y$1154"/>
      <extLst>
        <ext uri="GoogleSheetsCustomDataVersion1">
          <go:sheetsCustomData xmlns:go="http://customooxmlschemas.google.com/" filterViewId="1542617268"/>
        </ext>
      </extLst>
    </customSheetView>
    <customSheetView guid="{E414997F-57C6-4935-861D-38D80D037106}" filter="1" showAutoFilter="1">
      <autoFilter ref="$A$1:$Y$1154">
        <filterColumn colId="10">
          <filters>
            <filter val="maybe"/>
            <filter val="Included"/>
            <filter val="included"/>
            <filter val="not included"/>
          </filters>
        </filterColumn>
      </autoFilter>
      <extLst>
        <ext uri="GoogleSheetsCustomDataVersion1">
          <go:sheetsCustomData xmlns:go="http://customooxmlschemas.google.com/" filterViewId="1740285773"/>
        </ext>
      </extLst>
    </customSheetView>
    <customSheetView guid="{F0A040E8-0E0E-4C10-8D20-44DAC627B43C}" filter="1" showAutoFilter="1">
      <autoFilter ref="$A$1:$AA$1154">
        <filterColumn colId="10">
          <filters>
            <filter val="maybe"/>
            <filter val="Included"/>
            <filter val="not included"/>
          </filters>
        </filterColumn>
      </autoFilter>
      <extLst>
        <ext uri="GoogleSheetsCustomDataVersion1">
          <go:sheetsCustomData xmlns:go="http://customooxmlschemas.google.com/" filterViewId="766871741"/>
        </ext>
      </extLst>
    </customSheetView>
    <customSheetView guid="{2A4DB141-A38E-4124-A0B1-00ACEE9B9D1D}" filter="1" showAutoFilter="1">
      <autoFilter ref="$A$1:$Y$1154">
        <filterColumn colId="10">
          <filters>
            <filter val="maybe"/>
            <filter val="Included"/>
            <filter val="included"/>
            <filter val="not included"/>
          </filters>
        </filterColumn>
      </autoFilter>
      <extLst>
        <ext uri="GoogleSheetsCustomDataVersion1">
          <go:sheetsCustomData xmlns:go="http://customooxmlschemas.google.com/" filterViewId="818722648"/>
        </ext>
      </extLst>
    </customSheetView>
  </customSheetViews>
  <hyperlinks>
    <hyperlink r:id="rId1" ref="C2"/>
    <hyperlink r:id="rId2" ref="C3"/>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0"/>
    <hyperlink r:id="rId29" ref="C31"/>
    <hyperlink r:id="rId30" ref="C32"/>
    <hyperlink r:id="rId31" ref="C33"/>
    <hyperlink r:id="rId32" ref="C34"/>
    <hyperlink r:id="rId33" ref="C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location="principles"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1"/>
    <hyperlink r:id="rId179" ref="C182"/>
    <hyperlink r:id="rId180" ref="C183"/>
    <hyperlink r:id="rId181" ref="C184"/>
    <hyperlink r:id="rId182" ref="C185"/>
    <hyperlink r:id="rId183" ref="C186"/>
    <hyperlink r:id="rId184" ref="C187"/>
    <hyperlink r:id="rId185" ref="C188"/>
    <hyperlink r:id="rId186" ref="C189"/>
    <hyperlink r:id="rId187" ref="C190"/>
    <hyperlink r:id="rId188" ref="C191"/>
    <hyperlink r:id="rId189" ref="C192"/>
    <hyperlink r:id="rId190" ref="C193"/>
    <hyperlink r:id="rId191" ref="C194"/>
    <hyperlink r:id="rId192" ref="C195"/>
    <hyperlink r:id="rId193" ref="C196"/>
    <hyperlink r:id="rId194" ref="C197"/>
    <hyperlink r:id="rId195" ref="C198"/>
    <hyperlink r:id="rId196" ref="C199"/>
    <hyperlink r:id="rId197" ref="C200"/>
    <hyperlink r:id="rId198" ref="C201"/>
    <hyperlink r:id="rId199" ref="C202"/>
    <hyperlink r:id="rId200" ref="C203"/>
    <hyperlink r:id="rId201" ref="C204"/>
    <hyperlink r:id="rId202" ref="C205"/>
    <hyperlink r:id="rId203" ref="C206"/>
    <hyperlink r:id="rId204" ref="C207"/>
    <hyperlink r:id="rId205" ref="C208"/>
    <hyperlink r:id="rId206" ref="C209"/>
    <hyperlink r:id="rId207" ref="C210"/>
    <hyperlink r:id="rId208" ref="C211"/>
    <hyperlink r:id="rId209" ref="C212"/>
    <hyperlink r:id="rId210" ref="C213"/>
    <hyperlink r:id="rId211" ref="C215"/>
    <hyperlink r:id="rId212" ref="C216"/>
    <hyperlink r:id="rId213" ref="C217"/>
    <hyperlink r:id="rId214" ref="C218"/>
    <hyperlink r:id="rId215" ref="C219"/>
    <hyperlink r:id="rId216" ref="C220"/>
    <hyperlink r:id="rId217" ref="C221"/>
    <hyperlink r:id="rId218" ref="C222"/>
    <hyperlink r:id="rId219" ref="C223"/>
    <hyperlink r:id="rId220" ref="C224"/>
    <hyperlink r:id="rId221" location=":~:text=Declaration%20signed%20at%20Digital%20Day%20on%2010th%20April%202018.&amp;text=This%20Declaration%20builds%20on%20the,of%20a%20Digital%20Single%20Market" ref="C225"/>
    <hyperlink r:id="rId222" ref="C226"/>
    <hyperlink r:id="rId223" ref="C227"/>
    <hyperlink r:id="rId224" ref="C228"/>
    <hyperlink r:id="rId225" ref="C229"/>
    <hyperlink r:id="rId226" ref="C230"/>
    <hyperlink r:id="rId227" ref="C231"/>
    <hyperlink r:id="rId228" ref="C232"/>
    <hyperlink r:id="rId229" ref="C233"/>
    <hyperlink r:id="rId230" ref="C234"/>
    <hyperlink r:id="rId231" ref="C235"/>
    <hyperlink r:id="rId232" ref="C236"/>
    <hyperlink r:id="rId233" ref="C237"/>
    <hyperlink r:id="rId234" ref="C238"/>
    <hyperlink r:id="rId235" ref="C239"/>
    <hyperlink r:id="rId236" ref="C240"/>
    <hyperlink r:id="rId237" ref="C241"/>
    <hyperlink r:id="rId238" ref="C242"/>
    <hyperlink r:id="rId239" ref="C243"/>
    <hyperlink r:id="rId240" ref="C244"/>
    <hyperlink r:id="rId241" ref="C245"/>
    <hyperlink r:id="rId242" ref="C246"/>
    <hyperlink r:id="rId243" ref="C247"/>
    <hyperlink r:id="rId244" ref="C248"/>
    <hyperlink r:id="rId245" ref="C249"/>
    <hyperlink r:id="rId246" ref="C250"/>
    <hyperlink r:id="rId247" ref="C251"/>
    <hyperlink r:id="rId248" ref="C252"/>
    <hyperlink r:id="rId249" ref="C253"/>
    <hyperlink r:id="rId250" ref="C254"/>
    <hyperlink r:id="rId251" ref="C255"/>
    <hyperlink r:id="rId252" ref="C256"/>
    <hyperlink r:id="rId253" ref="C257"/>
    <hyperlink r:id="rId254" ref="C258"/>
    <hyperlink r:id="rId255" ref="C259"/>
    <hyperlink r:id="rId256" ref="C260"/>
    <hyperlink r:id="rId257" ref="C261"/>
    <hyperlink r:id="rId258" ref="C262"/>
    <hyperlink r:id="rId259" ref="C263"/>
    <hyperlink r:id="rId260" ref="C264"/>
    <hyperlink r:id="rId261" location="toc1" ref="C265"/>
    <hyperlink r:id="rId262" ref="C266"/>
    <hyperlink r:id="rId263" ref="C267"/>
    <hyperlink r:id="rId264" ref="C268"/>
    <hyperlink r:id="rId265" ref="C269"/>
    <hyperlink r:id="rId266" ref="C270"/>
    <hyperlink r:id="rId267" ref="C271"/>
    <hyperlink r:id="rId268" ref="C272"/>
    <hyperlink r:id="rId269" ref="C273"/>
    <hyperlink r:id="rId270" ref="C274"/>
    <hyperlink r:id="rId271" ref="C275"/>
    <hyperlink r:id="rId272" ref="C276"/>
    <hyperlink r:id="rId273" ref="C277"/>
    <hyperlink r:id="rId274" ref="C278"/>
    <hyperlink r:id="rId275" ref="C279"/>
    <hyperlink r:id="rId276" ref="C280"/>
    <hyperlink r:id="rId277" ref="C281"/>
    <hyperlink r:id="rId278" ref="C282"/>
    <hyperlink r:id="rId279" ref="C283"/>
    <hyperlink r:id="rId280" ref="C284"/>
    <hyperlink r:id="rId281" ref="C285"/>
    <hyperlink r:id="rId282" ref="C286"/>
    <hyperlink r:id="rId283" ref="C287"/>
    <hyperlink r:id="rId284" ref="C288"/>
    <hyperlink r:id="rId285" ref="C289"/>
    <hyperlink r:id="rId286" ref="C290"/>
    <hyperlink r:id="rId287" ref="C291"/>
    <hyperlink r:id="rId288" ref="C292"/>
    <hyperlink r:id="rId289" ref="C293"/>
    <hyperlink r:id="rId290" ref="C294"/>
    <hyperlink r:id="rId291" ref="C295"/>
    <hyperlink r:id="rId292" ref="C296"/>
    <hyperlink r:id="rId293" ref="C297"/>
    <hyperlink r:id="rId294" ref="C298"/>
    <hyperlink r:id="rId295" ref="C299"/>
    <hyperlink r:id="rId296" ref="C300"/>
    <hyperlink r:id="rId297" ref="C301"/>
    <hyperlink r:id="rId298" ref="C302"/>
    <hyperlink r:id="rId299" ref="C303"/>
    <hyperlink r:id="rId300" ref="C305"/>
    <hyperlink r:id="rId301" ref="C306"/>
    <hyperlink r:id="rId302" ref="C307"/>
    <hyperlink r:id="rId303" ref="C308"/>
    <hyperlink r:id="rId304" ref="C309"/>
    <hyperlink r:id="rId305" ref="C310"/>
    <hyperlink r:id="rId306" ref="C311"/>
    <hyperlink r:id="rId307" location=":~:text=Our%20Tenets&amp;text=We%20will%20educate%20and%20listen,work%2C%20and%20address%20their%20questions.&amp;text=We%20are%20committed%20to%20open,and%20legal%20implications%20of%20AI" ref="C312"/>
    <hyperlink r:id="rId308" ref="C313"/>
    <hyperlink r:id="rId309" ref="C314"/>
    <hyperlink r:id="rId310" ref="C315"/>
    <hyperlink r:id="rId311" ref="C316"/>
    <hyperlink r:id="rId312" ref="C317"/>
    <hyperlink r:id="rId313" ref="C318"/>
    <hyperlink r:id="rId314" ref="C319"/>
    <hyperlink r:id="rId315" ref="C320"/>
    <hyperlink r:id="rId316" ref="C321"/>
    <hyperlink r:id="rId317" ref="C322"/>
    <hyperlink r:id="rId318" ref="C323"/>
    <hyperlink r:id="rId319" ref="C324"/>
    <hyperlink r:id="rId320" ref="C325"/>
    <hyperlink r:id="rId321" ref="C326"/>
    <hyperlink r:id="rId322" ref="C327"/>
    <hyperlink r:id="rId323" ref="C328"/>
    <hyperlink r:id="rId324" ref="C329"/>
    <hyperlink r:id="rId325" ref="C330"/>
    <hyperlink r:id="rId326" ref="C331"/>
    <hyperlink r:id="rId327" ref="C332"/>
    <hyperlink r:id="rId328" ref="C333"/>
    <hyperlink r:id="rId329" ref="C334"/>
    <hyperlink r:id="rId330" ref="C335"/>
    <hyperlink r:id="rId331" ref="C336"/>
    <hyperlink r:id="rId332" ref="C337"/>
    <hyperlink r:id="rId333" ref="C338"/>
    <hyperlink r:id="rId334" ref="C339"/>
    <hyperlink r:id="rId335" ref="C340"/>
    <hyperlink r:id="rId336" ref="C341"/>
    <hyperlink r:id="rId337" ref="C342"/>
    <hyperlink r:id="rId338" ref="C343"/>
    <hyperlink r:id="rId339" ref="C344"/>
    <hyperlink r:id="rId340" ref="C345"/>
    <hyperlink r:id="rId341" ref="C346"/>
    <hyperlink r:id="rId342" ref="C347"/>
    <hyperlink r:id="rId343" ref="C348"/>
    <hyperlink r:id="rId344" ref="C349"/>
    <hyperlink r:id="rId345" ref="C350"/>
    <hyperlink r:id="rId346" ref="C351"/>
    <hyperlink r:id="rId347" ref="C352"/>
    <hyperlink r:id="rId348" ref="C353"/>
    <hyperlink r:id="rId349" ref="C354"/>
    <hyperlink r:id="rId350" ref="C355"/>
    <hyperlink r:id="rId351" ref="C356"/>
    <hyperlink r:id="rId352" ref="C357"/>
    <hyperlink r:id="rId353" ref="C358"/>
    <hyperlink r:id="rId354" ref="C359"/>
    <hyperlink r:id="rId355" ref="C360"/>
    <hyperlink r:id="rId356" ref="C361"/>
    <hyperlink r:id="rId357" ref="C362"/>
    <hyperlink r:id="rId358" ref="C363"/>
    <hyperlink r:id="rId359" ref="C364"/>
    <hyperlink r:id="rId360" ref="C365"/>
    <hyperlink r:id="rId361" ref="C366"/>
    <hyperlink r:id="rId362" ref="C367"/>
    <hyperlink r:id="rId363" ref="C368"/>
    <hyperlink r:id="rId364" ref="C369"/>
    <hyperlink r:id="rId365" ref="C370"/>
    <hyperlink r:id="rId366" ref="C371"/>
    <hyperlink r:id="rId367" ref="C372"/>
    <hyperlink r:id="rId368" ref="C373"/>
    <hyperlink r:id="rId369" ref="C374"/>
    <hyperlink r:id="rId370" ref="C375"/>
    <hyperlink r:id="rId371" ref="C376"/>
    <hyperlink r:id="rId372" ref="C377"/>
    <hyperlink r:id="rId373" ref="C378"/>
    <hyperlink r:id="rId374" ref="C379"/>
    <hyperlink r:id="rId375" ref="C380"/>
    <hyperlink r:id="rId376" ref="C381"/>
    <hyperlink r:id="rId377" ref="C383"/>
    <hyperlink r:id="rId378" ref="C384"/>
    <hyperlink r:id="rId379" ref="C385"/>
    <hyperlink r:id="rId380" ref="C386"/>
    <hyperlink r:id="rId381" ref="C387"/>
    <hyperlink r:id="rId382" ref="C388"/>
    <hyperlink r:id="rId383" ref="C389"/>
    <hyperlink r:id="rId384" ref="C390"/>
    <hyperlink r:id="rId385" ref="C391"/>
    <hyperlink r:id="rId386" ref="C392"/>
    <hyperlink r:id="rId387" ref="C393"/>
    <hyperlink r:id="rId388" ref="C394"/>
    <hyperlink r:id="rId389" ref="C395"/>
    <hyperlink r:id="rId390" ref="C396"/>
    <hyperlink r:id="rId391" ref="C397"/>
    <hyperlink r:id="rId392" ref="C398"/>
    <hyperlink r:id="rId393" ref="C399"/>
    <hyperlink r:id="rId394" ref="C400"/>
    <hyperlink r:id="rId395" location="set-the-standard" ref="C401"/>
    <hyperlink r:id="rId396" ref="C402"/>
    <hyperlink r:id="rId397" ref="C403"/>
    <hyperlink r:id="rId398" ref="C404"/>
    <hyperlink r:id="rId399" ref="C405"/>
    <hyperlink r:id="rId400" ref="C406"/>
    <hyperlink r:id="rId401" ref="C407"/>
    <hyperlink r:id="rId402" ref="C408"/>
    <hyperlink r:id="rId403" ref="C409"/>
    <hyperlink r:id="rId404" ref="C410"/>
    <hyperlink r:id="rId405" ref="C411"/>
    <hyperlink r:id="rId406" ref="C412"/>
    <hyperlink r:id="rId407" ref="C413"/>
    <hyperlink r:id="rId408" ref="C414"/>
    <hyperlink r:id="rId409" ref="C415"/>
    <hyperlink r:id="rId410" ref="C416"/>
    <hyperlink r:id="rId411" ref="C417"/>
    <hyperlink r:id="rId412" ref="C418"/>
    <hyperlink r:id="rId413" ref="C419"/>
    <hyperlink r:id="rId414" ref="C420"/>
    <hyperlink r:id="rId415" ref="C421"/>
    <hyperlink r:id="rId416" ref="C422"/>
    <hyperlink r:id="rId417" ref="C423"/>
    <hyperlink r:id="rId418" ref="C424"/>
    <hyperlink r:id="rId419" ref="C425"/>
    <hyperlink r:id="rId420" ref="C426"/>
    <hyperlink r:id="rId421" ref="C427"/>
    <hyperlink r:id="rId422" ref="C428"/>
    <hyperlink r:id="rId423" ref="C429"/>
    <hyperlink r:id="rId424" ref="C430"/>
    <hyperlink r:id="rId425" ref="C431"/>
    <hyperlink r:id="rId426" ref="C432"/>
    <hyperlink r:id="rId427" ref="C433"/>
    <hyperlink r:id="rId428" ref="C434"/>
    <hyperlink r:id="rId429" ref="C435"/>
    <hyperlink r:id="rId430" ref="C436"/>
    <hyperlink r:id="rId431" ref="C437"/>
    <hyperlink r:id="rId432" ref="C438"/>
    <hyperlink r:id="rId433" ref="C440"/>
    <hyperlink r:id="rId434" ref="C441"/>
    <hyperlink r:id="rId435" ref="C442"/>
    <hyperlink r:id="rId436" ref="C443"/>
    <hyperlink r:id="rId437" ref="C444"/>
    <hyperlink r:id="rId438" ref="C445"/>
    <hyperlink r:id="rId439" ref="C446"/>
    <hyperlink r:id="rId440" ref="C447"/>
    <hyperlink r:id="rId441" ref="C448"/>
    <hyperlink r:id="rId442" ref="C449"/>
    <hyperlink r:id="rId443" ref="C450"/>
    <hyperlink r:id="rId444" ref="C451"/>
    <hyperlink r:id="rId445" ref="C452"/>
    <hyperlink r:id="rId446" ref="C453"/>
    <hyperlink r:id="rId447" ref="C454"/>
    <hyperlink r:id="rId448" location="%5B%7B%22num%22%3A70%2C%22gen%22%3A0%7D%2C%7B%22name%22%3A%22XYZ%22%7D%2Cnull%2Cnull%2C0%5D" ref="C455"/>
    <hyperlink r:id="rId449" ref="C456"/>
    <hyperlink r:id="rId450" ref="C457"/>
    <hyperlink r:id="rId451" ref="C458"/>
    <hyperlink r:id="rId452" ref="C459"/>
    <hyperlink r:id="rId453" ref="C460"/>
    <hyperlink r:id="rId454" ref="C461"/>
    <hyperlink r:id="rId455" ref="C462"/>
    <hyperlink r:id="rId456" ref="C463"/>
    <hyperlink r:id="rId457" ref="C464"/>
    <hyperlink r:id="rId458" ref="C465"/>
    <hyperlink r:id="rId459" ref="C466"/>
    <hyperlink r:id="rId460" ref="C467"/>
    <hyperlink r:id="rId461" ref="C468"/>
    <hyperlink r:id="rId462" ref="C469"/>
    <hyperlink r:id="rId463" ref="C470"/>
    <hyperlink r:id="rId464" ref="C471"/>
    <hyperlink r:id="rId465" ref="C472"/>
    <hyperlink r:id="rId466" ref="C473"/>
    <hyperlink r:id="rId467" ref="C474"/>
    <hyperlink r:id="rId468" location="33" ref="C475"/>
    <hyperlink r:id="rId469" ref="C476"/>
    <hyperlink r:id="rId470" ref="C477"/>
    <hyperlink r:id="rId471" ref="C478"/>
    <hyperlink r:id="rId472" ref="C479"/>
    <hyperlink r:id="rId473" ref="C480"/>
    <hyperlink r:id="rId474" ref="C481"/>
    <hyperlink r:id="rId475" ref="C482"/>
    <hyperlink r:id="rId476" ref="C483"/>
    <hyperlink r:id="rId477" ref="C484"/>
    <hyperlink r:id="rId478" ref="C485"/>
    <hyperlink r:id="rId479" ref="C486"/>
    <hyperlink r:id="rId480" ref="C487"/>
    <hyperlink r:id="rId481" ref="C488"/>
    <hyperlink r:id="rId482" ref="C489"/>
    <hyperlink r:id="rId483" ref="C490"/>
    <hyperlink r:id="rId484" ref="C491"/>
    <hyperlink r:id="rId485" ref="C492"/>
    <hyperlink r:id="rId486" ref="C493"/>
    <hyperlink r:id="rId487" ref="C494"/>
    <hyperlink r:id="rId488" ref="C495"/>
    <hyperlink r:id="rId489" ref="C496"/>
    <hyperlink r:id="rId490" ref="C497"/>
    <hyperlink r:id="rId491" ref="C498"/>
    <hyperlink r:id="rId492" ref="C499"/>
    <hyperlink r:id="rId493" ref="C500"/>
    <hyperlink r:id="rId494" ref="C501"/>
    <hyperlink r:id="rId495" ref="C502"/>
    <hyperlink r:id="rId496" ref="C503"/>
    <hyperlink r:id="rId497" ref="C504"/>
    <hyperlink r:id="rId498" ref="C505"/>
    <hyperlink r:id="rId499" ref="C506"/>
    <hyperlink r:id="rId500" ref="C507"/>
    <hyperlink r:id="rId501" ref="C508"/>
    <hyperlink r:id="rId502" ref="C509"/>
    <hyperlink r:id="rId503" ref="C510"/>
    <hyperlink r:id="rId504" ref="C511"/>
    <hyperlink r:id="rId505" ref="C512"/>
    <hyperlink r:id="rId506" ref="C513"/>
    <hyperlink r:id="rId507" ref="C514"/>
    <hyperlink r:id="rId508" ref="C515"/>
    <hyperlink r:id="rId509" ref="C516"/>
    <hyperlink r:id="rId510" ref="C517"/>
    <hyperlink r:id="rId511" ref="C518"/>
    <hyperlink r:id="rId512" ref="C519"/>
    <hyperlink r:id="rId513" ref="C520"/>
    <hyperlink r:id="rId514" ref="C521"/>
    <hyperlink r:id="rId515" ref="C522"/>
    <hyperlink r:id="rId516" ref="C523"/>
    <hyperlink r:id="rId517" ref="C524"/>
    <hyperlink r:id="rId518" ref="C525"/>
    <hyperlink r:id="rId519" ref="C526"/>
    <hyperlink r:id="rId520" ref="C527"/>
    <hyperlink r:id="rId521" ref="C528"/>
    <hyperlink r:id="rId522" ref="C529"/>
    <hyperlink r:id="rId523" ref="C530"/>
    <hyperlink r:id="rId524" ref="C531"/>
    <hyperlink r:id="rId525" ref="C532"/>
    <hyperlink r:id="rId526" ref="C533"/>
    <hyperlink r:id="rId527" ref="C534"/>
    <hyperlink r:id="rId528" ref="C535"/>
    <hyperlink r:id="rId529" ref="C536"/>
    <hyperlink r:id="rId530" ref="C537"/>
    <hyperlink r:id="rId531" ref="C538"/>
    <hyperlink r:id="rId532" ref="C539"/>
    <hyperlink r:id="rId533" ref="C540"/>
    <hyperlink r:id="rId534" ref="C541"/>
    <hyperlink r:id="rId535" ref="C542"/>
    <hyperlink r:id="rId536" ref="C543"/>
    <hyperlink r:id="rId537" ref="A544"/>
    <hyperlink r:id="rId538" ref="C544"/>
    <hyperlink r:id="rId539" ref="C545"/>
    <hyperlink r:id="rId540" ref="C546"/>
    <hyperlink r:id="rId541" ref="C547"/>
    <hyperlink r:id="rId542" ref="C548"/>
    <hyperlink r:id="rId543" ref="C549"/>
    <hyperlink r:id="rId544" ref="C550"/>
    <hyperlink r:id="rId545" ref="C551"/>
    <hyperlink r:id="rId546" ref="C552"/>
    <hyperlink r:id="rId547" ref="C553"/>
    <hyperlink r:id="rId548" ref="C554"/>
    <hyperlink r:id="rId549" ref="C555"/>
    <hyperlink r:id="rId550" ref="C556"/>
    <hyperlink r:id="rId551" ref="C557"/>
    <hyperlink r:id="rId552" ref="C558"/>
    <hyperlink r:id="rId553" ref="C559"/>
    <hyperlink r:id="rId554" ref="C560"/>
    <hyperlink r:id="rId555" ref="C561"/>
    <hyperlink r:id="rId556" ref="C562"/>
    <hyperlink r:id="rId557" ref="C563"/>
    <hyperlink r:id="rId558" ref="C564"/>
    <hyperlink r:id="rId559" ref="C565"/>
    <hyperlink r:id="rId560" ref="C566"/>
    <hyperlink r:id="rId561" ref="C567"/>
    <hyperlink r:id="rId562" ref="C568"/>
    <hyperlink r:id="rId563" ref="C569"/>
    <hyperlink r:id="rId564" ref="C570"/>
    <hyperlink r:id="rId565" ref="C571"/>
    <hyperlink r:id="rId566" ref="C572"/>
    <hyperlink r:id="rId567" ref="C573"/>
    <hyperlink r:id="rId568" ref="C574"/>
    <hyperlink r:id="rId569" ref="C575"/>
    <hyperlink r:id="rId570" ref="C576"/>
    <hyperlink r:id="rId571" ref="C578"/>
    <hyperlink r:id="rId572" ref="C579"/>
    <hyperlink r:id="rId573" ref="C580"/>
    <hyperlink r:id="rId574" ref="C581"/>
    <hyperlink r:id="rId575" ref="C582"/>
    <hyperlink r:id="rId576" ref="C583"/>
    <hyperlink r:id="rId577" ref="C584"/>
    <hyperlink r:id="rId578" ref="C585"/>
    <hyperlink r:id="rId579" ref="C586"/>
    <hyperlink r:id="rId580" ref="C587"/>
    <hyperlink r:id="rId581" location=":~:text=By%202025%2C%20a%20new%20generation,global%20high%2Dend%20value%20chain" ref="C588"/>
    <hyperlink r:id="rId582" ref="C589"/>
    <hyperlink r:id="rId583" ref="C590"/>
    <hyperlink r:id="rId584" ref="C591"/>
    <hyperlink r:id="rId585" ref="C592"/>
    <hyperlink r:id="rId586" ref="C593"/>
    <hyperlink r:id="rId587" ref="C594"/>
    <hyperlink r:id="rId588" ref="C595"/>
    <hyperlink r:id="rId589" ref="C596"/>
    <hyperlink r:id="rId590" ref="C597"/>
    <hyperlink r:id="rId591" ref="C598"/>
    <hyperlink r:id="rId592" ref="C599"/>
    <hyperlink r:id="rId593" ref="C600"/>
    <hyperlink r:id="rId594" ref="C601"/>
    <hyperlink r:id="rId595" ref="C602"/>
    <hyperlink r:id="rId596" ref="C603"/>
    <hyperlink r:id="rId597" ref="C604"/>
    <hyperlink r:id="rId598" ref="C605"/>
    <hyperlink r:id="rId599" ref="C606"/>
    <hyperlink r:id="rId600" ref="C607"/>
    <hyperlink r:id="rId601" ref="C608"/>
    <hyperlink r:id="rId602" ref="C609"/>
    <hyperlink r:id="rId603" ref="C610"/>
    <hyperlink r:id="rId604" ref="C611"/>
    <hyperlink r:id="rId605" ref="C612"/>
    <hyperlink r:id="rId606" ref="C613"/>
    <hyperlink r:id="rId607" ref="C614"/>
    <hyperlink r:id="rId608" ref="C615"/>
    <hyperlink r:id="rId609" ref="C616"/>
    <hyperlink r:id="rId610" ref="C617"/>
    <hyperlink r:id="rId611" ref="C618"/>
    <hyperlink r:id="rId612" ref="C619"/>
    <hyperlink r:id="rId613" ref="C620"/>
    <hyperlink r:id="rId614" ref="C621"/>
    <hyperlink r:id="rId615" ref="C622"/>
    <hyperlink r:id="rId616" ref="C623"/>
    <hyperlink r:id="rId617" ref="C624"/>
    <hyperlink r:id="rId618" ref="C625"/>
    <hyperlink r:id="rId619" ref="C626"/>
    <hyperlink r:id="rId620" ref="C627"/>
    <hyperlink r:id="rId621" ref="C628"/>
    <hyperlink r:id="rId622" ref="C629"/>
    <hyperlink r:id="rId623" ref="C630"/>
    <hyperlink r:id="rId624" ref="C631"/>
    <hyperlink r:id="rId625" ref="C632"/>
    <hyperlink r:id="rId626" ref="C633"/>
    <hyperlink r:id="rId627" ref="C634"/>
    <hyperlink r:id="rId628" ref="C635"/>
    <hyperlink r:id="rId629" ref="C636"/>
    <hyperlink r:id="rId630" ref="C637"/>
    <hyperlink r:id="rId631" ref="C638"/>
    <hyperlink r:id="rId632" ref="C639"/>
    <hyperlink r:id="rId633" ref="C640"/>
    <hyperlink r:id="rId634" ref="C641"/>
    <hyperlink r:id="rId635" ref="C642"/>
    <hyperlink r:id="rId636" ref="C643"/>
    <hyperlink r:id="rId637" ref="C644"/>
    <hyperlink r:id="rId638" ref="C645"/>
    <hyperlink r:id="rId639" ref="C646"/>
    <hyperlink r:id="rId640" ref="C647"/>
    <hyperlink r:id="rId641" ref="C648"/>
    <hyperlink r:id="rId642" ref="C649"/>
    <hyperlink r:id="rId643" ref="C650"/>
    <hyperlink r:id="rId644" ref="C651"/>
    <hyperlink r:id="rId645" ref="C652"/>
    <hyperlink r:id="rId646" ref="C653"/>
    <hyperlink r:id="rId647" ref="C654"/>
    <hyperlink r:id="rId648" ref="C655"/>
    <hyperlink r:id="rId649" ref="C656"/>
    <hyperlink r:id="rId650" ref="C657"/>
    <hyperlink r:id="rId651" ref="C658"/>
    <hyperlink r:id="rId652" ref="C659"/>
    <hyperlink r:id="rId653" ref="C660"/>
    <hyperlink r:id="rId654" ref="C661"/>
    <hyperlink r:id="rId655" ref="C662"/>
    <hyperlink r:id="rId656" ref="C663"/>
    <hyperlink r:id="rId657" ref="C664"/>
    <hyperlink r:id="rId658" ref="C665"/>
    <hyperlink r:id="rId659" ref="C666"/>
    <hyperlink r:id="rId660" ref="C667"/>
    <hyperlink r:id="rId661" ref="C668"/>
    <hyperlink r:id="rId662" ref="C669"/>
    <hyperlink r:id="rId663" ref="C670"/>
    <hyperlink r:id="rId664" ref="C671"/>
    <hyperlink r:id="rId665" ref="C672"/>
    <hyperlink r:id="rId666" ref="C673"/>
    <hyperlink r:id="rId667" ref="C674"/>
    <hyperlink r:id="rId668" ref="C675"/>
    <hyperlink r:id="rId669" ref="C676"/>
    <hyperlink r:id="rId670" ref="C677"/>
    <hyperlink r:id="rId671" ref="C678"/>
    <hyperlink r:id="rId672" ref="C679"/>
    <hyperlink r:id="rId673" ref="C680"/>
    <hyperlink r:id="rId674" ref="C681"/>
    <hyperlink r:id="rId675" ref="C682"/>
    <hyperlink r:id="rId676" ref="C683"/>
    <hyperlink r:id="rId677" ref="C684"/>
    <hyperlink r:id="rId678" ref="C685"/>
    <hyperlink r:id="rId679" ref="C686"/>
    <hyperlink r:id="rId680" ref="C688"/>
    <hyperlink r:id="rId681" ref="C689"/>
    <hyperlink r:id="rId682" ref="C690"/>
    <hyperlink r:id="rId683" ref="C691"/>
    <hyperlink r:id="rId684" ref="C692"/>
    <hyperlink r:id="rId685" ref="C693"/>
    <hyperlink r:id="rId686" ref="C694"/>
    <hyperlink r:id="rId687" ref="C695"/>
    <hyperlink r:id="rId688" ref="C696"/>
    <hyperlink r:id="rId689" ref="C697"/>
    <hyperlink r:id="rId690" ref="C698"/>
    <hyperlink r:id="rId691" ref="C699"/>
    <hyperlink r:id="rId692" ref="C700"/>
    <hyperlink r:id="rId693" ref="C701"/>
    <hyperlink r:id="rId694" ref="C702"/>
    <hyperlink r:id="rId695" ref="C703"/>
    <hyperlink r:id="rId696" ref="C704"/>
    <hyperlink r:id="rId697" ref="C705"/>
    <hyperlink r:id="rId698" ref="C706"/>
    <hyperlink r:id="rId699" ref="C707"/>
    <hyperlink r:id="rId700" ref="C708"/>
    <hyperlink r:id="rId701" ref="C709"/>
    <hyperlink r:id="rId702" ref="C710"/>
    <hyperlink r:id="rId703" ref="C711"/>
    <hyperlink r:id="rId704" ref="C712"/>
    <hyperlink r:id="rId705" ref="C713"/>
    <hyperlink r:id="rId706" ref="C714"/>
    <hyperlink r:id="rId707" ref="C715"/>
    <hyperlink r:id="rId708" ref="C716"/>
    <hyperlink r:id="rId709" ref="C717"/>
    <hyperlink r:id="rId710" ref="C718"/>
    <hyperlink r:id="rId711" ref="C719"/>
    <hyperlink r:id="rId712" ref="C720"/>
    <hyperlink r:id="rId713" ref="C721"/>
    <hyperlink r:id="rId714" ref="C722"/>
    <hyperlink r:id="rId715" ref="C723"/>
    <hyperlink r:id="rId716" ref="C724"/>
    <hyperlink r:id="rId717" location="annex-a-ethical-principles-for-ai-in-defence" ref="C725"/>
    <hyperlink r:id="rId718" ref="C726"/>
    <hyperlink r:id="rId719" ref="C727"/>
    <hyperlink r:id="rId720" ref="C728"/>
    <hyperlink r:id="rId721" ref="C729"/>
    <hyperlink r:id="rId722" ref="C730"/>
    <hyperlink r:id="rId723" ref="C731"/>
  </hyperlinks>
  <printOptions/>
  <pageMargins bottom="0.75" footer="0.0" header="0.0" left="0.7" right="0.7" top="0.75"/>
  <pageSetup orientation="landscape"/>
  <drawing r:id="rId7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14"/>
    <col customWidth="1" min="2" max="2" width="50.14"/>
    <col customWidth="1" min="3" max="3" width="31.43"/>
    <col customWidth="1" min="13" max="13" width="20.29"/>
    <col customWidth="1" min="20" max="23" width="9.71"/>
  </cols>
  <sheetData>
    <row r="1">
      <c r="A1" s="7" t="s">
        <v>2401</v>
      </c>
      <c r="B1" s="7" t="s">
        <v>1</v>
      </c>
      <c r="C1" s="7" t="s">
        <v>2</v>
      </c>
      <c r="D1" s="10"/>
      <c r="E1" s="10"/>
      <c r="F1" s="10"/>
      <c r="G1" s="7" t="s">
        <v>6</v>
      </c>
      <c r="H1" s="106" t="s">
        <v>7</v>
      </c>
      <c r="I1" s="7" t="s">
        <v>5</v>
      </c>
      <c r="J1" s="15"/>
      <c r="N1" s="15" t="s">
        <v>33</v>
      </c>
      <c r="O1" s="15" t="s">
        <v>2402</v>
      </c>
      <c r="P1" s="15" t="s">
        <v>52</v>
      </c>
    </row>
    <row r="2">
      <c r="A2" s="15" t="s">
        <v>44</v>
      </c>
      <c r="B2" s="15" t="s">
        <v>45</v>
      </c>
      <c r="C2" s="15" t="s">
        <v>46</v>
      </c>
      <c r="G2" s="15" t="s">
        <v>48</v>
      </c>
      <c r="H2" s="107" t="s">
        <v>49</v>
      </c>
      <c r="I2" s="15" t="s">
        <v>2403</v>
      </c>
      <c r="J2" s="15"/>
      <c r="M2" s="14" t="str">
        <f t="shared" ref="M2:M45" si="1">IF(ISNUMBER(SEARCH(",",I2)),"multistakeholders",lower(I2))</f>
        <v>academia</v>
      </c>
      <c r="N2" s="14">
        <f>IF(LOWER(I2)=LOWER(Maria!L2),1,0)</f>
        <v>1</v>
      </c>
      <c r="O2" s="14">
        <f>IF(LOWER(I2)=LOWER(Aina!N2),1,0)</f>
        <v>0</v>
      </c>
      <c r="P2" s="14">
        <f>IF(LOWER(I2)=LOWER(Kappa!Y4),1,0)</f>
        <v>0</v>
      </c>
      <c r="R2" s="15" t="s">
        <v>2404</v>
      </c>
      <c r="S2" s="14"/>
      <c r="T2" s="14" t="s">
        <v>2405</v>
      </c>
      <c r="U2" s="14" t="s">
        <v>2406</v>
      </c>
      <c r="V2" s="14" t="s">
        <v>2407</v>
      </c>
      <c r="W2" s="14" t="s">
        <v>2408</v>
      </c>
      <c r="X2" s="15" t="s">
        <v>33</v>
      </c>
      <c r="Y2" s="15" t="s">
        <v>2402</v>
      </c>
      <c r="Z2" s="15" t="s">
        <v>52</v>
      </c>
    </row>
    <row r="3">
      <c r="A3" s="108" t="s">
        <v>53</v>
      </c>
      <c r="B3" s="108" t="s">
        <v>54</v>
      </c>
      <c r="C3" s="108" t="s">
        <v>55</v>
      </c>
      <c r="D3" s="108"/>
      <c r="E3" s="108"/>
      <c r="G3" s="108" t="s">
        <v>38</v>
      </c>
      <c r="H3" s="107" t="s">
        <v>57</v>
      </c>
      <c r="I3" s="15" t="s">
        <v>2409</v>
      </c>
      <c r="J3" s="108"/>
      <c r="M3" s="14" t="str">
        <f t="shared" si="1"/>
        <v>international organisation</v>
      </c>
      <c r="N3" s="14">
        <f>IF(LOWER(I3)=LOWER(Maria!L3),1,0)</f>
        <v>1</v>
      </c>
      <c r="O3" s="14">
        <f>IF(LOWER(I3)=LOWER(Aina!N3),1,0)</f>
        <v>1</v>
      </c>
      <c r="P3" s="14">
        <f>IF(LOWER(I3)=LOWER(Kappa!Y5),1,0)</f>
        <v>1</v>
      </c>
      <c r="R3" s="109">
        <f t="shared" ref="R3:R8" si="3">T3/$T$9</f>
        <v>0.1818181818</v>
      </c>
      <c r="S3" s="14" t="s">
        <v>62</v>
      </c>
      <c r="T3" s="14">
        <v>8.0</v>
      </c>
      <c r="U3" s="14">
        <v>4.0</v>
      </c>
      <c r="V3" s="110">
        <v>4.0</v>
      </c>
      <c r="W3" s="14">
        <v>4.0</v>
      </c>
      <c r="X3" s="111">
        <f t="shared" ref="X3:Z3" si="2">U3/$T3</f>
        <v>0.5</v>
      </c>
      <c r="Y3" s="111">
        <f t="shared" si="2"/>
        <v>0.5</v>
      </c>
      <c r="Z3" s="111">
        <f t="shared" si="2"/>
        <v>0.5</v>
      </c>
    </row>
    <row r="4">
      <c r="A4" s="15" t="s">
        <v>59</v>
      </c>
      <c r="B4" s="15" t="s">
        <v>60</v>
      </c>
      <c r="C4" s="15" t="s">
        <v>61</v>
      </c>
      <c r="G4" s="15" t="s">
        <v>63</v>
      </c>
      <c r="H4" s="107" t="s">
        <v>64</v>
      </c>
      <c r="I4" s="15" t="s">
        <v>2403</v>
      </c>
      <c r="J4" s="15"/>
      <c r="M4" s="14" t="str">
        <f t="shared" si="1"/>
        <v>academia</v>
      </c>
      <c r="N4" s="14">
        <f>IF(LOWER(I4)=LOWER(Maria!L4),1,0)</f>
        <v>1</v>
      </c>
      <c r="O4" s="14">
        <f>IF(LOWER(I4)=LOWER(Aina!N4),1,0)</f>
        <v>1</v>
      </c>
      <c r="P4" s="14">
        <f>IF(LOWER(I4)=LOWER(Kappa!Y6),1,0)</f>
        <v>1</v>
      </c>
      <c r="R4" s="109">
        <f t="shared" si="3"/>
        <v>0.1590909091</v>
      </c>
      <c r="S4" s="14" t="s">
        <v>37</v>
      </c>
      <c r="T4" s="14">
        <v>7.0</v>
      </c>
      <c r="U4" s="14">
        <v>5.0</v>
      </c>
      <c r="V4" s="110">
        <v>7.0</v>
      </c>
      <c r="W4" s="14">
        <v>6.0</v>
      </c>
      <c r="X4" s="111">
        <f t="shared" ref="X4:Z4" si="4">U4/$T4</f>
        <v>0.7142857143</v>
      </c>
      <c r="Y4" s="111">
        <f t="shared" si="4"/>
        <v>1</v>
      </c>
      <c r="Z4" s="111">
        <f t="shared" si="4"/>
        <v>0.8571428571</v>
      </c>
    </row>
    <row r="5">
      <c r="A5" s="15" t="s">
        <v>74</v>
      </c>
      <c r="B5" s="15" t="s">
        <v>75</v>
      </c>
      <c r="C5" s="15" t="s">
        <v>76</v>
      </c>
      <c r="G5" s="15" t="s">
        <v>78</v>
      </c>
      <c r="H5" s="107" t="s">
        <v>79</v>
      </c>
      <c r="I5" s="15" t="s">
        <v>2410</v>
      </c>
      <c r="M5" s="14" t="str">
        <f t="shared" si="1"/>
        <v>national authority</v>
      </c>
      <c r="N5" s="14">
        <f>IF(LOWER(I5)=LOWER(Maria!L5),1,0)</f>
        <v>1</v>
      </c>
      <c r="O5" s="14">
        <f>IF(LOWER(I5)=LOWER(Aina!N5),1,0)</f>
        <v>1</v>
      </c>
      <c r="P5" s="14">
        <f>IF(LOWER(I5)=LOWER(Kappa!Y7),1,0)</f>
        <v>1</v>
      </c>
      <c r="R5" s="109">
        <f t="shared" si="3"/>
        <v>0.2272727273</v>
      </c>
      <c r="S5" s="14" t="s">
        <v>2411</v>
      </c>
      <c r="T5" s="14">
        <v>10.0</v>
      </c>
      <c r="U5" s="14">
        <v>8.0</v>
      </c>
      <c r="V5" s="110">
        <v>9.0</v>
      </c>
      <c r="W5" s="14">
        <v>10.0</v>
      </c>
      <c r="X5" s="111">
        <f t="shared" ref="X5:Z5" si="5">U5/$T5</f>
        <v>0.8</v>
      </c>
      <c r="Y5" s="111">
        <f t="shared" si="5"/>
        <v>0.9</v>
      </c>
      <c r="Z5" s="111">
        <f t="shared" si="5"/>
        <v>1</v>
      </c>
    </row>
    <row r="6">
      <c r="A6" s="15" t="s">
        <v>80</v>
      </c>
      <c r="B6" s="15" t="s">
        <v>81</v>
      </c>
      <c r="C6" s="15" t="s">
        <v>82</v>
      </c>
      <c r="G6" s="15" t="s">
        <v>83</v>
      </c>
      <c r="H6" s="107" t="s">
        <v>84</v>
      </c>
      <c r="I6" s="15" t="s">
        <v>2409</v>
      </c>
      <c r="J6" s="15"/>
      <c r="M6" s="14" t="str">
        <f t="shared" si="1"/>
        <v>international organisation</v>
      </c>
      <c r="N6" s="14">
        <f>IF(LOWER(I6)=LOWER(Maria!L6),1,0)</f>
        <v>1</v>
      </c>
      <c r="O6" s="14">
        <f>IF(LOWER(I6)=LOWER(Aina!N6),1,0)</f>
        <v>1</v>
      </c>
      <c r="P6" s="14">
        <f>IF(LOWER(I6)=LOWER(Kappa!Y8),1,0)</f>
        <v>1</v>
      </c>
      <c r="R6" s="109">
        <f t="shared" si="3"/>
        <v>0.1363636364</v>
      </c>
      <c r="S6" s="14" t="s">
        <v>2412</v>
      </c>
      <c r="T6" s="14">
        <v>6.0</v>
      </c>
      <c r="U6" s="14">
        <v>0.0</v>
      </c>
      <c r="V6" s="110">
        <v>0.0</v>
      </c>
      <c r="W6" s="14">
        <v>0.0</v>
      </c>
      <c r="X6" s="111">
        <f t="shared" ref="X6:Z6" si="6">U6/$T6</f>
        <v>0</v>
      </c>
      <c r="Y6" s="111">
        <f t="shared" si="6"/>
        <v>0</v>
      </c>
      <c r="Z6" s="111">
        <f t="shared" si="6"/>
        <v>0</v>
      </c>
    </row>
    <row r="7">
      <c r="A7" s="15" t="s">
        <v>97</v>
      </c>
      <c r="B7" s="15" t="s">
        <v>45</v>
      </c>
      <c r="C7" s="15" t="s">
        <v>98</v>
      </c>
      <c r="G7" s="15" t="s">
        <v>48</v>
      </c>
      <c r="H7" s="107" t="s">
        <v>99</v>
      </c>
      <c r="I7" s="15" t="s">
        <v>2403</v>
      </c>
      <c r="J7" s="15"/>
      <c r="M7" s="14" t="str">
        <f t="shared" si="1"/>
        <v>academia</v>
      </c>
      <c r="N7" s="14">
        <f>IF(LOWER(I7)=LOWER(Maria!L7),1,0)</f>
        <v>0</v>
      </c>
      <c r="O7" s="14">
        <f>IF(LOWER(I7)=LOWER(Aina!N7),1,0)</f>
        <v>0</v>
      </c>
      <c r="P7" s="14">
        <f>IF(LOWER(I7)=LOWER(Kappa!Y9),1,0)</f>
        <v>0</v>
      </c>
      <c r="R7" s="109">
        <f t="shared" si="3"/>
        <v>0.1818181818</v>
      </c>
      <c r="S7" s="14" t="s">
        <v>77</v>
      </c>
      <c r="T7" s="14">
        <v>8.0</v>
      </c>
      <c r="U7" s="14">
        <v>4.0</v>
      </c>
      <c r="V7" s="110">
        <v>6.0</v>
      </c>
      <c r="W7" s="14">
        <v>8.0</v>
      </c>
      <c r="X7" s="111">
        <f t="shared" ref="X7:Z7" si="7">U7/$T7</f>
        <v>0.5</v>
      </c>
      <c r="Y7" s="111">
        <f t="shared" si="7"/>
        <v>0.75</v>
      </c>
      <c r="Z7" s="111">
        <f t="shared" si="7"/>
        <v>1</v>
      </c>
    </row>
    <row r="8">
      <c r="A8" s="15" t="s">
        <v>100</v>
      </c>
      <c r="B8" s="15" t="s">
        <v>101</v>
      </c>
      <c r="C8" s="15" t="s">
        <v>102</v>
      </c>
      <c r="G8" s="15" t="s">
        <v>83</v>
      </c>
      <c r="H8" s="107" t="s">
        <v>104</v>
      </c>
      <c r="I8" s="15" t="s">
        <v>2409</v>
      </c>
      <c r="J8" s="15"/>
      <c r="M8" s="14" t="str">
        <f t="shared" si="1"/>
        <v>international organisation</v>
      </c>
      <c r="N8" s="14">
        <f>IF(LOWER(I8)=LOWER(Maria!L8),1,0)</f>
        <v>1</v>
      </c>
      <c r="O8" s="14">
        <f>IF(LOWER(I8)=LOWER(Aina!N8),1,0)</f>
        <v>1</v>
      </c>
      <c r="P8" s="14">
        <f>IF(LOWER(I8)=LOWER(Kappa!Y10),1,0)</f>
        <v>1</v>
      </c>
      <c r="R8" s="109">
        <f t="shared" si="3"/>
        <v>0.1136363636</v>
      </c>
      <c r="S8" s="14" t="s">
        <v>95</v>
      </c>
      <c r="T8" s="14">
        <v>5.0</v>
      </c>
      <c r="U8" s="14">
        <v>2.0</v>
      </c>
      <c r="V8" s="110">
        <v>2.0</v>
      </c>
      <c r="W8" s="14">
        <v>2.0</v>
      </c>
      <c r="X8" s="111">
        <f t="shared" ref="X8:Z8" si="8">U8/$T8</f>
        <v>0.4</v>
      </c>
      <c r="Y8" s="111">
        <f t="shared" si="8"/>
        <v>0.4</v>
      </c>
      <c r="Z8" s="111">
        <f t="shared" si="8"/>
        <v>0.4</v>
      </c>
    </row>
    <row r="9">
      <c r="A9" s="108" t="s">
        <v>107</v>
      </c>
      <c r="B9" s="108" t="s">
        <v>108</v>
      </c>
      <c r="C9" s="108" t="s">
        <v>109</v>
      </c>
      <c r="D9" s="108"/>
      <c r="E9" s="108"/>
      <c r="G9" s="108" t="s">
        <v>78</v>
      </c>
      <c r="H9" s="107" t="s">
        <v>110</v>
      </c>
      <c r="I9" s="15" t="s">
        <v>2413</v>
      </c>
      <c r="J9" s="108"/>
      <c r="K9" s="15" t="s">
        <v>2414</v>
      </c>
      <c r="M9" s="14" t="str">
        <f t="shared" si="1"/>
        <v>multistakeholders</v>
      </c>
      <c r="N9" s="14">
        <f>IF(LOWER(I9)=LOWER(Maria!L9),1,0)</f>
        <v>0</v>
      </c>
      <c r="O9" s="14">
        <f>IF(LOWER(I9)=LOWER(Aina!N9),1,0)</f>
        <v>0</v>
      </c>
      <c r="P9" s="14">
        <f>IF(LOWER(I9)=LOWER(Kappa!Y11),1,0)</f>
        <v>0</v>
      </c>
      <c r="S9" s="14" t="s">
        <v>2400</v>
      </c>
      <c r="T9" s="14">
        <v>44.0</v>
      </c>
      <c r="U9" s="14">
        <v>23.0</v>
      </c>
      <c r="V9" s="112">
        <v>28.0</v>
      </c>
      <c r="W9" s="14">
        <v>30.0</v>
      </c>
      <c r="X9" s="111">
        <f t="shared" ref="X9:Z9" si="9">U9/$T9</f>
        <v>0.5227272727</v>
      </c>
      <c r="Y9" s="111">
        <f t="shared" si="9"/>
        <v>0.6363636364</v>
      </c>
      <c r="Z9" s="111">
        <f t="shared" si="9"/>
        <v>0.6818181818</v>
      </c>
    </row>
    <row r="10">
      <c r="A10" s="15" t="s">
        <v>112</v>
      </c>
      <c r="B10" s="15" t="s">
        <v>113</v>
      </c>
      <c r="C10" s="15" t="s">
        <v>114</v>
      </c>
      <c r="D10" s="108"/>
      <c r="E10" s="108"/>
      <c r="G10" s="15" t="s">
        <v>115</v>
      </c>
      <c r="H10" s="77"/>
      <c r="I10" s="15" t="s">
        <v>2415</v>
      </c>
      <c r="J10" s="108"/>
      <c r="M10" s="14" t="str">
        <f t="shared" si="1"/>
        <v>private sector</v>
      </c>
      <c r="N10" s="14">
        <f>IF(LOWER(I10)=LOWER(Maria!L10),1,0)</f>
        <v>1</v>
      </c>
      <c r="O10" s="14">
        <f>IF(LOWER(I10)=LOWER(Aina!N10),1,0)</f>
        <v>1</v>
      </c>
      <c r="P10" s="14">
        <f>IF(LOWER(I10)=LOWER(Kappa!Y12),1,0)</f>
        <v>1</v>
      </c>
    </row>
    <row r="11">
      <c r="A11" s="15" t="s">
        <v>120</v>
      </c>
      <c r="B11" s="15" t="s">
        <v>121</v>
      </c>
      <c r="C11" s="15" t="s">
        <v>122</v>
      </c>
      <c r="D11" s="108"/>
      <c r="E11" s="108"/>
      <c r="G11" s="15" t="s">
        <v>83</v>
      </c>
      <c r="H11" s="107" t="s">
        <v>123</v>
      </c>
      <c r="I11" s="15" t="s">
        <v>2416</v>
      </c>
      <c r="J11" s="108"/>
      <c r="K11" s="15" t="s">
        <v>2417</v>
      </c>
      <c r="M11" s="14" t="str">
        <f t="shared" si="1"/>
        <v>multistakeholders</v>
      </c>
      <c r="N11" s="14">
        <f>IF(LOWER(I11)=LOWER(Maria!L11),1,0)</f>
        <v>0</v>
      </c>
      <c r="O11" s="14">
        <f>IF(LOWER(I11)=LOWER(Aina!N11),1,0)</f>
        <v>0</v>
      </c>
      <c r="P11" s="14">
        <f>IF(LOWER(I11)=LOWER(Kappa!Y13),1,0)</f>
        <v>0</v>
      </c>
    </row>
    <row r="12">
      <c r="A12" s="108" t="s">
        <v>133</v>
      </c>
      <c r="B12" s="108" t="s">
        <v>134</v>
      </c>
      <c r="C12" s="108" t="s">
        <v>135</v>
      </c>
      <c r="D12" s="108"/>
      <c r="E12" s="108"/>
      <c r="G12" s="108" t="s">
        <v>78</v>
      </c>
      <c r="H12" s="107" t="s">
        <v>99</v>
      </c>
      <c r="I12" s="15" t="s">
        <v>2403</v>
      </c>
      <c r="J12" s="15"/>
      <c r="K12" s="15" t="s">
        <v>2418</v>
      </c>
      <c r="L12" s="108"/>
      <c r="M12" s="14" t="str">
        <f t="shared" si="1"/>
        <v>academia</v>
      </c>
      <c r="N12" s="14">
        <f>IF(LOWER(I12)=LOWER(Maria!L12),1,0)</f>
        <v>0</v>
      </c>
      <c r="O12" s="14">
        <f>IF(LOWER(I12)=LOWER(Aina!N12),1,0)</f>
        <v>1</v>
      </c>
      <c r="P12" s="14">
        <f>IF(LOWER(I12)=LOWER(Kappa!Y14),1,0)</f>
        <v>0</v>
      </c>
    </row>
    <row r="13">
      <c r="A13" s="108" t="s">
        <v>137</v>
      </c>
      <c r="B13" s="108" t="s">
        <v>138</v>
      </c>
      <c r="C13" s="108" t="s">
        <v>139</v>
      </c>
      <c r="D13" s="108"/>
      <c r="E13" s="108"/>
      <c r="G13" s="108" t="s">
        <v>132</v>
      </c>
      <c r="H13" s="107" t="s">
        <v>141</v>
      </c>
      <c r="I13" s="15" t="s">
        <v>2415</v>
      </c>
      <c r="J13" s="108"/>
      <c r="M13" s="14" t="str">
        <f t="shared" si="1"/>
        <v>private sector</v>
      </c>
      <c r="N13" s="14">
        <f>IF(LOWER(I13)=LOWER(Maria!L13),1,0)</f>
        <v>0</v>
      </c>
      <c r="O13" s="14">
        <f>IF(LOWER(I13)=LOWER(Aina!N13),1,0)</f>
        <v>0</v>
      </c>
      <c r="P13" s="14">
        <f>IF(LOWER(I13)=LOWER(Kappa!Y15),1,0)</f>
        <v>0</v>
      </c>
    </row>
    <row r="14">
      <c r="A14" s="15" t="s">
        <v>142</v>
      </c>
      <c r="B14" s="15" t="s">
        <v>134</v>
      </c>
      <c r="C14" s="15" t="s">
        <v>143</v>
      </c>
      <c r="G14" s="15" t="s">
        <v>78</v>
      </c>
      <c r="H14" s="107" t="s">
        <v>64</v>
      </c>
      <c r="I14" s="15" t="s">
        <v>2403</v>
      </c>
      <c r="M14" s="14" t="str">
        <f t="shared" si="1"/>
        <v>academia</v>
      </c>
      <c r="N14" s="14">
        <f>IF(LOWER(I14)=LOWER(Maria!L14),1,0)</f>
        <v>0</v>
      </c>
      <c r="O14" s="14">
        <f>IF(LOWER(I14)=LOWER(Aina!N14),1,0)</f>
        <v>0</v>
      </c>
      <c r="P14" s="14">
        <f>IF(LOWER(I14)=LOWER(Kappa!Y16),1,0)</f>
        <v>0</v>
      </c>
    </row>
    <row r="15">
      <c r="A15" s="108" t="s">
        <v>144</v>
      </c>
      <c r="B15" s="108" t="s">
        <v>145</v>
      </c>
      <c r="C15" s="15" t="s">
        <v>146</v>
      </c>
      <c r="D15" s="108"/>
      <c r="E15" s="108"/>
      <c r="G15" s="108" t="s">
        <v>78</v>
      </c>
      <c r="H15" s="107" t="s">
        <v>147</v>
      </c>
      <c r="I15" s="15" t="s">
        <v>2403</v>
      </c>
      <c r="J15" s="108"/>
      <c r="M15" s="14" t="str">
        <f t="shared" si="1"/>
        <v>academia</v>
      </c>
      <c r="N15" s="14">
        <f>IF(LOWER(I15)=LOWER(Maria!L15),1,0)</f>
        <v>1</v>
      </c>
      <c r="O15" s="14">
        <f>IF(LOWER(I15)=LOWER(Aina!N15),1,0)</f>
        <v>1</v>
      </c>
      <c r="P15" s="14">
        <f>IF(LOWER(I15)=LOWER(Kappa!Y17),1,0)</f>
        <v>1</v>
      </c>
    </row>
    <row r="16">
      <c r="A16" s="108" t="s">
        <v>148</v>
      </c>
      <c r="B16" s="15" t="s">
        <v>149</v>
      </c>
      <c r="C16" s="108" t="s">
        <v>150</v>
      </c>
      <c r="D16" s="108"/>
      <c r="E16" s="108"/>
      <c r="G16" s="108" t="s">
        <v>83</v>
      </c>
      <c r="H16" s="107" t="s">
        <v>151</v>
      </c>
      <c r="I16" s="15" t="s">
        <v>2409</v>
      </c>
      <c r="J16" s="15"/>
      <c r="M16" s="14" t="str">
        <f t="shared" si="1"/>
        <v>international organisation</v>
      </c>
      <c r="N16" s="14">
        <f>IF(LOWER(I16)=LOWER(Maria!L16),1,0)</f>
        <v>1</v>
      </c>
      <c r="O16" s="14">
        <f>IF(LOWER(I16)=LOWER(Aina!N16),1,0)</f>
        <v>1</v>
      </c>
      <c r="P16" s="14">
        <f>IF(LOWER(I16)=LOWER(Kappa!Y18),1,0)</f>
        <v>1</v>
      </c>
    </row>
    <row r="17">
      <c r="A17" s="15" t="s">
        <v>153</v>
      </c>
      <c r="B17" s="15" t="s">
        <v>154</v>
      </c>
      <c r="C17" s="15" t="s">
        <v>155</v>
      </c>
      <c r="D17" s="15" t="s">
        <v>156</v>
      </c>
      <c r="E17" s="108" t="s">
        <v>157</v>
      </c>
      <c r="G17" s="108" t="s">
        <v>158</v>
      </c>
      <c r="H17" s="107" t="s">
        <v>159</v>
      </c>
      <c r="I17" s="15" t="s">
        <v>2403</v>
      </c>
      <c r="J17" s="108"/>
      <c r="M17" s="14" t="str">
        <f t="shared" si="1"/>
        <v>academia</v>
      </c>
      <c r="N17" s="14">
        <f>IF(LOWER(I17)=LOWER(Maria!L17),1,0)</f>
        <v>1</v>
      </c>
      <c r="O17" s="14">
        <f>IF(LOWER(I17)=LOWER(Aina!N17),1,0)</f>
        <v>1</v>
      </c>
      <c r="P17" s="14">
        <f>IF(LOWER(I17)=LOWER(Kappa!Y19),1,0)</f>
        <v>1</v>
      </c>
    </row>
    <row r="18">
      <c r="A18" s="108" t="s">
        <v>160</v>
      </c>
      <c r="B18" s="108" t="s">
        <v>161</v>
      </c>
      <c r="C18" s="15" t="s">
        <v>162</v>
      </c>
      <c r="D18" s="108"/>
      <c r="E18" s="108"/>
      <c r="G18" s="108" t="s">
        <v>78</v>
      </c>
      <c r="H18" s="107" t="s">
        <v>163</v>
      </c>
      <c r="I18" s="15" t="s">
        <v>2419</v>
      </c>
      <c r="J18" s="108"/>
      <c r="M18" s="14" t="str">
        <f t="shared" si="1"/>
        <v>civil society</v>
      </c>
      <c r="N18" s="14">
        <f>IF(LOWER(I18)=LOWER(Maria!L18),1,0)</f>
        <v>0</v>
      </c>
      <c r="O18" s="14">
        <f>IF(LOWER(I18)=LOWER(Aina!N18),1,0)</f>
        <v>1</v>
      </c>
      <c r="P18" s="14">
        <f>IF(LOWER(I18)=LOWER(Kappa!Y20),1,0)</f>
        <v>0</v>
      </c>
    </row>
    <row r="19">
      <c r="A19" s="108" t="s">
        <v>164</v>
      </c>
      <c r="B19" s="108" t="s">
        <v>165</v>
      </c>
      <c r="C19" s="108" t="s">
        <v>166</v>
      </c>
      <c r="D19" s="108"/>
      <c r="E19" s="108"/>
      <c r="G19" s="108" t="s">
        <v>78</v>
      </c>
      <c r="H19" s="107" t="s">
        <v>167</v>
      </c>
      <c r="I19" s="15" t="s">
        <v>2410</v>
      </c>
      <c r="J19" s="108"/>
      <c r="L19" s="108"/>
      <c r="M19" s="14" t="str">
        <f t="shared" si="1"/>
        <v>national authority</v>
      </c>
      <c r="N19" s="14">
        <f>IF(LOWER(I19)=LOWER(Maria!L19),1,0)</f>
        <v>0</v>
      </c>
      <c r="O19" s="14">
        <f>IF(LOWER(I19)=LOWER(Aina!N19),1,0)</f>
        <v>0</v>
      </c>
      <c r="P19" s="14">
        <f>IF(LOWER(I19)=LOWER(Kappa!Y21),1,0)</f>
        <v>1</v>
      </c>
    </row>
    <row r="20">
      <c r="A20" s="108" t="s">
        <v>168</v>
      </c>
      <c r="B20" s="108" t="s">
        <v>169</v>
      </c>
      <c r="C20" s="15" t="s">
        <v>170</v>
      </c>
      <c r="D20" s="108"/>
      <c r="E20" s="108"/>
      <c r="G20" s="108" t="s">
        <v>48</v>
      </c>
      <c r="H20" s="107" t="s">
        <v>172</v>
      </c>
      <c r="I20" s="15" t="s">
        <v>2420</v>
      </c>
      <c r="J20" s="15"/>
      <c r="K20" s="15" t="s">
        <v>2421</v>
      </c>
      <c r="M20" s="14" t="str">
        <f t="shared" si="1"/>
        <v>multistakeholders</v>
      </c>
      <c r="N20" s="14">
        <f>IF(LOWER(I20)=LOWER(Maria!L20),1,0)</f>
        <v>0</v>
      </c>
      <c r="O20" s="14">
        <f>IF(LOWER(I20)=LOWER(Aina!N20),1,0)</f>
        <v>0</v>
      </c>
      <c r="P20" s="14">
        <f>IF(LOWER(I20)=LOWER(Kappa!Y22),1,0)</f>
        <v>0</v>
      </c>
    </row>
    <row r="21">
      <c r="A21" s="15" t="s">
        <v>173</v>
      </c>
      <c r="B21" s="15" t="s">
        <v>174</v>
      </c>
      <c r="C21" s="15" t="s">
        <v>175</v>
      </c>
      <c r="G21" s="15" t="s">
        <v>78</v>
      </c>
      <c r="H21" s="107" t="s">
        <v>176</v>
      </c>
      <c r="I21" s="15" t="s">
        <v>2410</v>
      </c>
      <c r="J21" s="15"/>
      <c r="M21" s="14" t="str">
        <f t="shared" si="1"/>
        <v>national authority</v>
      </c>
      <c r="N21" s="14">
        <f>IF(LOWER(I21)=LOWER(Maria!L21),1,0)</f>
        <v>0</v>
      </c>
      <c r="O21" s="14">
        <f>IF(LOWER(I21)=LOWER(Aina!N21),1,0)</f>
        <v>1</v>
      </c>
      <c r="P21" s="14">
        <f>IF(LOWER(I21)=LOWER(Kappa!Y23),1,0)</f>
        <v>1</v>
      </c>
    </row>
    <row r="22">
      <c r="A22" s="15" t="s">
        <v>177</v>
      </c>
      <c r="B22" s="15" t="s">
        <v>178</v>
      </c>
      <c r="C22" s="15" t="s">
        <v>179</v>
      </c>
      <c r="G22" s="15" t="s">
        <v>83</v>
      </c>
      <c r="H22" s="107" t="s">
        <v>180</v>
      </c>
      <c r="I22" s="15" t="s">
        <v>2409</v>
      </c>
      <c r="M22" s="14" t="str">
        <f t="shared" si="1"/>
        <v>international organisation</v>
      </c>
      <c r="N22" s="14">
        <f>IF(LOWER(I22)=LOWER(Maria!L22),1,0)</f>
        <v>1</v>
      </c>
      <c r="O22" s="14">
        <f>IF(LOWER(I22)=LOWER(Aina!N22),1,0)</f>
        <v>1</v>
      </c>
      <c r="P22" s="14">
        <f>IF(LOWER(I22)=LOWER(Kappa!Y24),1,0)</f>
        <v>1</v>
      </c>
    </row>
    <row r="23">
      <c r="A23" s="15" t="s">
        <v>182</v>
      </c>
      <c r="B23" s="15" t="s">
        <v>183</v>
      </c>
      <c r="C23" s="15" t="s">
        <v>184</v>
      </c>
      <c r="G23" s="15" t="s">
        <v>38</v>
      </c>
      <c r="H23" s="107" t="s">
        <v>185</v>
      </c>
      <c r="I23" s="15" t="s">
        <v>2403</v>
      </c>
      <c r="M23" s="14" t="str">
        <f t="shared" si="1"/>
        <v>academia</v>
      </c>
      <c r="N23" s="14">
        <f>IF(LOWER(I23)=LOWER(Maria!L23),1,0)</f>
        <v>0</v>
      </c>
      <c r="O23" s="14">
        <f>IF(LOWER(I23)=LOWER(Aina!N23),1,0)</f>
        <v>0</v>
      </c>
      <c r="P23" s="14">
        <f>IF(LOWER(I23)=LOWER(Kappa!Y25),1,0)</f>
        <v>1</v>
      </c>
    </row>
    <row r="24">
      <c r="A24" s="108" t="s">
        <v>186</v>
      </c>
      <c r="B24" s="108" t="s">
        <v>187</v>
      </c>
      <c r="C24" s="108" t="s">
        <v>188</v>
      </c>
      <c r="D24" s="108"/>
      <c r="E24" s="108"/>
      <c r="G24" s="108" t="s">
        <v>48</v>
      </c>
      <c r="H24" s="107" t="s">
        <v>189</v>
      </c>
      <c r="I24" s="15" t="s">
        <v>2410</v>
      </c>
      <c r="J24" s="108"/>
      <c r="M24" s="14" t="str">
        <f t="shared" si="1"/>
        <v>national authority</v>
      </c>
      <c r="N24" s="14">
        <f>IF(LOWER(I24)=LOWER(Maria!L24),1,0)</f>
        <v>1</v>
      </c>
      <c r="O24" s="14">
        <f>IF(LOWER(I24)=LOWER(Aina!N24),1,0)</f>
        <v>1</v>
      </c>
      <c r="P24" s="14">
        <f>IF(LOWER(I24)=LOWER(Kappa!Y26),1,0)</f>
        <v>1</v>
      </c>
    </row>
    <row r="25">
      <c r="A25" s="108" t="s">
        <v>190</v>
      </c>
      <c r="B25" s="108" t="s">
        <v>169</v>
      </c>
      <c r="C25" s="15" t="s">
        <v>191</v>
      </c>
      <c r="D25" s="108"/>
      <c r="E25" s="108"/>
      <c r="G25" s="108" t="s">
        <v>48</v>
      </c>
      <c r="H25" s="107" t="s">
        <v>192</v>
      </c>
      <c r="I25" s="15" t="s">
        <v>2420</v>
      </c>
      <c r="J25" s="15"/>
      <c r="M25" s="14" t="str">
        <f t="shared" si="1"/>
        <v>multistakeholders</v>
      </c>
      <c r="N25" s="14">
        <f>IF(LOWER(I25)=LOWER(Maria!L25),1,0)</f>
        <v>0</v>
      </c>
      <c r="O25" s="14">
        <f>IF(LOWER(I25)=LOWER(Aina!N25),1,0)</f>
        <v>0</v>
      </c>
      <c r="P25" s="14">
        <f>IF(LOWER(I25)=LOWER(Kappa!Y27),1,0)</f>
        <v>0</v>
      </c>
    </row>
    <row r="26">
      <c r="A26" s="108" t="s">
        <v>201</v>
      </c>
      <c r="B26" s="108" t="s">
        <v>202</v>
      </c>
      <c r="C26" s="15" t="s">
        <v>203</v>
      </c>
      <c r="D26" s="108"/>
      <c r="E26" s="108"/>
      <c r="G26" s="108" t="s">
        <v>204</v>
      </c>
      <c r="H26" s="107" t="s">
        <v>99</v>
      </c>
      <c r="I26" s="15" t="s">
        <v>2410</v>
      </c>
      <c r="J26" s="15"/>
      <c r="L26" s="108"/>
      <c r="M26" s="14" t="str">
        <f t="shared" si="1"/>
        <v>national authority</v>
      </c>
      <c r="N26" s="14">
        <f>IF(LOWER(I26)=LOWER(Maria!L26),1,0)</f>
        <v>0</v>
      </c>
      <c r="O26" s="14">
        <f>IF(LOWER(I26)=LOWER(Aina!N26),1,0)</f>
        <v>0</v>
      </c>
      <c r="P26" s="14">
        <f>IF(LOWER(I26)=LOWER(Kappa!Y28),1,0)</f>
        <v>1</v>
      </c>
    </row>
    <row r="27">
      <c r="A27" s="15" t="s">
        <v>205</v>
      </c>
      <c r="B27" s="15" t="s">
        <v>206</v>
      </c>
      <c r="C27" s="15" t="s">
        <v>207</v>
      </c>
      <c r="D27" s="108"/>
      <c r="E27" s="108"/>
      <c r="G27" s="108" t="s">
        <v>48</v>
      </c>
      <c r="H27" s="107" t="s">
        <v>208</v>
      </c>
      <c r="I27" s="15" t="s">
        <v>2419</v>
      </c>
      <c r="J27" s="15"/>
      <c r="L27" s="108"/>
      <c r="M27" s="14" t="str">
        <f t="shared" si="1"/>
        <v>civil society</v>
      </c>
      <c r="N27" s="14">
        <f>IF(LOWER(I27)=LOWER(Maria!L27),1,0)</f>
        <v>1</v>
      </c>
      <c r="O27" s="14">
        <f>IF(LOWER(I27)=LOWER(Aina!N27),1,0)</f>
        <v>1</v>
      </c>
      <c r="P27" s="14">
        <f>IF(LOWER(I27)=LOWER(Kappa!Y29),1,0)</f>
        <v>1</v>
      </c>
    </row>
    <row r="28">
      <c r="A28" s="108" t="s">
        <v>209</v>
      </c>
      <c r="B28" s="108" t="s">
        <v>210</v>
      </c>
      <c r="C28" s="108" t="s">
        <v>211</v>
      </c>
      <c r="D28" s="108"/>
      <c r="E28" s="108"/>
      <c r="G28" s="108" t="s">
        <v>38</v>
      </c>
      <c r="H28" s="107" t="s">
        <v>212</v>
      </c>
      <c r="I28" s="15" t="s">
        <v>2415</v>
      </c>
      <c r="J28" s="108"/>
      <c r="M28" s="14" t="str">
        <f t="shared" si="1"/>
        <v>private sector</v>
      </c>
      <c r="N28" s="14">
        <f>IF(LOWER(I28)=LOWER(Maria!L28),1,0)</f>
        <v>0</v>
      </c>
      <c r="O28" s="14">
        <f>IF(LOWER(I28)=LOWER(Aina!N28),1,0)</f>
        <v>0</v>
      </c>
      <c r="P28" s="14">
        <f>IF(LOWER(I28)=LOWER(Kappa!Y30),1,0)</f>
        <v>0</v>
      </c>
    </row>
    <row r="29">
      <c r="A29" s="108" t="s">
        <v>216</v>
      </c>
      <c r="B29" s="108" t="s">
        <v>217</v>
      </c>
      <c r="C29" s="108" t="s">
        <v>218</v>
      </c>
      <c r="D29" s="108"/>
      <c r="E29" s="108"/>
      <c r="G29" s="108" t="s">
        <v>38</v>
      </c>
      <c r="H29" s="107" t="s">
        <v>219</v>
      </c>
      <c r="I29" s="15" t="s">
        <v>2409</v>
      </c>
      <c r="J29" s="108"/>
      <c r="L29" s="108"/>
      <c r="M29" s="14" t="str">
        <f t="shared" si="1"/>
        <v>international organisation</v>
      </c>
      <c r="N29" s="14">
        <f>IF(LOWER(I29)=LOWER(Maria!L29),1,0)</f>
        <v>0</v>
      </c>
      <c r="O29" s="14">
        <f>IF(LOWER(I29)=LOWER(Aina!N29),1,0)</f>
        <v>1</v>
      </c>
      <c r="P29" s="14">
        <f>IF(LOWER(I29)=LOWER(Kappa!Y31),1,0)</f>
        <v>1</v>
      </c>
    </row>
    <row r="30">
      <c r="A30" s="15" t="s">
        <v>223</v>
      </c>
      <c r="B30" s="15" t="s">
        <v>117</v>
      </c>
      <c r="C30" s="15" t="s">
        <v>224</v>
      </c>
      <c r="G30" s="15" t="s">
        <v>48</v>
      </c>
      <c r="H30" s="107" t="s">
        <v>225</v>
      </c>
      <c r="I30" s="15" t="s">
        <v>2420</v>
      </c>
      <c r="M30" s="14" t="str">
        <f t="shared" si="1"/>
        <v>multistakeholders</v>
      </c>
      <c r="N30" s="14">
        <f>IF(LOWER(I30)=LOWER(Maria!L30),1,0)</f>
        <v>0</v>
      </c>
      <c r="O30" s="14">
        <f>IF(LOWER(I30)=LOWER(Aina!N30),1,0)</f>
        <v>0</v>
      </c>
      <c r="P30" s="14">
        <f>IF(LOWER(I30)=LOWER(Kappa!Y32),1,0)</f>
        <v>0</v>
      </c>
    </row>
    <row r="31">
      <c r="A31" s="15" t="s">
        <v>226</v>
      </c>
      <c r="B31" s="15" t="s">
        <v>227</v>
      </c>
      <c r="C31" s="15" t="s">
        <v>228</v>
      </c>
      <c r="G31" s="15" t="s">
        <v>83</v>
      </c>
      <c r="H31" s="107" t="s">
        <v>229</v>
      </c>
      <c r="I31" s="15" t="s">
        <v>2409</v>
      </c>
      <c r="M31" s="14" t="str">
        <f t="shared" si="1"/>
        <v>international organisation</v>
      </c>
      <c r="N31" s="14">
        <f>IF(LOWER(I31)=LOWER(Maria!L31),1,0)</f>
        <v>1</v>
      </c>
      <c r="O31" s="14">
        <f>IF(LOWER(I31)=LOWER(Aina!N31),1,0)</f>
        <v>1</v>
      </c>
      <c r="P31" s="14">
        <f>IF(LOWER(I31)=LOWER(Kappa!Y33),1,0)</f>
        <v>1</v>
      </c>
    </row>
    <row r="32">
      <c r="A32" s="108" t="s">
        <v>230</v>
      </c>
      <c r="B32" s="108" t="s">
        <v>231</v>
      </c>
      <c r="C32" s="15" t="s">
        <v>232</v>
      </c>
      <c r="D32" s="108"/>
      <c r="E32" s="108"/>
      <c r="G32" s="108" t="s">
        <v>233</v>
      </c>
      <c r="H32" s="107" t="s">
        <v>234</v>
      </c>
      <c r="I32" s="15" t="s">
        <v>2422</v>
      </c>
      <c r="J32" s="108"/>
      <c r="M32" s="14" t="str">
        <f t="shared" si="1"/>
        <v>multistakeholders</v>
      </c>
      <c r="N32" s="14">
        <f>IF(LOWER(I32)=LOWER(Maria!L32),1,0)</f>
        <v>0</v>
      </c>
      <c r="O32" s="14">
        <f>IF(LOWER(I32)=LOWER(Aina!N32),1,0)</f>
        <v>0</v>
      </c>
      <c r="P32" s="14">
        <f>IF(LOWER(I32)=LOWER(Kappa!Y34),1,0)</f>
        <v>0</v>
      </c>
    </row>
    <row r="33">
      <c r="A33" s="108" t="s">
        <v>236</v>
      </c>
      <c r="B33" s="108" t="s">
        <v>237</v>
      </c>
      <c r="C33" s="15" t="s">
        <v>238</v>
      </c>
      <c r="D33" s="15" t="s">
        <v>29</v>
      </c>
      <c r="E33" s="15" t="s">
        <v>29</v>
      </c>
      <c r="G33" s="108" t="s">
        <v>48</v>
      </c>
      <c r="H33" s="107" t="s">
        <v>239</v>
      </c>
      <c r="I33" s="15" t="s">
        <v>2415</v>
      </c>
      <c r="J33" s="108"/>
      <c r="L33" s="108"/>
      <c r="M33" s="14" t="str">
        <f t="shared" si="1"/>
        <v>private sector</v>
      </c>
      <c r="N33" s="14">
        <f>IF(LOWER(I33)=LOWER(Maria!L33),1,0)</f>
        <v>1</v>
      </c>
      <c r="O33" s="14">
        <f>IF(LOWER(I33)=LOWER(Aina!N33),1,0)</f>
        <v>1</v>
      </c>
      <c r="P33" s="14">
        <f>IF(LOWER(I33)=LOWER(Kappa!Y35),1,0)</f>
        <v>1</v>
      </c>
    </row>
    <row r="34">
      <c r="A34" s="15" t="s">
        <v>241</v>
      </c>
      <c r="B34" s="15" t="s">
        <v>242</v>
      </c>
      <c r="C34" s="15" t="s">
        <v>243</v>
      </c>
      <c r="D34" s="108"/>
      <c r="E34" s="108"/>
      <c r="G34" s="15" t="s">
        <v>48</v>
      </c>
      <c r="H34" s="107" t="s">
        <v>244</v>
      </c>
      <c r="I34" s="15" t="s">
        <v>2419</v>
      </c>
      <c r="J34" s="15"/>
      <c r="M34" s="14" t="str">
        <f t="shared" si="1"/>
        <v>civil society</v>
      </c>
      <c r="N34" s="14">
        <f>IF(LOWER(I34)=LOWER(Maria!L34),1,0)</f>
        <v>1</v>
      </c>
      <c r="O34" s="14">
        <f>IF(LOWER(I34)=LOWER(Aina!N34),1,0)</f>
        <v>1</v>
      </c>
      <c r="P34" s="14">
        <f>IF(LOWER(I34)=LOWER(Kappa!Y36),1,0)</f>
        <v>1</v>
      </c>
    </row>
    <row r="35">
      <c r="A35" s="15" t="s">
        <v>245</v>
      </c>
      <c r="B35" s="15" t="s">
        <v>242</v>
      </c>
      <c r="C35" s="15" t="s">
        <v>246</v>
      </c>
      <c r="G35" s="15" t="s">
        <v>48</v>
      </c>
      <c r="H35" s="107" t="s">
        <v>247</v>
      </c>
      <c r="I35" s="15" t="s">
        <v>2419</v>
      </c>
      <c r="J35" s="15"/>
      <c r="M35" s="14" t="str">
        <f t="shared" si="1"/>
        <v>civil society</v>
      </c>
      <c r="N35" s="14">
        <f>IF(LOWER(I35)=LOWER(Maria!L35),1,0)</f>
        <v>1</v>
      </c>
      <c r="O35" s="14">
        <f>IF(LOWER(I35)=LOWER(Aina!N35),1,0)</f>
        <v>1</v>
      </c>
      <c r="P35" s="14">
        <f>IF(LOWER(I35)=LOWER(Kappa!Y37),1,0)</f>
        <v>1</v>
      </c>
    </row>
    <row r="36">
      <c r="A36" s="108" t="s">
        <v>258</v>
      </c>
      <c r="B36" s="108" t="s">
        <v>259</v>
      </c>
      <c r="C36" s="108" t="s">
        <v>260</v>
      </c>
      <c r="D36" s="108"/>
      <c r="E36" s="108"/>
      <c r="G36" s="108" t="s">
        <v>132</v>
      </c>
      <c r="H36" s="107" t="s">
        <v>104</v>
      </c>
      <c r="I36" s="15" t="s">
        <v>2415</v>
      </c>
      <c r="J36" s="108"/>
      <c r="M36" s="14" t="str">
        <f t="shared" si="1"/>
        <v>private sector</v>
      </c>
      <c r="N36" s="14">
        <f>IF(LOWER(I36)=LOWER(Maria!L36),1,0)</f>
        <v>0</v>
      </c>
      <c r="O36" s="14">
        <f>IF(LOWER(I36)=LOWER(Aina!N36),1,0)</f>
        <v>0</v>
      </c>
      <c r="P36" s="14">
        <f>IF(LOWER(I36)=LOWER(Kappa!Y38),1,0)</f>
        <v>0</v>
      </c>
    </row>
    <row r="37">
      <c r="A37" s="108" t="s">
        <v>261</v>
      </c>
      <c r="B37" s="15" t="s">
        <v>262</v>
      </c>
      <c r="C37" s="15" t="s">
        <v>263</v>
      </c>
      <c r="D37" s="108"/>
      <c r="E37" s="108"/>
      <c r="G37" s="15" t="s">
        <v>264</v>
      </c>
      <c r="H37" s="107" t="s">
        <v>265</v>
      </c>
      <c r="I37" s="15" t="s">
        <v>2410</v>
      </c>
      <c r="J37" s="108"/>
      <c r="K37" s="15" t="s">
        <v>2423</v>
      </c>
      <c r="M37" s="14" t="str">
        <f t="shared" si="1"/>
        <v>national authority</v>
      </c>
      <c r="N37" s="14">
        <f>IF(LOWER(I37)=LOWER(Maria!L37),1,0)</f>
        <v>1</v>
      </c>
      <c r="O37" s="14">
        <f>IF(LOWER(I37)=LOWER(Aina!N37),1,0)</f>
        <v>1</v>
      </c>
      <c r="P37" s="14">
        <f>IF(LOWER(I37)=LOWER(Kappa!Y39),1,0)</f>
        <v>1</v>
      </c>
    </row>
    <row r="38">
      <c r="A38" s="15" t="s">
        <v>271</v>
      </c>
      <c r="B38" s="15" t="s">
        <v>272</v>
      </c>
      <c r="C38" s="15" t="s">
        <v>273</v>
      </c>
      <c r="G38" s="15" t="s">
        <v>83</v>
      </c>
      <c r="H38" s="107" t="s">
        <v>64</v>
      </c>
      <c r="I38" s="15" t="s">
        <v>2409</v>
      </c>
      <c r="J38" s="15"/>
      <c r="M38" s="14" t="str">
        <f t="shared" si="1"/>
        <v>international organisation</v>
      </c>
      <c r="N38" s="14">
        <f>IF(LOWER(I38)=LOWER(Maria!L38),1,0)</f>
        <v>0</v>
      </c>
      <c r="O38" s="14">
        <f>IF(LOWER(I38)=LOWER(Aina!N38),1,0)</f>
        <v>0</v>
      </c>
      <c r="P38" s="14">
        <f>IF(LOWER(I38)=LOWER(Kappa!Y40),1,0)</f>
        <v>1</v>
      </c>
    </row>
    <row r="39">
      <c r="A39" s="108" t="s">
        <v>277</v>
      </c>
      <c r="B39" s="108" t="s">
        <v>278</v>
      </c>
      <c r="C39" s="108" t="s">
        <v>279</v>
      </c>
      <c r="D39" s="108"/>
      <c r="E39" s="108"/>
      <c r="G39" s="108" t="s">
        <v>63</v>
      </c>
      <c r="H39" s="107" t="s">
        <v>280</v>
      </c>
      <c r="I39" s="15" t="s">
        <v>2424</v>
      </c>
      <c r="J39" s="108"/>
      <c r="M39" s="14" t="str">
        <f t="shared" si="1"/>
        <v>civil society</v>
      </c>
      <c r="N39" s="14">
        <f>IF(LOWER(I39)=LOWER(Maria!L39),1,0)</f>
        <v>0</v>
      </c>
      <c r="O39" s="14">
        <f>IF(LOWER(I39)=LOWER(Aina!N39),1,0)</f>
        <v>1</v>
      </c>
      <c r="P39" s="14">
        <f>IF(LOWER(I39)=LOWER(Kappa!Y41),1,0)</f>
        <v>1</v>
      </c>
    </row>
    <row r="40">
      <c r="A40" s="108" t="s">
        <v>285</v>
      </c>
      <c r="B40" s="108" t="s">
        <v>286</v>
      </c>
      <c r="C40" s="15" t="s">
        <v>287</v>
      </c>
      <c r="D40" s="108"/>
      <c r="E40" s="108"/>
      <c r="G40" s="108" t="s">
        <v>68</v>
      </c>
      <c r="H40" s="107" t="s">
        <v>99</v>
      </c>
      <c r="I40" s="15" t="s">
        <v>2410</v>
      </c>
      <c r="J40" s="108"/>
      <c r="M40" s="14" t="str">
        <f t="shared" si="1"/>
        <v>national authority</v>
      </c>
      <c r="N40" s="14">
        <f>IF(LOWER(I40)=LOWER(Maria!L40),1,0)</f>
        <v>0</v>
      </c>
      <c r="O40" s="14">
        <f>IF(LOWER(I40)=LOWER(Aina!N40),1,0)</f>
        <v>1</v>
      </c>
      <c r="P40" s="14">
        <f>IF(LOWER(I40)=LOWER(Kappa!Y42),1,0)</f>
        <v>1</v>
      </c>
    </row>
    <row r="41">
      <c r="A41" s="108" t="s">
        <v>296</v>
      </c>
      <c r="B41" s="108" t="s">
        <v>297</v>
      </c>
      <c r="C41" s="108" t="s">
        <v>298</v>
      </c>
      <c r="D41" s="15" t="s">
        <v>299</v>
      </c>
      <c r="E41" s="108"/>
      <c r="G41" s="108" t="s">
        <v>78</v>
      </c>
      <c r="H41" s="107" t="s">
        <v>99</v>
      </c>
      <c r="I41" s="15" t="s">
        <v>2424</v>
      </c>
      <c r="J41" s="15"/>
      <c r="M41" s="14" t="str">
        <f t="shared" si="1"/>
        <v>civil society</v>
      </c>
      <c r="N41" s="14">
        <f>IF(LOWER(I41)=LOWER(Maria!L41),1,0)</f>
        <v>1</v>
      </c>
      <c r="O41" s="14">
        <f>IF(LOWER(I41)=LOWER(Aina!N41),1,0)</f>
        <v>1</v>
      </c>
      <c r="P41" s="14">
        <f>IF(LOWER(I41)=LOWER(Kappa!Y43),1,0)</f>
        <v>1</v>
      </c>
    </row>
    <row r="42">
      <c r="A42" s="15" t="s">
        <v>309</v>
      </c>
      <c r="B42" s="15" t="s">
        <v>310</v>
      </c>
      <c r="C42" s="15" t="s">
        <v>311</v>
      </c>
      <c r="G42" s="15" t="s">
        <v>83</v>
      </c>
      <c r="H42" s="107" t="s">
        <v>312</v>
      </c>
      <c r="I42" s="15" t="s">
        <v>2409</v>
      </c>
      <c r="M42" s="14" t="str">
        <f t="shared" si="1"/>
        <v>international organisation</v>
      </c>
      <c r="N42" s="14">
        <f>IF(LOWER(I42)=LOWER(Maria!L42),1,0)</f>
        <v>1</v>
      </c>
      <c r="O42" s="14">
        <f>IF(LOWER(I42)=LOWER(Aina!N42),1,0)</f>
        <v>1</v>
      </c>
      <c r="P42" s="14">
        <f>IF(LOWER(I42)=LOWER(Kappa!Y44),1,0)</f>
        <v>1</v>
      </c>
    </row>
    <row r="43">
      <c r="A43" s="108" t="s">
        <v>314</v>
      </c>
      <c r="B43" s="108" t="s">
        <v>315</v>
      </c>
      <c r="C43" s="15" t="s">
        <v>316</v>
      </c>
      <c r="D43" s="108"/>
      <c r="E43" s="108"/>
      <c r="G43" s="108" t="s">
        <v>48</v>
      </c>
      <c r="H43" s="107" t="s">
        <v>64</v>
      </c>
      <c r="I43" s="15" t="s">
        <v>2419</v>
      </c>
      <c r="J43" s="108"/>
      <c r="M43" s="14" t="str">
        <f t="shared" si="1"/>
        <v>civil society</v>
      </c>
      <c r="N43" s="14">
        <f>IF(LOWER(I43)=LOWER(Maria!L43),1,0)</f>
        <v>1</v>
      </c>
      <c r="O43" s="14">
        <f>IF(LOWER(I43)=LOWER(Aina!N43),1,0)</f>
        <v>1</v>
      </c>
      <c r="P43" s="14">
        <f>IF(LOWER(I43)=LOWER(Kappa!Y45),1,0)</f>
        <v>1</v>
      </c>
    </row>
    <row r="44">
      <c r="A44" s="15" t="s">
        <v>317</v>
      </c>
      <c r="B44" s="15" t="s">
        <v>318</v>
      </c>
      <c r="C44" s="15" t="s">
        <v>319</v>
      </c>
      <c r="G44" s="15" t="s">
        <v>48</v>
      </c>
      <c r="H44" s="107" t="s">
        <v>320</v>
      </c>
      <c r="I44" s="15" t="s">
        <v>2410</v>
      </c>
      <c r="J44" s="15"/>
      <c r="M44" s="14" t="str">
        <f t="shared" si="1"/>
        <v>national authority</v>
      </c>
      <c r="N44" s="14">
        <f>IF(LOWER(I44)=LOWER(Maria!L44),1,0)</f>
        <v>1</v>
      </c>
      <c r="O44" s="14">
        <f>IF(LOWER(I44)=LOWER(Aina!N44),1,0)</f>
        <v>1</v>
      </c>
      <c r="P44" s="14">
        <f>IF(LOWER(I44)=LOWER(Kappa!Y46),1,0)</f>
        <v>1</v>
      </c>
    </row>
    <row r="45">
      <c r="A45" s="15" t="s">
        <v>326</v>
      </c>
      <c r="B45" s="15" t="s">
        <v>327</v>
      </c>
      <c r="C45" s="15" t="s">
        <v>328</v>
      </c>
      <c r="G45" s="15" t="s">
        <v>38</v>
      </c>
      <c r="H45" s="107" t="s">
        <v>329</v>
      </c>
      <c r="I45" s="15" t="s">
        <v>2409</v>
      </c>
      <c r="M45" s="14" t="str">
        <f t="shared" si="1"/>
        <v>international organisation</v>
      </c>
      <c r="N45" s="14">
        <f>IF(LOWER(I45)=LOWER(Maria!L45),1,0)</f>
        <v>1</v>
      </c>
      <c r="O45" s="14">
        <f>IF(LOWER(I45)=LOWER(Aina!N45),1,0)</f>
        <v>1</v>
      </c>
      <c r="P45" s="14">
        <f>IF(LOWER(I45)=LOWER(Kappa!Y47),1,0)</f>
        <v>1</v>
      </c>
    </row>
    <row r="48">
      <c r="A48" s="15" t="s">
        <v>62</v>
      </c>
    </row>
    <row r="49">
      <c r="A49" s="15" t="s">
        <v>95</v>
      </c>
    </row>
    <row r="50">
      <c r="A50" s="15" t="s">
        <v>2425</v>
      </c>
    </row>
    <row r="51">
      <c r="A51" s="15" t="s">
        <v>37</v>
      </c>
    </row>
    <row r="52">
      <c r="A52" s="15" t="s">
        <v>77</v>
      </c>
    </row>
  </sheetData>
  <conditionalFormatting sqref="X3:Z9">
    <cfRule type="colorScale" priority="1">
      <colorScale>
        <cfvo type="min"/>
        <cfvo type="percentile" val="50"/>
        <cfvo type="max"/>
        <color rgb="FFE67C73"/>
        <color rgb="FFFFFFFF"/>
        <color rgb="FF57BB8A"/>
      </colorScale>
    </cfRule>
  </conditionalFormatting>
  <conditionalFormatting sqref="R3:R8">
    <cfRule type="colorScale" priority="2">
      <colorScale>
        <cfvo type="min"/>
        <cfvo type="percentile" val="50"/>
        <cfvo type="max"/>
        <color rgb="FFE67C73"/>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86"/>
    <col customWidth="1" min="18" max="21" width="10.14"/>
  </cols>
  <sheetData>
    <row r="1">
      <c r="A1" s="7" t="s">
        <v>2401</v>
      </c>
      <c r="B1" s="7" t="s">
        <v>1</v>
      </c>
      <c r="C1" s="7" t="s">
        <v>2</v>
      </c>
      <c r="D1" s="10"/>
      <c r="E1" s="10"/>
      <c r="F1" s="10"/>
      <c r="G1" s="7" t="s">
        <v>6</v>
      </c>
      <c r="H1" s="106" t="s">
        <v>7</v>
      </c>
      <c r="I1" s="7" t="s">
        <v>5</v>
      </c>
      <c r="M1" s="15" t="s">
        <v>2404</v>
      </c>
      <c r="N1" s="15" t="s">
        <v>2402</v>
      </c>
      <c r="O1" s="15" t="s">
        <v>52</v>
      </c>
    </row>
    <row r="2">
      <c r="A2" s="15" t="s">
        <v>44</v>
      </c>
      <c r="B2" s="15" t="s">
        <v>45</v>
      </c>
      <c r="C2" s="15" t="s">
        <v>46</v>
      </c>
      <c r="G2" s="15" t="s">
        <v>48</v>
      </c>
      <c r="H2" s="107" t="s">
        <v>49</v>
      </c>
      <c r="I2" s="15" t="s">
        <v>62</v>
      </c>
      <c r="L2" s="14" t="str">
        <f t="shared" ref="L2:L45" si="1">IF(ISNUMBER(SEARCH(",",I2)),"multistakeholders",lower(I2))</f>
        <v>academia</v>
      </c>
      <c r="M2" s="14">
        <f>IF(LOWER(L2)=LOWER(Matthieu!M2),1,0)</f>
        <v>1</v>
      </c>
      <c r="N2" s="14">
        <f>IF(LOWER(L2)=LOWER(Aina!N2),1,0)</f>
        <v>0</v>
      </c>
      <c r="O2" s="14">
        <f>IF(LOWER(L2)=LOWER(Kappa!Y4),1,0)</f>
        <v>0</v>
      </c>
      <c r="P2" s="15" t="s">
        <v>33</v>
      </c>
      <c r="Q2" s="14"/>
      <c r="R2" s="14" t="s">
        <v>2426</v>
      </c>
      <c r="S2" s="14" t="s">
        <v>2427</v>
      </c>
      <c r="T2" s="14" t="s">
        <v>2407</v>
      </c>
      <c r="U2" s="14" t="s">
        <v>2408</v>
      </c>
      <c r="V2" s="15" t="s">
        <v>2404</v>
      </c>
      <c r="W2" s="15" t="s">
        <v>2402</v>
      </c>
      <c r="X2" s="15" t="s">
        <v>52</v>
      </c>
    </row>
    <row r="3">
      <c r="A3" s="108" t="s">
        <v>53</v>
      </c>
      <c r="B3" s="108" t="s">
        <v>54</v>
      </c>
      <c r="C3" s="108" t="s">
        <v>55</v>
      </c>
      <c r="D3" s="108"/>
      <c r="E3" s="108"/>
      <c r="G3" s="108" t="s">
        <v>38</v>
      </c>
      <c r="H3" s="107" t="s">
        <v>57</v>
      </c>
      <c r="I3" s="15" t="s">
        <v>2411</v>
      </c>
      <c r="L3" s="14" t="str">
        <f t="shared" si="1"/>
        <v>international organisation</v>
      </c>
      <c r="M3" s="14">
        <f>IF(LOWER(L3)=LOWER(Matthieu!M3),1,0)</f>
        <v>1</v>
      </c>
      <c r="N3" s="14">
        <f>IF(LOWER(L3)=LOWER(Aina!N3),1,0)</f>
        <v>1</v>
      </c>
      <c r="O3" s="14">
        <f>IF(LOWER(L3)=LOWER(Kappa!Y5),1,0)</f>
        <v>1</v>
      </c>
      <c r="P3" s="113">
        <f>5/44</f>
        <v>0.1136363636</v>
      </c>
      <c r="Q3" s="14" t="s">
        <v>62</v>
      </c>
      <c r="R3" s="14">
        <v>5.0</v>
      </c>
      <c r="S3" s="14">
        <v>4.0</v>
      </c>
      <c r="T3" s="110">
        <v>4.0</v>
      </c>
      <c r="U3" s="14">
        <v>4.0</v>
      </c>
      <c r="V3" s="111">
        <f t="shared" ref="V3:X3" si="2">S3/$R3</f>
        <v>0.8</v>
      </c>
      <c r="W3" s="111">
        <f t="shared" si="2"/>
        <v>0.8</v>
      </c>
      <c r="X3" s="111">
        <f t="shared" si="2"/>
        <v>0.8</v>
      </c>
    </row>
    <row r="4">
      <c r="A4" s="15" t="s">
        <v>59</v>
      </c>
      <c r="B4" s="15" t="s">
        <v>60</v>
      </c>
      <c r="C4" s="15" t="s">
        <v>61</v>
      </c>
      <c r="G4" s="15" t="s">
        <v>63</v>
      </c>
      <c r="H4" s="107" t="s">
        <v>64</v>
      </c>
      <c r="I4" s="15" t="s">
        <v>62</v>
      </c>
      <c r="L4" s="14" t="str">
        <f t="shared" si="1"/>
        <v>academia</v>
      </c>
      <c r="M4" s="14">
        <f>IF(LOWER(L4)=LOWER(Matthieu!M4),1,0)</f>
        <v>1</v>
      </c>
      <c r="N4" s="14">
        <f>IF(LOWER(L4)=LOWER(Aina!N4),1,0)</f>
        <v>1</v>
      </c>
      <c r="O4" s="14">
        <f>IF(LOWER(L4)=LOWER(Kappa!Y6),1,0)</f>
        <v>1</v>
      </c>
      <c r="P4" s="109">
        <f>6/44</f>
        <v>0.1363636364</v>
      </c>
      <c r="Q4" s="14" t="s">
        <v>37</v>
      </c>
      <c r="R4" s="14">
        <v>6.0</v>
      </c>
      <c r="S4" s="14">
        <v>5.0</v>
      </c>
      <c r="T4" s="110">
        <v>6.0</v>
      </c>
      <c r="U4" s="14">
        <v>5.0</v>
      </c>
      <c r="V4" s="111">
        <f t="shared" ref="V4:X4" si="3">S4/$R4</f>
        <v>0.8333333333</v>
      </c>
      <c r="W4" s="111">
        <f t="shared" si="3"/>
        <v>1</v>
      </c>
      <c r="X4" s="111">
        <f t="shared" si="3"/>
        <v>0.8333333333</v>
      </c>
    </row>
    <row r="5">
      <c r="A5" s="15" t="s">
        <v>74</v>
      </c>
      <c r="B5" s="15" t="s">
        <v>75</v>
      </c>
      <c r="C5" s="15" t="s">
        <v>76</v>
      </c>
      <c r="G5" s="15" t="s">
        <v>78</v>
      </c>
      <c r="H5" s="107" t="s">
        <v>79</v>
      </c>
      <c r="I5" s="15" t="s">
        <v>77</v>
      </c>
      <c r="L5" s="14" t="str">
        <f t="shared" si="1"/>
        <v>national authority</v>
      </c>
      <c r="M5" s="14">
        <f>IF(LOWER(L5)=LOWER(Matthieu!M5),1,0)</f>
        <v>1</v>
      </c>
      <c r="N5" s="14">
        <f>IF(LOWER(L5)=LOWER(Aina!N5),1,0)</f>
        <v>1</v>
      </c>
      <c r="O5" s="14">
        <f>IF(LOWER(L5)=LOWER(Kappa!Y7),1,0)</f>
        <v>1</v>
      </c>
      <c r="P5" s="109">
        <f>9/44</f>
        <v>0.2045454545</v>
      </c>
      <c r="Q5" s="14" t="s">
        <v>2411</v>
      </c>
      <c r="R5" s="14">
        <v>9.0</v>
      </c>
      <c r="S5" s="14">
        <v>8.0</v>
      </c>
      <c r="T5" s="110">
        <v>9.0</v>
      </c>
      <c r="U5" s="14">
        <v>8.0</v>
      </c>
      <c r="V5" s="111">
        <f t="shared" ref="V5:X5" si="4">S5/$R5</f>
        <v>0.8888888889</v>
      </c>
      <c r="W5" s="111">
        <f t="shared" si="4"/>
        <v>1</v>
      </c>
      <c r="X5" s="111">
        <f t="shared" si="4"/>
        <v>0.8888888889</v>
      </c>
    </row>
    <row r="6">
      <c r="A6" s="15" t="s">
        <v>80</v>
      </c>
      <c r="B6" s="15" t="s">
        <v>81</v>
      </c>
      <c r="C6" s="15" t="s">
        <v>82</v>
      </c>
      <c r="G6" s="15" t="s">
        <v>83</v>
      </c>
      <c r="H6" s="107" t="s">
        <v>84</v>
      </c>
      <c r="I6" s="15" t="s">
        <v>2411</v>
      </c>
      <c r="L6" s="14" t="str">
        <f t="shared" si="1"/>
        <v>international organisation</v>
      </c>
      <c r="M6" s="14">
        <f>IF(LOWER(L6)=LOWER(Matthieu!M6),1,0)</f>
        <v>1</v>
      </c>
      <c r="N6" s="14">
        <f>IF(LOWER(L6)=LOWER(Aina!N6),1,0)</f>
        <v>1</v>
      </c>
      <c r="O6" s="14">
        <f>IF(LOWER(L6)=LOWER(Kappa!Y8),1,0)</f>
        <v>1</v>
      </c>
      <c r="P6" s="109">
        <f>18/44</f>
        <v>0.4090909091</v>
      </c>
      <c r="Q6" s="14" t="s">
        <v>2412</v>
      </c>
      <c r="R6" s="14">
        <v>18.0</v>
      </c>
      <c r="S6" s="14">
        <v>4.0</v>
      </c>
      <c r="T6" s="110">
        <v>8.0</v>
      </c>
      <c r="U6" s="14">
        <v>3.0</v>
      </c>
      <c r="V6" s="111">
        <f t="shared" ref="V6:X6" si="5">S6/$R6</f>
        <v>0.2222222222</v>
      </c>
      <c r="W6" s="111">
        <f t="shared" si="5"/>
        <v>0.4444444444</v>
      </c>
      <c r="X6" s="111">
        <f t="shared" si="5"/>
        <v>0.1666666667</v>
      </c>
    </row>
    <row r="7">
      <c r="A7" s="15" t="s">
        <v>97</v>
      </c>
      <c r="B7" s="15" t="s">
        <v>45</v>
      </c>
      <c r="C7" s="15" t="s">
        <v>98</v>
      </c>
      <c r="G7" s="15" t="s">
        <v>48</v>
      </c>
      <c r="H7" s="107" t="s">
        <v>99</v>
      </c>
      <c r="I7" s="15" t="s">
        <v>47</v>
      </c>
      <c r="L7" s="14" t="str">
        <f t="shared" si="1"/>
        <v>multistakeholders</v>
      </c>
      <c r="M7" s="14">
        <f>IF(LOWER(L7)=LOWER(Matthieu!M7),1,0)</f>
        <v>0</v>
      </c>
      <c r="N7" s="14">
        <f>IF(LOWER(L7)=LOWER(Aina!N7),1,0)</f>
        <v>1</v>
      </c>
      <c r="O7" s="14">
        <f>IF(LOWER(L7)=LOWER(Kappa!Y9),1,0)</f>
        <v>1</v>
      </c>
      <c r="P7" s="109">
        <f>4/44</f>
        <v>0.09090909091</v>
      </c>
      <c r="Q7" s="14" t="s">
        <v>77</v>
      </c>
      <c r="R7" s="14">
        <v>4.0</v>
      </c>
      <c r="S7" s="14">
        <v>4.0</v>
      </c>
      <c r="T7" s="110">
        <v>4.0</v>
      </c>
      <c r="U7" s="14">
        <v>4.0</v>
      </c>
      <c r="V7" s="111">
        <f t="shared" ref="V7:X7" si="6">S7/$R7</f>
        <v>1</v>
      </c>
      <c r="W7" s="111">
        <f t="shared" si="6"/>
        <v>1</v>
      </c>
      <c r="X7" s="111">
        <f t="shared" si="6"/>
        <v>1</v>
      </c>
    </row>
    <row r="8">
      <c r="A8" s="15" t="s">
        <v>100</v>
      </c>
      <c r="B8" s="15" t="s">
        <v>101</v>
      </c>
      <c r="C8" s="15" t="s">
        <v>102</v>
      </c>
      <c r="G8" s="15" t="s">
        <v>83</v>
      </c>
      <c r="H8" s="107" t="s">
        <v>104</v>
      </c>
      <c r="I8" s="15" t="s">
        <v>2411</v>
      </c>
      <c r="L8" s="14" t="str">
        <f t="shared" si="1"/>
        <v>international organisation</v>
      </c>
      <c r="M8" s="14">
        <f>IF(LOWER(L8)=LOWER(Matthieu!M8),1,0)</f>
        <v>1</v>
      </c>
      <c r="N8" s="14">
        <f>IF(LOWER(L8)=LOWER(Aina!N8),1,0)</f>
        <v>1</v>
      </c>
      <c r="O8" s="14">
        <f>IF(LOWER(L8)=LOWER(Kappa!Y10),1,0)</f>
        <v>1</v>
      </c>
      <c r="P8" s="109">
        <f>2/44</f>
        <v>0.04545454545</v>
      </c>
      <c r="Q8" s="14" t="s">
        <v>95</v>
      </c>
      <c r="R8" s="14">
        <v>2.0</v>
      </c>
      <c r="S8" s="14">
        <v>2.0</v>
      </c>
      <c r="T8" s="110">
        <v>2.0</v>
      </c>
      <c r="U8" s="14">
        <v>2.0</v>
      </c>
      <c r="V8" s="111">
        <f t="shared" ref="V8:X8" si="7">S8/$R8</f>
        <v>1</v>
      </c>
      <c r="W8" s="111">
        <f t="shared" si="7"/>
        <v>1</v>
      </c>
      <c r="X8" s="111">
        <f t="shared" si="7"/>
        <v>1</v>
      </c>
    </row>
    <row r="9">
      <c r="A9" s="108" t="s">
        <v>107</v>
      </c>
      <c r="B9" s="108" t="s">
        <v>108</v>
      </c>
      <c r="C9" s="108" t="s">
        <v>109</v>
      </c>
      <c r="D9" s="108"/>
      <c r="E9" s="108"/>
      <c r="G9" s="108" t="s">
        <v>78</v>
      </c>
      <c r="H9" s="107" t="s">
        <v>110</v>
      </c>
      <c r="I9" s="15" t="s">
        <v>37</v>
      </c>
      <c r="L9" s="14" t="str">
        <f t="shared" si="1"/>
        <v>civil society</v>
      </c>
      <c r="M9" s="14">
        <f>IF(LOWER(L9)=LOWER(Matthieu!M9),1,0)</f>
        <v>0</v>
      </c>
      <c r="N9" s="14">
        <f>IF(LOWER(L9)=LOWER(Aina!N9),1,0)</f>
        <v>1</v>
      </c>
      <c r="O9" s="14">
        <f>IF(LOWER(L9)=LOWER(Kappa!Y11),1,0)</f>
        <v>0</v>
      </c>
      <c r="Q9" s="14" t="s">
        <v>2400</v>
      </c>
      <c r="R9" s="14">
        <v>44.0</v>
      </c>
      <c r="S9" s="14">
        <v>27.0</v>
      </c>
      <c r="T9" s="112">
        <v>33.0</v>
      </c>
      <c r="U9" s="14">
        <v>26.0</v>
      </c>
      <c r="V9" s="111">
        <f t="shared" ref="V9:X9" si="8">S9/$R9</f>
        <v>0.6136363636</v>
      </c>
      <c r="W9" s="111">
        <f t="shared" si="8"/>
        <v>0.75</v>
      </c>
      <c r="X9" s="111">
        <f t="shared" si="8"/>
        <v>0.5909090909</v>
      </c>
    </row>
    <row r="10">
      <c r="A10" s="15" t="s">
        <v>112</v>
      </c>
      <c r="B10" s="15" t="s">
        <v>113</v>
      </c>
      <c r="C10" s="15" t="s">
        <v>114</v>
      </c>
      <c r="D10" s="108"/>
      <c r="E10" s="108"/>
      <c r="G10" s="15" t="s">
        <v>115</v>
      </c>
      <c r="H10" s="77"/>
      <c r="I10" s="15" t="s">
        <v>95</v>
      </c>
      <c r="L10" s="14" t="str">
        <f t="shared" si="1"/>
        <v>private sector</v>
      </c>
      <c r="M10" s="14">
        <f>IF(LOWER(L10)=LOWER(Matthieu!M10),1,0)</f>
        <v>1</v>
      </c>
      <c r="N10" s="14">
        <f>IF(LOWER(L10)=LOWER(Aina!N10),1,0)</f>
        <v>1</v>
      </c>
      <c r="O10" s="14">
        <f>IF(LOWER(L10)=LOWER(Kappa!Y12),1,0)</f>
        <v>1</v>
      </c>
    </row>
    <row r="11">
      <c r="A11" s="15" t="s">
        <v>120</v>
      </c>
      <c r="B11" s="15" t="s">
        <v>121</v>
      </c>
      <c r="C11" s="15" t="s">
        <v>122</v>
      </c>
      <c r="D11" s="108"/>
      <c r="E11" s="108"/>
      <c r="G11" s="15" t="s">
        <v>83</v>
      </c>
      <c r="H11" s="107" t="s">
        <v>123</v>
      </c>
      <c r="I11" s="15" t="s">
        <v>62</v>
      </c>
      <c r="L11" s="14" t="str">
        <f t="shared" si="1"/>
        <v>academia</v>
      </c>
      <c r="M11" s="14">
        <f>IF(LOWER(L11)=LOWER(Matthieu!M11),1,0)</f>
        <v>0</v>
      </c>
      <c r="N11" s="14">
        <f>IF(LOWER(L11)=LOWER(Aina!N11),1,0)</f>
        <v>1</v>
      </c>
      <c r="O11" s="14">
        <f>IF(LOWER(L11)=LOWER(Kappa!Y13),1,0)</f>
        <v>1</v>
      </c>
    </row>
    <row r="12">
      <c r="A12" s="108" t="s">
        <v>133</v>
      </c>
      <c r="B12" s="108" t="s">
        <v>134</v>
      </c>
      <c r="C12" s="108" t="s">
        <v>135</v>
      </c>
      <c r="D12" s="108"/>
      <c r="E12" s="108"/>
      <c r="G12" s="108" t="s">
        <v>78</v>
      </c>
      <c r="H12" s="107" t="s">
        <v>99</v>
      </c>
      <c r="I12" s="15" t="s">
        <v>2428</v>
      </c>
      <c r="L12" s="14" t="str">
        <f t="shared" si="1"/>
        <v>multistakeholders</v>
      </c>
      <c r="M12" s="14">
        <f>IF(LOWER(L12)=LOWER(Matthieu!M12),1,0)</f>
        <v>0</v>
      </c>
      <c r="N12" s="14">
        <f>IF(LOWER(L12)=LOWER(Aina!N12),1,0)</f>
        <v>0</v>
      </c>
      <c r="O12" s="14">
        <f>IF(LOWER(L12)=LOWER(Kappa!Y14),1,0)</f>
        <v>1</v>
      </c>
    </row>
    <row r="13">
      <c r="A13" s="108" t="s">
        <v>137</v>
      </c>
      <c r="B13" s="108" t="s">
        <v>138</v>
      </c>
      <c r="C13" s="108" t="s">
        <v>139</v>
      </c>
      <c r="D13" s="108"/>
      <c r="E13" s="108"/>
      <c r="G13" s="108" t="s">
        <v>132</v>
      </c>
      <c r="H13" s="107" t="s">
        <v>141</v>
      </c>
      <c r="I13" s="15" t="s">
        <v>2429</v>
      </c>
      <c r="L13" s="14" t="str">
        <f t="shared" si="1"/>
        <v>multistakeholders</v>
      </c>
      <c r="M13" s="14">
        <f>IF(LOWER(L13)=LOWER(Matthieu!M13),1,0)</f>
        <v>0</v>
      </c>
      <c r="N13" s="14">
        <f>IF(LOWER(L13)=LOWER(Aina!N13),1,0)</f>
        <v>1</v>
      </c>
      <c r="O13" s="14">
        <f>IF(LOWER(L13)=LOWER(Kappa!Y15),1,0)</f>
        <v>0</v>
      </c>
    </row>
    <row r="14">
      <c r="A14" s="15" t="s">
        <v>142</v>
      </c>
      <c r="B14" s="15" t="s">
        <v>134</v>
      </c>
      <c r="C14" s="15" t="s">
        <v>143</v>
      </c>
      <c r="G14" s="15" t="s">
        <v>78</v>
      </c>
      <c r="H14" s="107" t="s">
        <v>64</v>
      </c>
      <c r="I14" s="15" t="s">
        <v>2428</v>
      </c>
      <c r="L14" s="14" t="str">
        <f t="shared" si="1"/>
        <v>multistakeholders</v>
      </c>
      <c r="M14" s="14">
        <f>IF(LOWER(L14)=LOWER(Matthieu!M14),1,0)</f>
        <v>0</v>
      </c>
      <c r="N14" s="14">
        <f>IF(LOWER(L14)=LOWER(Aina!N14),1,0)</f>
        <v>1</v>
      </c>
      <c r="O14" s="14">
        <f>IF(LOWER(L14)=LOWER(Kappa!Y16),1,0)</f>
        <v>1</v>
      </c>
    </row>
    <row r="15">
      <c r="A15" s="108" t="s">
        <v>144</v>
      </c>
      <c r="B15" s="108" t="s">
        <v>145</v>
      </c>
      <c r="C15" s="15" t="s">
        <v>146</v>
      </c>
      <c r="D15" s="108"/>
      <c r="E15" s="108"/>
      <c r="G15" s="108" t="s">
        <v>78</v>
      </c>
      <c r="H15" s="107" t="s">
        <v>147</v>
      </c>
      <c r="I15" s="15" t="s">
        <v>62</v>
      </c>
      <c r="L15" s="14" t="str">
        <f t="shared" si="1"/>
        <v>academia</v>
      </c>
      <c r="M15" s="14">
        <f>IF(LOWER(L15)=LOWER(Matthieu!M15),1,0)</f>
        <v>1</v>
      </c>
      <c r="N15" s="14">
        <f>IF(LOWER(L15)=LOWER(Aina!N15),1,0)</f>
        <v>1</v>
      </c>
      <c r="O15" s="14">
        <f>IF(LOWER(L15)=LOWER(Kappa!Y17),1,0)</f>
        <v>1</v>
      </c>
    </row>
    <row r="16">
      <c r="A16" s="108" t="s">
        <v>148</v>
      </c>
      <c r="B16" s="15" t="s">
        <v>149</v>
      </c>
      <c r="C16" s="108" t="s">
        <v>150</v>
      </c>
      <c r="D16" s="108"/>
      <c r="E16" s="108"/>
      <c r="G16" s="108" t="s">
        <v>83</v>
      </c>
      <c r="H16" s="107" t="s">
        <v>151</v>
      </c>
      <c r="I16" s="15" t="s">
        <v>2411</v>
      </c>
      <c r="L16" s="14" t="str">
        <f t="shared" si="1"/>
        <v>international organisation</v>
      </c>
      <c r="M16" s="14">
        <f>IF(LOWER(L16)=LOWER(Matthieu!M16),1,0)</f>
        <v>1</v>
      </c>
      <c r="N16" s="14">
        <f>IF(LOWER(L16)=LOWER(Aina!N16),1,0)</f>
        <v>1</v>
      </c>
      <c r="O16" s="14">
        <f>IF(LOWER(L16)=LOWER(Kappa!Y18),1,0)</f>
        <v>1</v>
      </c>
    </row>
    <row r="17">
      <c r="A17" s="15" t="s">
        <v>153</v>
      </c>
      <c r="B17" s="15" t="s">
        <v>154</v>
      </c>
      <c r="C17" s="15" t="s">
        <v>155</v>
      </c>
      <c r="D17" s="15" t="s">
        <v>156</v>
      </c>
      <c r="E17" s="108" t="s">
        <v>157</v>
      </c>
      <c r="G17" s="108" t="s">
        <v>158</v>
      </c>
      <c r="H17" s="107" t="s">
        <v>159</v>
      </c>
      <c r="I17" s="15" t="s">
        <v>62</v>
      </c>
      <c r="L17" s="14" t="str">
        <f t="shared" si="1"/>
        <v>academia</v>
      </c>
      <c r="M17" s="14">
        <f>IF(LOWER(L17)=LOWER(Matthieu!M17),1,0)</f>
        <v>1</v>
      </c>
      <c r="N17" s="14">
        <f>IF(LOWER(L17)=LOWER(Aina!N17),1,0)</f>
        <v>1</v>
      </c>
      <c r="O17" s="14">
        <f>IF(LOWER(L17)=LOWER(Kappa!Y19),1,0)</f>
        <v>1</v>
      </c>
    </row>
    <row r="18">
      <c r="A18" s="108" t="s">
        <v>160</v>
      </c>
      <c r="B18" s="108" t="s">
        <v>161</v>
      </c>
      <c r="C18" s="15" t="s">
        <v>162</v>
      </c>
      <c r="D18" s="108"/>
      <c r="E18" s="108"/>
      <c r="G18" s="108" t="s">
        <v>78</v>
      </c>
      <c r="H18" s="107" t="s">
        <v>163</v>
      </c>
      <c r="I18" s="15" t="s">
        <v>2430</v>
      </c>
      <c r="L18" s="14" t="str">
        <f t="shared" si="1"/>
        <v>multistakeholders</v>
      </c>
      <c r="M18" s="14">
        <f>IF(LOWER(L18)=LOWER(Matthieu!M18),1,0)</f>
        <v>0</v>
      </c>
      <c r="N18" s="14">
        <f>IF(LOWER(L18)=LOWER(Aina!N18),1,0)</f>
        <v>0</v>
      </c>
      <c r="O18" s="14">
        <f>IF(LOWER(L18)=LOWER(Kappa!Y20),1,0)</f>
        <v>0</v>
      </c>
    </row>
    <row r="19">
      <c r="A19" s="108" t="s">
        <v>164</v>
      </c>
      <c r="B19" s="108" t="s">
        <v>165</v>
      </c>
      <c r="C19" s="108" t="s">
        <v>166</v>
      </c>
      <c r="D19" s="108"/>
      <c r="E19" s="108"/>
      <c r="G19" s="108" t="s">
        <v>78</v>
      </c>
      <c r="H19" s="107" t="s">
        <v>167</v>
      </c>
      <c r="I19" s="15" t="s">
        <v>2431</v>
      </c>
      <c r="L19" s="14" t="str">
        <f t="shared" si="1"/>
        <v>multistakeholders</v>
      </c>
      <c r="M19" s="14">
        <f>IF(LOWER(L19)=LOWER(Matthieu!M19),1,0)</f>
        <v>0</v>
      </c>
      <c r="N19" s="14">
        <f>IF(LOWER(L19)=LOWER(Aina!N19),1,0)</f>
        <v>1</v>
      </c>
      <c r="O19" s="14">
        <f>IF(LOWER(L19)=LOWER(Kappa!Y21),1,0)</f>
        <v>0</v>
      </c>
    </row>
    <row r="20">
      <c r="A20" s="108" t="s">
        <v>168</v>
      </c>
      <c r="B20" s="108" t="s">
        <v>169</v>
      </c>
      <c r="C20" s="15" t="s">
        <v>170</v>
      </c>
      <c r="D20" s="108"/>
      <c r="E20" s="108"/>
      <c r="G20" s="108" t="s">
        <v>48</v>
      </c>
      <c r="H20" s="107" t="s">
        <v>172</v>
      </c>
      <c r="I20" s="15" t="s">
        <v>2432</v>
      </c>
      <c r="L20" s="14" t="str">
        <f t="shared" si="1"/>
        <v>multistakeholders</v>
      </c>
      <c r="M20" s="14">
        <f>IF(LOWER(L20)=LOWER(Matthieu!M20),1,0)</f>
        <v>1</v>
      </c>
      <c r="N20" s="14">
        <f>IF(LOWER(L20)=LOWER(Aina!N20),1,0)</f>
        <v>0</v>
      </c>
      <c r="O20" s="14">
        <f>IF(LOWER(L20)=LOWER(Kappa!Y22),1,0)</f>
        <v>0</v>
      </c>
    </row>
    <row r="21">
      <c r="A21" s="15" t="s">
        <v>173</v>
      </c>
      <c r="B21" s="15" t="s">
        <v>174</v>
      </c>
      <c r="C21" s="15" t="s">
        <v>175</v>
      </c>
      <c r="G21" s="15" t="s">
        <v>78</v>
      </c>
      <c r="H21" s="107" t="s">
        <v>176</v>
      </c>
      <c r="I21" s="15" t="s">
        <v>2430</v>
      </c>
      <c r="L21" s="14" t="str">
        <f t="shared" si="1"/>
        <v>multistakeholders</v>
      </c>
      <c r="M21" s="14">
        <f>IF(LOWER(L21)=LOWER(Matthieu!M21),1,0)</f>
        <v>0</v>
      </c>
      <c r="N21" s="14">
        <f>IF(LOWER(L21)=LOWER(Aina!N21),1,0)</f>
        <v>0</v>
      </c>
      <c r="O21" s="14">
        <f>IF(LOWER(L21)=LOWER(Kappa!Y23),1,0)</f>
        <v>0</v>
      </c>
    </row>
    <row r="22">
      <c r="A22" s="15" t="s">
        <v>177</v>
      </c>
      <c r="B22" s="15" t="s">
        <v>178</v>
      </c>
      <c r="C22" s="15" t="s">
        <v>179</v>
      </c>
      <c r="G22" s="15" t="s">
        <v>83</v>
      </c>
      <c r="H22" s="107" t="s">
        <v>180</v>
      </c>
      <c r="I22" s="15" t="s">
        <v>2411</v>
      </c>
      <c r="L22" s="14" t="str">
        <f t="shared" si="1"/>
        <v>international organisation</v>
      </c>
      <c r="M22" s="14">
        <f>IF(LOWER(L22)=LOWER(Matthieu!M22),1,0)</f>
        <v>1</v>
      </c>
      <c r="N22" s="14">
        <f>IF(LOWER(L22)=LOWER(Aina!N22),1,0)</f>
        <v>1</v>
      </c>
      <c r="O22" s="14">
        <f>IF(LOWER(L22)=LOWER(Kappa!Y24),1,0)</f>
        <v>1</v>
      </c>
    </row>
    <row r="23">
      <c r="A23" s="15" t="s">
        <v>182</v>
      </c>
      <c r="B23" s="15" t="s">
        <v>183</v>
      </c>
      <c r="C23" s="15" t="s">
        <v>184</v>
      </c>
      <c r="G23" s="15" t="s">
        <v>38</v>
      </c>
      <c r="H23" s="107" t="s">
        <v>185</v>
      </c>
      <c r="I23" s="15" t="s">
        <v>2432</v>
      </c>
      <c r="L23" s="14" t="str">
        <f t="shared" si="1"/>
        <v>multistakeholders</v>
      </c>
      <c r="M23" s="14">
        <f>IF(LOWER(L23)=LOWER(Matthieu!M23),1,0)</f>
        <v>0</v>
      </c>
      <c r="N23" s="14">
        <f>IF(LOWER(L23)=LOWER(Aina!N23),1,0)</f>
        <v>1</v>
      </c>
      <c r="O23" s="14">
        <f>IF(LOWER(L23)=LOWER(Kappa!Y25),1,0)</f>
        <v>0</v>
      </c>
    </row>
    <row r="24">
      <c r="A24" s="108" t="s">
        <v>186</v>
      </c>
      <c r="B24" s="108" t="s">
        <v>187</v>
      </c>
      <c r="C24" s="108" t="s">
        <v>188</v>
      </c>
      <c r="D24" s="108"/>
      <c r="E24" s="108"/>
      <c r="G24" s="108" t="s">
        <v>48</v>
      </c>
      <c r="H24" s="107" t="s">
        <v>189</v>
      </c>
      <c r="I24" s="15" t="s">
        <v>77</v>
      </c>
      <c r="L24" s="14" t="str">
        <f t="shared" si="1"/>
        <v>national authority</v>
      </c>
      <c r="M24" s="14">
        <f>IF(LOWER(L24)=LOWER(Matthieu!M24),1,0)</f>
        <v>1</v>
      </c>
      <c r="N24" s="14">
        <f>IF(LOWER(L24)=LOWER(Aina!N24),1,0)</f>
        <v>1</v>
      </c>
      <c r="O24" s="14">
        <f>IF(LOWER(L24)=LOWER(Kappa!Y26),1,0)</f>
        <v>1</v>
      </c>
    </row>
    <row r="25">
      <c r="A25" s="108" t="s">
        <v>190</v>
      </c>
      <c r="B25" s="108" t="s">
        <v>169</v>
      </c>
      <c r="C25" s="15" t="s">
        <v>191</v>
      </c>
      <c r="D25" s="108"/>
      <c r="E25" s="108"/>
      <c r="G25" s="108" t="s">
        <v>48</v>
      </c>
      <c r="H25" s="107" t="s">
        <v>192</v>
      </c>
      <c r="I25" s="15" t="s">
        <v>136</v>
      </c>
      <c r="L25" s="14" t="str">
        <f t="shared" si="1"/>
        <v>multistakeholders</v>
      </c>
      <c r="M25" s="14">
        <f>IF(LOWER(L25)=LOWER(Matthieu!M25),1,0)</f>
        <v>1</v>
      </c>
      <c r="N25" s="14">
        <f>IF(LOWER(L25)=LOWER(Aina!N25),1,0)</f>
        <v>1</v>
      </c>
      <c r="O25" s="14">
        <f>IF(LOWER(L25)=LOWER(Kappa!Y27),1,0)</f>
        <v>0</v>
      </c>
    </row>
    <row r="26">
      <c r="A26" s="108" t="s">
        <v>201</v>
      </c>
      <c r="B26" s="108" t="s">
        <v>202</v>
      </c>
      <c r="C26" s="15" t="s">
        <v>203</v>
      </c>
      <c r="D26" s="108"/>
      <c r="E26" s="108"/>
      <c r="G26" s="108" t="s">
        <v>204</v>
      </c>
      <c r="H26" s="107" t="s">
        <v>99</v>
      </c>
      <c r="I26" s="15" t="s">
        <v>2411</v>
      </c>
      <c r="L26" s="14" t="str">
        <f t="shared" si="1"/>
        <v>international organisation</v>
      </c>
      <c r="M26" s="14">
        <f>IF(LOWER(L26)=LOWER(Matthieu!M26),1,0)</f>
        <v>0</v>
      </c>
      <c r="N26" s="14">
        <f>IF(LOWER(L26)=LOWER(Aina!N26),1,0)</f>
        <v>1</v>
      </c>
      <c r="O26" s="14">
        <f>IF(LOWER(L26)=LOWER(Kappa!Y28),1,0)</f>
        <v>0</v>
      </c>
    </row>
    <row r="27">
      <c r="A27" s="15" t="s">
        <v>205</v>
      </c>
      <c r="B27" s="15" t="s">
        <v>206</v>
      </c>
      <c r="C27" s="15" t="s">
        <v>207</v>
      </c>
      <c r="D27" s="108"/>
      <c r="E27" s="108"/>
      <c r="G27" s="108" t="s">
        <v>48</v>
      </c>
      <c r="H27" s="107" t="s">
        <v>208</v>
      </c>
      <c r="I27" s="15" t="s">
        <v>37</v>
      </c>
      <c r="L27" s="14" t="str">
        <f t="shared" si="1"/>
        <v>civil society</v>
      </c>
      <c r="M27" s="14">
        <f>IF(LOWER(L27)=LOWER(Matthieu!M27),1,0)</f>
        <v>1</v>
      </c>
      <c r="N27" s="14">
        <f>IF(LOWER(L27)=LOWER(Aina!N27),1,0)</f>
        <v>1</v>
      </c>
      <c r="O27" s="14">
        <f>IF(LOWER(L27)=LOWER(Kappa!Y29),1,0)</f>
        <v>1</v>
      </c>
    </row>
    <row r="28">
      <c r="A28" s="108" t="s">
        <v>209</v>
      </c>
      <c r="B28" s="108" t="s">
        <v>210</v>
      </c>
      <c r="C28" s="108" t="s">
        <v>211</v>
      </c>
      <c r="D28" s="108"/>
      <c r="E28" s="108"/>
      <c r="G28" s="108" t="s">
        <v>38</v>
      </c>
      <c r="H28" s="107" t="s">
        <v>212</v>
      </c>
      <c r="I28" s="15" t="s">
        <v>2433</v>
      </c>
      <c r="L28" s="14" t="str">
        <f t="shared" si="1"/>
        <v>multistakeholders</v>
      </c>
      <c r="M28" s="14">
        <f>IF(LOWER(L28)=LOWER(Matthieu!M28),1,0)</f>
        <v>0</v>
      </c>
      <c r="N28" s="14">
        <f>IF(LOWER(L28)=LOWER(Aina!N28),1,0)</f>
        <v>0</v>
      </c>
      <c r="O28" s="14">
        <f>IF(LOWER(L28)=LOWER(Kappa!Y30),1,0)</f>
        <v>0</v>
      </c>
    </row>
    <row r="29">
      <c r="A29" s="108" t="s">
        <v>216</v>
      </c>
      <c r="B29" s="108" t="s">
        <v>217</v>
      </c>
      <c r="C29" s="108" t="s">
        <v>218</v>
      </c>
      <c r="D29" s="108"/>
      <c r="E29" s="108"/>
      <c r="G29" s="108" t="s">
        <v>38</v>
      </c>
      <c r="H29" s="107" t="s">
        <v>219</v>
      </c>
      <c r="I29" s="15" t="s">
        <v>2434</v>
      </c>
      <c r="L29" s="14" t="str">
        <f t="shared" si="1"/>
        <v>multistakeholders</v>
      </c>
      <c r="M29" s="14">
        <f>IF(LOWER(L29)=LOWER(Matthieu!M29),1,0)</f>
        <v>0</v>
      </c>
      <c r="N29" s="14">
        <f>IF(LOWER(L29)=LOWER(Aina!N29),1,0)</f>
        <v>0</v>
      </c>
      <c r="O29" s="14">
        <f>IF(LOWER(L29)=LOWER(Kappa!Y31),1,0)</f>
        <v>0</v>
      </c>
    </row>
    <row r="30">
      <c r="A30" s="15" t="s">
        <v>223</v>
      </c>
      <c r="B30" s="15" t="s">
        <v>117</v>
      </c>
      <c r="C30" s="15" t="s">
        <v>224</v>
      </c>
      <c r="G30" s="15" t="s">
        <v>48</v>
      </c>
      <c r="H30" s="107" t="s">
        <v>225</v>
      </c>
      <c r="I30" s="15" t="s">
        <v>2432</v>
      </c>
      <c r="L30" s="14" t="str">
        <f t="shared" si="1"/>
        <v>multistakeholders</v>
      </c>
      <c r="M30" s="14">
        <f>IF(LOWER(L30)=LOWER(Matthieu!M30),1,0)</f>
        <v>1</v>
      </c>
      <c r="N30" s="14">
        <f>IF(LOWER(L30)=LOWER(Aina!N30),1,0)</f>
        <v>0</v>
      </c>
      <c r="O30" s="14">
        <f>IF(LOWER(L30)=LOWER(Kappa!Y32),1,0)</f>
        <v>0</v>
      </c>
    </row>
    <row r="31">
      <c r="A31" s="15" t="s">
        <v>226</v>
      </c>
      <c r="B31" s="15" t="s">
        <v>227</v>
      </c>
      <c r="C31" s="15" t="s">
        <v>228</v>
      </c>
      <c r="G31" s="15" t="s">
        <v>83</v>
      </c>
      <c r="H31" s="107" t="s">
        <v>229</v>
      </c>
      <c r="I31" s="15" t="s">
        <v>2411</v>
      </c>
      <c r="L31" s="14" t="str">
        <f t="shared" si="1"/>
        <v>international organisation</v>
      </c>
      <c r="M31" s="14">
        <f>IF(LOWER(L31)=LOWER(Matthieu!M31),1,0)</f>
        <v>1</v>
      </c>
      <c r="N31" s="14">
        <f>IF(LOWER(L31)=LOWER(Aina!N31),1,0)</f>
        <v>1</v>
      </c>
      <c r="O31" s="14">
        <f>IF(LOWER(L31)=LOWER(Kappa!Y33),1,0)</f>
        <v>1</v>
      </c>
    </row>
    <row r="32">
      <c r="A32" s="108" t="s">
        <v>230</v>
      </c>
      <c r="B32" s="108" t="s">
        <v>231</v>
      </c>
      <c r="C32" s="15" t="s">
        <v>232</v>
      </c>
      <c r="D32" s="108"/>
      <c r="E32" s="108"/>
      <c r="G32" s="108" t="s">
        <v>233</v>
      </c>
      <c r="H32" s="107" t="s">
        <v>234</v>
      </c>
      <c r="I32" s="15" t="s">
        <v>1379</v>
      </c>
      <c r="L32" s="14" t="str">
        <f t="shared" si="1"/>
        <v>multistakeholders</v>
      </c>
      <c r="M32" s="14">
        <f>IF(LOWER(L32)=LOWER(Matthieu!M32),1,0)</f>
        <v>1</v>
      </c>
      <c r="N32" s="14">
        <f>IF(LOWER(L32)=LOWER(Aina!N32),1,0)</f>
        <v>0</v>
      </c>
      <c r="O32" s="14">
        <f>IF(LOWER(L32)=LOWER(Kappa!Y34),1,0)</f>
        <v>0</v>
      </c>
    </row>
    <row r="33">
      <c r="A33" s="108" t="s">
        <v>236</v>
      </c>
      <c r="B33" s="108" t="s">
        <v>237</v>
      </c>
      <c r="C33" s="15" t="s">
        <v>238</v>
      </c>
      <c r="D33" s="15" t="s">
        <v>29</v>
      </c>
      <c r="E33" s="15" t="s">
        <v>29</v>
      </c>
      <c r="G33" s="108" t="s">
        <v>48</v>
      </c>
      <c r="H33" s="107" t="s">
        <v>239</v>
      </c>
      <c r="I33" s="15" t="s">
        <v>95</v>
      </c>
      <c r="L33" s="14" t="str">
        <f t="shared" si="1"/>
        <v>private sector</v>
      </c>
      <c r="M33" s="14">
        <f>IF(LOWER(L33)=LOWER(Matthieu!M33),1,0)</f>
        <v>1</v>
      </c>
      <c r="N33" s="14">
        <f>IF(LOWER(L33)=LOWER(Aina!N33),1,0)</f>
        <v>1</v>
      </c>
      <c r="O33" s="14">
        <f>IF(LOWER(L33)=LOWER(Kappa!Y35),1,0)</f>
        <v>1</v>
      </c>
    </row>
    <row r="34">
      <c r="A34" s="15" t="s">
        <v>241</v>
      </c>
      <c r="B34" s="15" t="s">
        <v>242</v>
      </c>
      <c r="C34" s="15" t="s">
        <v>243</v>
      </c>
      <c r="D34" s="108"/>
      <c r="E34" s="108"/>
      <c r="G34" s="15" t="s">
        <v>48</v>
      </c>
      <c r="H34" s="107" t="s">
        <v>244</v>
      </c>
      <c r="I34" s="15" t="s">
        <v>37</v>
      </c>
      <c r="L34" s="14" t="str">
        <f t="shared" si="1"/>
        <v>civil society</v>
      </c>
      <c r="M34" s="14">
        <f>IF(LOWER(L34)=LOWER(Matthieu!M34),1,0)</f>
        <v>1</v>
      </c>
      <c r="N34" s="14">
        <f>IF(LOWER(L34)=LOWER(Aina!N34),1,0)</f>
        <v>1</v>
      </c>
      <c r="O34" s="14">
        <f>IF(LOWER(L34)=LOWER(Kappa!Y36),1,0)</f>
        <v>1</v>
      </c>
    </row>
    <row r="35">
      <c r="A35" s="15" t="s">
        <v>245</v>
      </c>
      <c r="B35" s="15" t="s">
        <v>242</v>
      </c>
      <c r="C35" s="15" t="s">
        <v>246</v>
      </c>
      <c r="G35" s="15" t="s">
        <v>48</v>
      </c>
      <c r="H35" s="107" t="s">
        <v>247</v>
      </c>
      <c r="I35" s="15" t="s">
        <v>37</v>
      </c>
      <c r="L35" s="14" t="str">
        <f t="shared" si="1"/>
        <v>civil society</v>
      </c>
      <c r="M35" s="14">
        <f>IF(LOWER(L35)=LOWER(Matthieu!M35),1,0)</f>
        <v>1</v>
      </c>
      <c r="N35" s="14">
        <f>IF(LOWER(L35)=LOWER(Aina!N35),1,0)</f>
        <v>1</v>
      </c>
      <c r="O35" s="14">
        <f>IF(LOWER(L35)=LOWER(Kappa!Y37),1,0)</f>
        <v>1</v>
      </c>
    </row>
    <row r="36">
      <c r="A36" s="108" t="s">
        <v>258</v>
      </c>
      <c r="B36" s="108" t="s">
        <v>259</v>
      </c>
      <c r="C36" s="108" t="s">
        <v>260</v>
      </c>
      <c r="D36" s="108"/>
      <c r="E36" s="108"/>
      <c r="G36" s="108" t="s">
        <v>132</v>
      </c>
      <c r="H36" s="107" t="s">
        <v>104</v>
      </c>
      <c r="I36" s="15" t="s">
        <v>2435</v>
      </c>
      <c r="L36" s="14" t="str">
        <f t="shared" si="1"/>
        <v>multistakeholders</v>
      </c>
      <c r="M36" s="14">
        <f>IF(LOWER(L36)=LOWER(Matthieu!M36),1,0)</f>
        <v>0</v>
      </c>
      <c r="N36" s="14">
        <f>IF(LOWER(L36)=LOWER(Aina!N36),1,0)</f>
        <v>1</v>
      </c>
      <c r="O36" s="14">
        <f>IF(LOWER(L36)=LOWER(Kappa!Y38),1,0)</f>
        <v>0</v>
      </c>
    </row>
    <row r="37">
      <c r="A37" s="108" t="s">
        <v>261</v>
      </c>
      <c r="B37" s="15" t="s">
        <v>262</v>
      </c>
      <c r="C37" s="15" t="s">
        <v>263</v>
      </c>
      <c r="D37" s="108"/>
      <c r="E37" s="108"/>
      <c r="G37" s="15" t="s">
        <v>264</v>
      </c>
      <c r="H37" s="107" t="s">
        <v>265</v>
      </c>
      <c r="I37" s="15" t="s">
        <v>77</v>
      </c>
      <c r="L37" s="14" t="str">
        <f t="shared" si="1"/>
        <v>national authority</v>
      </c>
      <c r="M37" s="14">
        <f>IF(LOWER(L37)=LOWER(Matthieu!M37),1,0)</f>
        <v>1</v>
      </c>
      <c r="N37" s="14">
        <f>IF(LOWER(L37)=LOWER(Aina!N37),1,0)</f>
        <v>1</v>
      </c>
      <c r="O37" s="14">
        <f>IF(LOWER(L37)=LOWER(Kappa!Y39),1,0)</f>
        <v>1</v>
      </c>
    </row>
    <row r="38">
      <c r="A38" s="15" t="s">
        <v>271</v>
      </c>
      <c r="B38" s="15" t="s">
        <v>272</v>
      </c>
      <c r="C38" s="15" t="s">
        <v>273</v>
      </c>
      <c r="G38" s="15" t="s">
        <v>83</v>
      </c>
      <c r="H38" s="107" t="s">
        <v>64</v>
      </c>
      <c r="I38" s="15" t="s">
        <v>2436</v>
      </c>
      <c r="L38" s="14" t="str">
        <f t="shared" si="1"/>
        <v>multistakeholders</v>
      </c>
      <c r="M38" s="14">
        <f>IF(LOWER(L38)=LOWER(Matthieu!M38),1,0)</f>
        <v>0</v>
      </c>
      <c r="N38" s="14">
        <f>IF(LOWER(L38)=LOWER(Aina!N38),1,0)</f>
        <v>1</v>
      </c>
      <c r="O38" s="14">
        <f>IF(LOWER(L38)=LOWER(Kappa!Y40),1,0)</f>
        <v>0</v>
      </c>
    </row>
    <row r="39">
      <c r="A39" s="108" t="s">
        <v>277</v>
      </c>
      <c r="B39" s="108" t="s">
        <v>278</v>
      </c>
      <c r="C39" s="108" t="s">
        <v>279</v>
      </c>
      <c r="D39" s="108"/>
      <c r="E39" s="108"/>
      <c r="G39" s="108" t="s">
        <v>63</v>
      </c>
      <c r="H39" s="107" t="s">
        <v>280</v>
      </c>
      <c r="I39" s="15" t="s">
        <v>2432</v>
      </c>
      <c r="L39" s="14" t="str">
        <f t="shared" si="1"/>
        <v>multistakeholders</v>
      </c>
      <c r="M39" s="14">
        <f>IF(LOWER(L39)=LOWER(Matthieu!M39),1,0)</f>
        <v>0</v>
      </c>
      <c r="N39" s="14">
        <f>IF(LOWER(L39)=LOWER(Aina!N39),1,0)</f>
        <v>0</v>
      </c>
      <c r="O39" s="14">
        <f>IF(LOWER(L39)=LOWER(Kappa!Y41),1,0)</f>
        <v>0</v>
      </c>
    </row>
    <row r="40">
      <c r="A40" s="108" t="s">
        <v>285</v>
      </c>
      <c r="B40" s="108" t="s">
        <v>286</v>
      </c>
      <c r="C40" s="15" t="s">
        <v>287</v>
      </c>
      <c r="D40" s="108"/>
      <c r="E40" s="108"/>
      <c r="G40" s="108" t="s">
        <v>68</v>
      </c>
      <c r="H40" s="107" t="s">
        <v>99</v>
      </c>
      <c r="I40" s="15" t="s">
        <v>136</v>
      </c>
      <c r="L40" s="14" t="str">
        <f t="shared" si="1"/>
        <v>multistakeholders</v>
      </c>
      <c r="M40" s="14">
        <f>IF(LOWER(L40)=LOWER(Matthieu!M40),1,0)</f>
        <v>0</v>
      </c>
      <c r="N40" s="14">
        <f>IF(LOWER(L40)=LOWER(Aina!N40),1,0)</f>
        <v>0</v>
      </c>
      <c r="O40" s="14">
        <f>IF(LOWER(L40)=LOWER(Kappa!Y42),1,0)</f>
        <v>0</v>
      </c>
    </row>
    <row r="41">
      <c r="A41" s="108" t="s">
        <v>296</v>
      </c>
      <c r="B41" s="108" t="s">
        <v>297</v>
      </c>
      <c r="C41" s="108" t="s">
        <v>298</v>
      </c>
      <c r="D41" s="15" t="s">
        <v>299</v>
      </c>
      <c r="E41" s="108"/>
      <c r="G41" s="108" t="s">
        <v>78</v>
      </c>
      <c r="H41" s="107" t="s">
        <v>99</v>
      </c>
      <c r="I41" s="15" t="s">
        <v>37</v>
      </c>
      <c r="L41" s="14" t="str">
        <f t="shared" si="1"/>
        <v>civil society</v>
      </c>
      <c r="M41" s="14">
        <f>IF(LOWER(L41)=LOWER(Matthieu!M41),1,0)</f>
        <v>1</v>
      </c>
      <c r="N41" s="14">
        <f>IF(LOWER(L41)=LOWER(Aina!N41),1,0)</f>
        <v>1</v>
      </c>
      <c r="O41" s="14">
        <f>IF(LOWER(L41)=LOWER(Kappa!Y43),1,0)</f>
        <v>1</v>
      </c>
    </row>
    <row r="42">
      <c r="A42" s="15" t="s">
        <v>309</v>
      </c>
      <c r="B42" s="15" t="s">
        <v>310</v>
      </c>
      <c r="C42" s="15" t="s">
        <v>311</v>
      </c>
      <c r="G42" s="15" t="s">
        <v>83</v>
      </c>
      <c r="H42" s="107" t="s">
        <v>312</v>
      </c>
      <c r="I42" s="15" t="s">
        <v>2411</v>
      </c>
      <c r="L42" s="14" t="str">
        <f t="shared" si="1"/>
        <v>international organisation</v>
      </c>
      <c r="M42" s="14">
        <f>IF(LOWER(L42)=LOWER(Matthieu!M42),1,0)</f>
        <v>1</v>
      </c>
      <c r="N42" s="14">
        <f>IF(LOWER(L42)=LOWER(Aina!N42),1,0)</f>
        <v>1</v>
      </c>
      <c r="O42" s="14">
        <f>IF(LOWER(L42)=LOWER(Kappa!Y44),1,0)</f>
        <v>1</v>
      </c>
    </row>
    <row r="43">
      <c r="A43" s="108" t="s">
        <v>314</v>
      </c>
      <c r="B43" s="108" t="s">
        <v>315</v>
      </c>
      <c r="C43" s="15" t="s">
        <v>316</v>
      </c>
      <c r="D43" s="108"/>
      <c r="E43" s="108"/>
      <c r="G43" s="108" t="s">
        <v>48</v>
      </c>
      <c r="H43" s="107" t="s">
        <v>64</v>
      </c>
      <c r="I43" s="15" t="s">
        <v>37</v>
      </c>
      <c r="L43" s="14" t="str">
        <f t="shared" si="1"/>
        <v>civil society</v>
      </c>
      <c r="M43" s="14">
        <f>IF(LOWER(L43)=LOWER(Matthieu!M43),1,0)</f>
        <v>1</v>
      </c>
      <c r="N43" s="14">
        <f>IF(LOWER(L43)=LOWER(Aina!N43),1,0)</f>
        <v>1</v>
      </c>
      <c r="O43" s="14">
        <f>IF(LOWER(L43)=LOWER(Kappa!Y45),1,0)</f>
        <v>1</v>
      </c>
    </row>
    <row r="44">
      <c r="A44" s="15" t="s">
        <v>317</v>
      </c>
      <c r="B44" s="15" t="s">
        <v>318</v>
      </c>
      <c r="C44" s="15" t="s">
        <v>319</v>
      </c>
      <c r="G44" s="15" t="s">
        <v>48</v>
      </c>
      <c r="H44" s="107" t="s">
        <v>320</v>
      </c>
      <c r="I44" s="15" t="s">
        <v>77</v>
      </c>
      <c r="L44" s="14" t="str">
        <f t="shared" si="1"/>
        <v>national authority</v>
      </c>
      <c r="M44" s="14">
        <f>IF(LOWER(L44)=LOWER(Matthieu!M44),1,0)</f>
        <v>1</v>
      </c>
      <c r="N44" s="14">
        <f>IF(LOWER(L44)=LOWER(Aina!N44),1,0)</f>
        <v>1</v>
      </c>
      <c r="O44" s="14">
        <f>IF(LOWER(L44)=LOWER(Kappa!Y46),1,0)</f>
        <v>1</v>
      </c>
    </row>
    <row r="45">
      <c r="A45" s="15" t="s">
        <v>326</v>
      </c>
      <c r="B45" s="15" t="s">
        <v>327</v>
      </c>
      <c r="C45" s="15" t="s">
        <v>328</v>
      </c>
      <c r="G45" s="15" t="s">
        <v>38</v>
      </c>
      <c r="H45" s="107" t="s">
        <v>329</v>
      </c>
      <c r="I45" s="15" t="s">
        <v>2411</v>
      </c>
      <c r="L45" s="14" t="str">
        <f t="shared" si="1"/>
        <v>international organisation</v>
      </c>
      <c r="M45" s="14">
        <f>IF(LOWER(L45)=LOWER(Matthieu!M45),1,0)</f>
        <v>1</v>
      </c>
      <c r="N45" s="14">
        <f>IF(LOWER(L45)=LOWER(Aina!N45),1,0)</f>
        <v>1</v>
      </c>
      <c r="O45" s="14">
        <f>IF(LOWER(L45)=LOWER(Kappa!Y47),1,0)</f>
        <v>1</v>
      </c>
    </row>
  </sheetData>
  <conditionalFormatting sqref="P3:P8">
    <cfRule type="colorScale" priority="1">
      <colorScale>
        <cfvo type="min"/>
        <cfvo type="percentile" val="50"/>
        <cfvo type="max"/>
        <color rgb="FFE67C73"/>
        <color rgb="FFFFFFFF"/>
        <color rgb="FF57BB8A"/>
      </colorScale>
    </cfRule>
  </conditionalFormatting>
  <conditionalFormatting sqref="V3:X9">
    <cfRule type="colorScale" priority="2">
      <colorScale>
        <cfvo type="min"/>
        <cfvo type="percentile" val="50"/>
        <cfvo type="max"/>
        <color rgb="FFE67C73"/>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9" max="22" width="10.86"/>
  </cols>
  <sheetData>
    <row r="1">
      <c r="A1" s="7" t="s">
        <v>2401</v>
      </c>
      <c r="B1" s="7" t="s">
        <v>1</v>
      </c>
      <c r="C1" s="7" t="s">
        <v>2</v>
      </c>
      <c r="D1" s="10"/>
      <c r="E1" s="10"/>
      <c r="F1" s="10"/>
      <c r="G1" s="7" t="s">
        <v>6</v>
      </c>
      <c r="H1" s="106" t="s">
        <v>7</v>
      </c>
      <c r="I1" s="7" t="s">
        <v>5</v>
      </c>
      <c r="J1" s="7" t="s">
        <v>2437</v>
      </c>
      <c r="K1" s="7" t="s">
        <v>2438</v>
      </c>
      <c r="O1" s="15" t="s">
        <v>2404</v>
      </c>
      <c r="P1" s="15" t="s">
        <v>33</v>
      </c>
      <c r="Q1" s="15" t="s">
        <v>52</v>
      </c>
    </row>
    <row r="2">
      <c r="A2" s="15" t="s">
        <v>44</v>
      </c>
      <c r="B2" s="15" t="s">
        <v>45</v>
      </c>
      <c r="C2" s="15" t="s">
        <v>46</v>
      </c>
      <c r="G2" s="15" t="s">
        <v>48</v>
      </c>
      <c r="H2" s="107" t="s">
        <v>49</v>
      </c>
      <c r="I2" s="15" t="s">
        <v>47</v>
      </c>
      <c r="K2" s="15" t="s">
        <v>2439</v>
      </c>
      <c r="N2" s="14" t="str">
        <f t="shared" ref="N2:N45" si="1">IF(ISNUMBER(SEARCH(",",I2)),"multistakeholders",lower(I2))</f>
        <v>multistakeholders</v>
      </c>
      <c r="O2" s="14">
        <f>IF(LOWER(N2)=LOWER(Matthieu!M2),1,0)</f>
        <v>0</v>
      </c>
      <c r="P2" s="14">
        <f>IF(LOWER(N2)=LOWER(Maria!L2),1,0)</f>
        <v>0</v>
      </c>
      <c r="Q2" s="14">
        <f>IF(LOWER(N2)=LOWER(Kappa!Y4),1,0)</f>
        <v>1</v>
      </c>
      <c r="R2" s="14"/>
      <c r="S2" s="14" t="s">
        <v>2426</v>
      </c>
      <c r="T2" s="14" t="s">
        <v>2427</v>
      </c>
      <c r="U2" s="14" t="s">
        <v>2406</v>
      </c>
      <c r="V2" s="14" t="s">
        <v>2408</v>
      </c>
      <c r="W2" s="15" t="s">
        <v>2404</v>
      </c>
      <c r="X2" s="15" t="s">
        <v>33</v>
      </c>
      <c r="Y2" s="15" t="s">
        <v>52</v>
      </c>
    </row>
    <row r="3">
      <c r="A3" s="108" t="s">
        <v>53</v>
      </c>
      <c r="B3" s="108" t="s">
        <v>54</v>
      </c>
      <c r="C3" s="108" t="s">
        <v>55</v>
      </c>
      <c r="D3" s="108"/>
      <c r="E3" s="108"/>
      <c r="G3" s="108" t="s">
        <v>38</v>
      </c>
      <c r="H3" s="107" t="s">
        <v>57</v>
      </c>
      <c r="I3" s="15" t="s">
        <v>2411</v>
      </c>
      <c r="N3" s="14" t="str">
        <f t="shared" si="1"/>
        <v>international organisation</v>
      </c>
      <c r="O3" s="14">
        <f>IF(LOWER(N3)=LOWER(Matthieu!M3),1,0)</f>
        <v>1</v>
      </c>
      <c r="P3" s="14">
        <f>IF(LOWER(N3)=LOWER(Maria!L3),1,0)</f>
        <v>1</v>
      </c>
      <c r="Q3" s="14">
        <f>IF(LOWER(N3)=LOWER(Kappa!Y5),1,0)</f>
        <v>1</v>
      </c>
      <c r="R3" s="14" t="s">
        <v>62</v>
      </c>
      <c r="S3" s="14">
        <v>6.0</v>
      </c>
      <c r="T3" s="14">
        <v>4.0</v>
      </c>
      <c r="U3" s="110">
        <v>4.0</v>
      </c>
      <c r="V3" s="14">
        <v>4.0</v>
      </c>
      <c r="W3" s="111">
        <f t="shared" ref="W3:Y3" si="2">T3/$S3</f>
        <v>0.6666666667</v>
      </c>
      <c r="X3" s="111">
        <f t="shared" si="2"/>
        <v>0.6666666667</v>
      </c>
      <c r="Y3" s="111">
        <f t="shared" si="2"/>
        <v>0.6666666667</v>
      </c>
    </row>
    <row r="4">
      <c r="A4" s="15" t="s">
        <v>59</v>
      </c>
      <c r="B4" s="15" t="s">
        <v>60</v>
      </c>
      <c r="C4" s="15" t="s">
        <v>61</v>
      </c>
      <c r="G4" s="15" t="s">
        <v>63</v>
      </c>
      <c r="H4" s="107" t="s">
        <v>64</v>
      </c>
      <c r="I4" s="15" t="s">
        <v>62</v>
      </c>
      <c r="N4" s="14" t="str">
        <f t="shared" si="1"/>
        <v>academia</v>
      </c>
      <c r="O4" s="14">
        <f>IF(LOWER(N4)=LOWER(Matthieu!M4),1,0)</f>
        <v>1</v>
      </c>
      <c r="P4" s="14">
        <f>IF(LOWER(N4)=LOWER(Maria!L4),1,0)</f>
        <v>1</v>
      </c>
      <c r="Q4" s="14">
        <f>IF(LOWER(N4)=LOWER(Kappa!Y6),1,0)</f>
        <v>1</v>
      </c>
      <c r="R4" s="14" t="s">
        <v>37</v>
      </c>
      <c r="S4" s="14">
        <v>11.0</v>
      </c>
      <c r="T4" s="14">
        <v>7.0</v>
      </c>
      <c r="U4" s="110">
        <v>6.0</v>
      </c>
      <c r="V4" s="14">
        <v>9.0</v>
      </c>
      <c r="W4" s="111">
        <f t="shared" ref="W4:Y4" si="3">T4/$S4</f>
        <v>0.6363636364</v>
      </c>
      <c r="X4" s="111">
        <f t="shared" si="3"/>
        <v>0.5454545455</v>
      </c>
      <c r="Y4" s="111">
        <f t="shared" si="3"/>
        <v>0.8181818182</v>
      </c>
    </row>
    <row r="5">
      <c r="A5" s="15" t="s">
        <v>74</v>
      </c>
      <c r="B5" s="15" t="s">
        <v>75</v>
      </c>
      <c r="C5" s="15" t="s">
        <v>76</v>
      </c>
      <c r="G5" s="15" t="s">
        <v>78</v>
      </c>
      <c r="H5" s="107" t="s">
        <v>79</v>
      </c>
      <c r="I5" s="15" t="s">
        <v>77</v>
      </c>
      <c r="N5" s="14" t="str">
        <f t="shared" si="1"/>
        <v>national authority</v>
      </c>
      <c r="O5" s="14">
        <f>IF(LOWER(N5)=LOWER(Matthieu!M5),1,0)</f>
        <v>1</v>
      </c>
      <c r="P5" s="14">
        <f>IF(LOWER(N5)=LOWER(Maria!L5),1,0)</f>
        <v>1</v>
      </c>
      <c r="Q5" s="14">
        <f>IF(LOWER(N5)=LOWER(Kappa!Y7),1,0)</f>
        <v>1</v>
      </c>
      <c r="R5" s="14" t="s">
        <v>2411</v>
      </c>
      <c r="S5" s="14">
        <v>10.0</v>
      </c>
      <c r="T5" s="14">
        <v>9.0</v>
      </c>
      <c r="U5" s="110">
        <v>9.0</v>
      </c>
      <c r="V5" s="14">
        <v>9.0</v>
      </c>
      <c r="W5" s="111">
        <f t="shared" ref="W5:Y5" si="4">T5/$S5</f>
        <v>0.9</v>
      </c>
      <c r="X5" s="111">
        <f t="shared" si="4"/>
        <v>0.9</v>
      </c>
      <c r="Y5" s="111">
        <f t="shared" si="4"/>
        <v>0.9</v>
      </c>
    </row>
    <row r="6">
      <c r="A6" s="15" t="s">
        <v>80</v>
      </c>
      <c r="B6" s="15" t="s">
        <v>81</v>
      </c>
      <c r="C6" s="15" t="s">
        <v>82</v>
      </c>
      <c r="G6" s="15" t="s">
        <v>83</v>
      </c>
      <c r="H6" s="107" t="s">
        <v>84</v>
      </c>
      <c r="I6" s="15" t="s">
        <v>2411</v>
      </c>
      <c r="N6" s="14" t="str">
        <f t="shared" si="1"/>
        <v>international organisation</v>
      </c>
      <c r="O6" s="14">
        <f>IF(LOWER(N6)=LOWER(Matthieu!M6),1,0)</f>
        <v>1</v>
      </c>
      <c r="P6" s="14">
        <f>IF(LOWER(N6)=LOWER(Maria!L6),1,0)</f>
        <v>1</v>
      </c>
      <c r="Q6" s="14">
        <f>IF(LOWER(N6)=LOWER(Kappa!Y8),1,0)</f>
        <v>1</v>
      </c>
      <c r="R6" s="14" t="s">
        <v>2412</v>
      </c>
      <c r="S6" s="14">
        <v>9.0</v>
      </c>
      <c r="T6" s="14">
        <v>1.0</v>
      </c>
      <c r="U6" s="110">
        <v>8.0</v>
      </c>
      <c r="V6" s="14">
        <v>3.0</v>
      </c>
      <c r="W6" s="111">
        <f t="shared" ref="W6:Y6" si="5">T6/$S6</f>
        <v>0.1111111111</v>
      </c>
      <c r="X6" s="111">
        <f t="shared" si="5"/>
        <v>0.8888888889</v>
      </c>
      <c r="Y6" s="111">
        <f t="shared" si="5"/>
        <v>0.3333333333</v>
      </c>
    </row>
    <row r="7">
      <c r="A7" s="15" t="s">
        <v>97</v>
      </c>
      <c r="B7" s="15" t="s">
        <v>45</v>
      </c>
      <c r="C7" s="15" t="s">
        <v>98</v>
      </c>
      <c r="G7" s="15" t="s">
        <v>48</v>
      </c>
      <c r="H7" s="107" t="s">
        <v>99</v>
      </c>
      <c r="I7" s="15" t="s">
        <v>47</v>
      </c>
      <c r="K7" s="15" t="s">
        <v>2440</v>
      </c>
      <c r="N7" s="14" t="str">
        <f t="shared" si="1"/>
        <v>multistakeholders</v>
      </c>
      <c r="O7" s="14">
        <f>IF(LOWER(N7)=LOWER(Matthieu!M7),1,0)</f>
        <v>0</v>
      </c>
      <c r="P7" s="14">
        <f>IF(LOWER(N7)=LOWER(Maria!L7),1,0)</f>
        <v>1</v>
      </c>
      <c r="Q7" s="14">
        <f>IF(LOWER(N7)=LOWER(Kappa!Y9),1,0)</f>
        <v>1</v>
      </c>
      <c r="R7" s="14" t="s">
        <v>77</v>
      </c>
      <c r="S7" s="14">
        <v>6.0</v>
      </c>
      <c r="T7" s="14">
        <v>6.0</v>
      </c>
      <c r="U7" s="110">
        <v>4.0</v>
      </c>
      <c r="V7" s="14">
        <v>6.0</v>
      </c>
      <c r="W7" s="111">
        <f t="shared" ref="W7:Y7" si="6">T7/$S7</f>
        <v>1</v>
      </c>
      <c r="X7" s="111">
        <f t="shared" si="6"/>
        <v>0.6666666667</v>
      </c>
      <c r="Y7" s="111">
        <f t="shared" si="6"/>
        <v>1</v>
      </c>
    </row>
    <row r="8">
      <c r="A8" s="15" t="s">
        <v>100</v>
      </c>
      <c r="B8" s="15" t="s">
        <v>101</v>
      </c>
      <c r="C8" s="15" t="s">
        <v>102</v>
      </c>
      <c r="G8" s="15" t="s">
        <v>83</v>
      </c>
      <c r="H8" s="107" t="s">
        <v>104</v>
      </c>
      <c r="I8" s="15" t="s">
        <v>2411</v>
      </c>
      <c r="N8" s="14" t="str">
        <f t="shared" si="1"/>
        <v>international organisation</v>
      </c>
      <c r="O8" s="14">
        <f>IF(LOWER(N8)=LOWER(Matthieu!M8),1,0)</f>
        <v>1</v>
      </c>
      <c r="P8" s="14">
        <f>IF(LOWER(N8)=LOWER(Maria!L8),1,0)</f>
        <v>1</v>
      </c>
      <c r="Q8" s="14">
        <f>IF(LOWER(N8)=LOWER(Kappa!Y10),1,0)</f>
        <v>1</v>
      </c>
      <c r="R8" s="14" t="s">
        <v>95</v>
      </c>
      <c r="S8" s="14">
        <v>2.0</v>
      </c>
      <c r="T8" s="14">
        <v>2.0</v>
      </c>
      <c r="U8" s="110">
        <v>2.0</v>
      </c>
      <c r="V8" s="14">
        <v>2.0</v>
      </c>
      <c r="W8" s="111">
        <f t="shared" ref="W8:Y8" si="7">T8/$S8</f>
        <v>1</v>
      </c>
      <c r="X8" s="111">
        <f t="shared" si="7"/>
        <v>1</v>
      </c>
      <c r="Y8" s="111">
        <f t="shared" si="7"/>
        <v>1</v>
      </c>
    </row>
    <row r="9">
      <c r="A9" s="108" t="s">
        <v>107</v>
      </c>
      <c r="B9" s="108" t="s">
        <v>108</v>
      </c>
      <c r="C9" s="108" t="s">
        <v>109</v>
      </c>
      <c r="D9" s="108"/>
      <c r="E9" s="108"/>
      <c r="G9" s="108" t="s">
        <v>78</v>
      </c>
      <c r="H9" s="107" t="s">
        <v>110</v>
      </c>
      <c r="I9" s="15" t="s">
        <v>37</v>
      </c>
      <c r="N9" s="14" t="str">
        <f t="shared" si="1"/>
        <v>civil society</v>
      </c>
      <c r="O9" s="14">
        <f>IF(LOWER(N9)=LOWER(Matthieu!M9),1,0)</f>
        <v>0</v>
      </c>
      <c r="P9" s="14">
        <f>IF(LOWER(N9)=LOWER(Maria!L9),1,0)</f>
        <v>1</v>
      </c>
      <c r="Q9" s="14">
        <f>IF(LOWER(N9)=LOWER(Kappa!Y11),1,0)</f>
        <v>0</v>
      </c>
      <c r="R9" s="14" t="s">
        <v>2400</v>
      </c>
      <c r="S9" s="14">
        <v>44.0</v>
      </c>
      <c r="T9" s="14">
        <v>29.0</v>
      </c>
      <c r="U9" s="112">
        <v>33.0</v>
      </c>
      <c r="V9" s="14">
        <v>33.0</v>
      </c>
      <c r="W9" s="111">
        <f t="shared" ref="W9:Y9" si="8">T9/$S9</f>
        <v>0.6590909091</v>
      </c>
      <c r="X9" s="111">
        <f t="shared" si="8"/>
        <v>0.75</v>
      </c>
      <c r="Y9" s="111">
        <f t="shared" si="8"/>
        <v>0.75</v>
      </c>
    </row>
    <row r="10">
      <c r="A10" s="15" t="s">
        <v>112</v>
      </c>
      <c r="B10" s="15" t="s">
        <v>113</v>
      </c>
      <c r="C10" s="15" t="s">
        <v>114</v>
      </c>
      <c r="D10" s="108"/>
      <c r="E10" s="108"/>
      <c r="G10" s="15" t="s">
        <v>115</v>
      </c>
      <c r="H10" s="77"/>
      <c r="I10" s="15" t="s">
        <v>95</v>
      </c>
      <c r="N10" s="14" t="str">
        <f t="shared" si="1"/>
        <v>private sector</v>
      </c>
      <c r="O10" s="14">
        <f>IF(LOWER(N10)=LOWER(Matthieu!M10),1,0)</f>
        <v>1</v>
      </c>
      <c r="P10" s="14">
        <f>IF(LOWER(N10)=LOWER(Maria!L10),1,0)</f>
        <v>1</v>
      </c>
      <c r="Q10" s="14">
        <f>IF(LOWER(N10)=LOWER(Kappa!Y12),1,0)</f>
        <v>1</v>
      </c>
      <c r="S10" s="15" t="s">
        <v>2402</v>
      </c>
    </row>
    <row r="11">
      <c r="A11" s="15" t="s">
        <v>120</v>
      </c>
      <c r="B11" s="15" t="s">
        <v>121</v>
      </c>
      <c r="C11" s="15" t="s">
        <v>122</v>
      </c>
      <c r="D11" s="108"/>
      <c r="E11" s="108"/>
      <c r="G11" s="15" t="s">
        <v>83</v>
      </c>
      <c r="H11" s="107" t="s">
        <v>123</v>
      </c>
      <c r="I11" s="15" t="s">
        <v>62</v>
      </c>
      <c r="J11" s="15" t="s">
        <v>2441</v>
      </c>
      <c r="K11" s="15" t="s">
        <v>2442</v>
      </c>
      <c r="N11" s="14" t="str">
        <f t="shared" si="1"/>
        <v>academia</v>
      </c>
      <c r="O11" s="14">
        <f>IF(LOWER(N11)=LOWER(Matthieu!M11),1,0)</f>
        <v>0</v>
      </c>
      <c r="P11" s="14">
        <f>IF(LOWER(N11)=LOWER(Maria!L11),1,0)</f>
        <v>1</v>
      </c>
      <c r="Q11" s="14">
        <f>IF(LOWER(N11)=LOWER(Kappa!Y13),1,0)</f>
        <v>1</v>
      </c>
      <c r="S11" s="114">
        <f t="shared" ref="S11:S16" si="9">S3/$S$9</f>
        <v>0.1363636364</v>
      </c>
    </row>
    <row r="12">
      <c r="A12" s="108" t="s">
        <v>133</v>
      </c>
      <c r="B12" s="108" t="s">
        <v>134</v>
      </c>
      <c r="C12" s="108" t="s">
        <v>135</v>
      </c>
      <c r="D12" s="108"/>
      <c r="E12" s="108"/>
      <c r="G12" s="108" t="s">
        <v>78</v>
      </c>
      <c r="H12" s="107" t="s">
        <v>99</v>
      </c>
      <c r="I12" s="15" t="s">
        <v>62</v>
      </c>
      <c r="N12" s="14" t="str">
        <f t="shared" si="1"/>
        <v>academia</v>
      </c>
      <c r="O12" s="14">
        <f>IF(LOWER(N12)=LOWER(Matthieu!M12),1,0)</f>
        <v>1</v>
      </c>
      <c r="P12" s="14">
        <f>IF(LOWER(N12)=LOWER(Maria!L12),1,0)</f>
        <v>0</v>
      </c>
      <c r="Q12" s="14">
        <f>IF(LOWER(N12)=LOWER(Kappa!Y14),1,0)</f>
        <v>0</v>
      </c>
      <c r="S12" s="114">
        <f t="shared" si="9"/>
        <v>0.25</v>
      </c>
    </row>
    <row r="13">
      <c r="A13" s="108" t="s">
        <v>137</v>
      </c>
      <c r="B13" s="108" t="s">
        <v>138</v>
      </c>
      <c r="C13" s="108" t="s">
        <v>139</v>
      </c>
      <c r="D13" s="108"/>
      <c r="E13" s="108"/>
      <c r="G13" s="108" t="s">
        <v>132</v>
      </c>
      <c r="H13" s="107" t="s">
        <v>141</v>
      </c>
      <c r="I13" s="15" t="s">
        <v>804</v>
      </c>
      <c r="K13" s="15" t="s">
        <v>2443</v>
      </c>
      <c r="N13" s="14" t="str">
        <f t="shared" si="1"/>
        <v>multistakeholders</v>
      </c>
      <c r="O13" s="14">
        <f>IF(LOWER(N13)=LOWER(Matthieu!M13),1,0)</f>
        <v>0</v>
      </c>
      <c r="P13" s="14">
        <f>IF(LOWER(N13)=LOWER(Maria!L13),1,0)</f>
        <v>1</v>
      </c>
      <c r="Q13" s="14">
        <f>IF(LOWER(N13)=LOWER(Kappa!Y15),1,0)</f>
        <v>0</v>
      </c>
      <c r="S13" s="114">
        <f t="shared" si="9"/>
        <v>0.2272727273</v>
      </c>
    </row>
    <row r="14">
      <c r="A14" s="15" t="s">
        <v>142</v>
      </c>
      <c r="B14" s="15" t="s">
        <v>134</v>
      </c>
      <c r="C14" s="15" t="s">
        <v>143</v>
      </c>
      <c r="G14" s="15" t="s">
        <v>78</v>
      </c>
      <c r="H14" s="107" t="s">
        <v>64</v>
      </c>
      <c r="I14" s="15" t="s">
        <v>2444</v>
      </c>
      <c r="K14" s="15" t="s">
        <v>2445</v>
      </c>
      <c r="N14" s="14" t="str">
        <f t="shared" si="1"/>
        <v>multistakeholders</v>
      </c>
      <c r="O14" s="14">
        <f>IF(LOWER(N14)=LOWER(Matthieu!M14),1,0)</f>
        <v>0</v>
      </c>
      <c r="P14" s="14">
        <f>IF(LOWER(N14)=LOWER(Maria!L14),1,0)</f>
        <v>1</v>
      </c>
      <c r="Q14" s="14">
        <f>IF(LOWER(N14)=LOWER(Kappa!Y16),1,0)</f>
        <v>1</v>
      </c>
      <c r="S14" s="114">
        <f t="shared" si="9"/>
        <v>0.2045454545</v>
      </c>
    </row>
    <row r="15">
      <c r="A15" s="108" t="s">
        <v>144</v>
      </c>
      <c r="B15" s="108" t="s">
        <v>145</v>
      </c>
      <c r="C15" s="15" t="s">
        <v>146</v>
      </c>
      <c r="D15" s="108"/>
      <c r="E15" s="108"/>
      <c r="G15" s="108" t="s">
        <v>78</v>
      </c>
      <c r="H15" s="107" t="s">
        <v>147</v>
      </c>
      <c r="I15" s="15" t="s">
        <v>62</v>
      </c>
      <c r="N15" s="14" t="str">
        <f t="shared" si="1"/>
        <v>academia</v>
      </c>
      <c r="O15" s="14">
        <f>IF(LOWER(N15)=LOWER(Matthieu!M15),1,0)</f>
        <v>1</v>
      </c>
      <c r="P15" s="14">
        <f>IF(LOWER(N15)=LOWER(Maria!L15),1,0)</f>
        <v>1</v>
      </c>
      <c r="Q15" s="14">
        <f>IF(LOWER(N15)=LOWER(Kappa!Y17),1,0)</f>
        <v>1</v>
      </c>
      <c r="S15" s="114">
        <f t="shared" si="9"/>
        <v>0.1363636364</v>
      </c>
    </row>
    <row r="16">
      <c r="A16" s="108" t="s">
        <v>148</v>
      </c>
      <c r="B16" s="15" t="s">
        <v>149</v>
      </c>
      <c r="C16" s="108" t="s">
        <v>150</v>
      </c>
      <c r="D16" s="108"/>
      <c r="E16" s="108"/>
      <c r="G16" s="108" t="s">
        <v>83</v>
      </c>
      <c r="H16" s="107" t="s">
        <v>151</v>
      </c>
      <c r="I16" s="15" t="s">
        <v>2411</v>
      </c>
      <c r="N16" s="14" t="str">
        <f t="shared" si="1"/>
        <v>international organisation</v>
      </c>
      <c r="O16" s="14">
        <f>IF(LOWER(N16)=LOWER(Matthieu!M16),1,0)</f>
        <v>1</v>
      </c>
      <c r="P16" s="14">
        <f>IF(LOWER(N16)=LOWER(Maria!L16),1,0)</f>
        <v>1</v>
      </c>
      <c r="Q16" s="14">
        <f>IF(LOWER(N16)=LOWER(Kappa!Y18),1,0)</f>
        <v>1</v>
      </c>
      <c r="S16" s="114">
        <f t="shared" si="9"/>
        <v>0.04545454545</v>
      </c>
    </row>
    <row r="17">
      <c r="A17" s="15" t="s">
        <v>153</v>
      </c>
      <c r="B17" s="15" t="s">
        <v>154</v>
      </c>
      <c r="C17" s="15" t="s">
        <v>155</v>
      </c>
      <c r="D17" s="15" t="s">
        <v>156</v>
      </c>
      <c r="E17" s="108" t="s">
        <v>157</v>
      </c>
      <c r="G17" s="108" t="s">
        <v>158</v>
      </c>
      <c r="H17" s="107" t="s">
        <v>159</v>
      </c>
      <c r="I17" s="15" t="s">
        <v>62</v>
      </c>
      <c r="N17" s="14" t="str">
        <f t="shared" si="1"/>
        <v>academia</v>
      </c>
      <c r="O17" s="14">
        <f>IF(LOWER(N17)=LOWER(Matthieu!M17),1,0)</f>
        <v>1</v>
      </c>
      <c r="P17" s="14">
        <f>IF(LOWER(N17)=LOWER(Maria!L17),1,0)</f>
        <v>1</v>
      </c>
      <c r="Q17" s="14">
        <f>IF(LOWER(N17)=LOWER(Kappa!Y19),1,0)</f>
        <v>1</v>
      </c>
    </row>
    <row r="18">
      <c r="A18" s="108" t="s">
        <v>160</v>
      </c>
      <c r="B18" s="108" t="s">
        <v>161</v>
      </c>
      <c r="C18" s="15" t="s">
        <v>162</v>
      </c>
      <c r="D18" s="108"/>
      <c r="E18" s="108"/>
      <c r="G18" s="108" t="s">
        <v>78</v>
      </c>
      <c r="H18" s="107" t="s">
        <v>163</v>
      </c>
      <c r="I18" s="15" t="s">
        <v>37</v>
      </c>
      <c r="N18" s="14" t="str">
        <f t="shared" si="1"/>
        <v>civil society</v>
      </c>
      <c r="O18" s="14">
        <f>IF(LOWER(N18)=LOWER(Matthieu!M18),1,0)</f>
        <v>1</v>
      </c>
      <c r="P18" s="14">
        <f>IF(LOWER(N18)=LOWER(Maria!L18),1,0)</f>
        <v>0</v>
      </c>
      <c r="Q18" s="14">
        <f>IF(LOWER(N18)=LOWER(Kappa!Y20),1,0)</f>
        <v>0</v>
      </c>
    </row>
    <row r="19">
      <c r="A19" s="108" t="s">
        <v>164</v>
      </c>
      <c r="B19" s="108" t="s">
        <v>165</v>
      </c>
      <c r="C19" s="108" t="s">
        <v>166</v>
      </c>
      <c r="D19" s="108"/>
      <c r="E19" s="108"/>
      <c r="G19" s="108" t="s">
        <v>78</v>
      </c>
      <c r="H19" s="107" t="s">
        <v>167</v>
      </c>
      <c r="I19" s="15" t="s">
        <v>47</v>
      </c>
      <c r="K19" s="15" t="s">
        <v>2446</v>
      </c>
      <c r="N19" s="14" t="str">
        <f t="shared" si="1"/>
        <v>multistakeholders</v>
      </c>
      <c r="O19" s="14">
        <f>IF(LOWER(N19)=LOWER(Matthieu!M19),1,0)</f>
        <v>0</v>
      </c>
      <c r="P19" s="14">
        <f>IF(LOWER(N19)=LOWER(Maria!L19),1,0)</f>
        <v>1</v>
      </c>
      <c r="Q19" s="14">
        <f>IF(LOWER(N19)=LOWER(Kappa!Y21),1,0)</f>
        <v>0</v>
      </c>
    </row>
    <row r="20">
      <c r="A20" s="108" t="s">
        <v>168</v>
      </c>
      <c r="B20" s="108" t="s">
        <v>169</v>
      </c>
      <c r="C20" s="15" t="s">
        <v>170</v>
      </c>
      <c r="D20" s="108"/>
      <c r="E20" s="108"/>
      <c r="G20" s="108" t="s">
        <v>48</v>
      </c>
      <c r="H20" s="107" t="s">
        <v>172</v>
      </c>
      <c r="I20" s="15" t="s">
        <v>62</v>
      </c>
      <c r="N20" s="14" t="str">
        <f t="shared" si="1"/>
        <v>academia</v>
      </c>
      <c r="O20" s="14">
        <f>IF(LOWER(N20)=LOWER(Matthieu!M20),1,0)</f>
        <v>0</v>
      </c>
      <c r="P20" s="14">
        <f>IF(LOWER(N20)=LOWER(Maria!L20),1,0)</f>
        <v>0</v>
      </c>
      <c r="Q20" s="14">
        <f>IF(LOWER(N20)=LOWER(Kappa!Y22),1,0)</f>
        <v>0</v>
      </c>
    </row>
    <row r="21">
      <c r="A21" s="15" t="s">
        <v>173</v>
      </c>
      <c r="B21" s="15" t="s">
        <v>174</v>
      </c>
      <c r="C21" s="15" t="s">
        <v>175</v>
      </c>
      <c r="G21" s="15" t="s">
        <v>78</v>
      </c>
      <c r="H21" s="107" t="s">
        <v>176</v>
      </c>
      <c r="I21" s="15" t="s">
        <v>77</v>
      </c>
      <c r="N21" s="14" t="str">
        <f t="shared" si="1"/>
        <v>national authority</v>
      </c>
      <c r="O21" s="14">
        <f>IF(LOWER(N21)=LOWER(Matthieu!M21),1,0)</f>
        <v>1</v>
      </c>
      <c r="P21" s="14">
        <f>IF(LOWER(N21)=LOWER(Maria!L21),1,0)</f>
        <v>0</v>
      </c>
      <c r="Q21" s="14">
        <f>IF(LOWER(N21)=LOWER(Kappa!Y23),1,0)</f>
        <v>1</v>
      </c>
    </row>
    <row r="22">
      <c r="A22" s="15" t="s">
        <v>177</v>
      </c>
      <c r="B22" s="15" t="s">
        <v>178</v>
      </c>
      <c r="C22" s="15" t="s">
        <v>179</v>
      </c>
      <c r="G22" s="15" t="s">
        <v>83</v>
      </c>
      <c r="H22" s="107" t="s">
        <v>180</v>
      </c>
      <c r="I22" s="15" t="s">
        <v>2411</v>
      </c>
      <c r="N22" s="14" t="str">
        <f t="shared" si="1"/>
        <v>international organisation</v>
      </c>
      <c r="O22" s="14">
        <f>IF(LOWER(N22)=LOWER(Matthieu!M22),1,0)</f>
        <v>1</v>
      </c>
      <c r="P22" s="14">
        <f>IF(LOWER(N22)=LOWER(Maria!L22),1,0)</f>
        <v>1</v>
      </c>
      <c r="Q22" s="14">
        <f>IF(LOWER(N22)=LOWER(Kappa!Y24),1,0)</f>
        <v>1</v>
      </c>
    </row>
    <row r="23">
      <c r="A23" s="15" t="s">
        <v>182</v>
      </c>
      <c r="B23" s="15" t="s">
        <v>183</v>
      </c>
      <c r="C23" s="15" t="s">
        <v>184</v>
      </c>
      <c r="G23" s="15" t="s">
        <v>38</v>
      </c>
      <c r="H23" s="107" t="s">
        <v>185</v>
      </c>
      <c r="I23" s="15" t="s">
        <v>1379</v>
      </c>
      <c r="K23" s="15" t="s">
        <v>2447</v>
      </c>
      <c r="N23" s="14" t="str">
        <f t="shared" si="1"/>
        <v>multistakeholders</v>
      </c>
      <c r="O23" s="14">
        <f>IF(LOWER(N23)=LOWER(Matthieu!M23),1,0)</f>
        <v>0</v>
      </c>
      <c r="P23" s="14">
        <f>IF(LOWER(N23)=LOWER(Maria!L23),1,0)</f>
        <v>1</v>
      </c>
      <c r="Q23" s="14">
        <f>IF(LOWER(N23)=LOWER(Kappa!Y25),1,0)</f>
        <v>0</v>
      </c>
    </row>
    <row r="24">
      <c r="A24" s="108" t="s">
        <v>186</v>
      </c>
      <c r="B24" s="108" t="s">
        <v>187</v>
      </c>
      <c r="C24" s="108" t="s">
        <v>188</v>
      </c>
      <c r="D24" s="108"/>
      <c r="E24" s="108"/>
      <c r="G24" s="108" t="s">
        <v>48</v>
      </c>
      <c r="H24" s="107" t="s">
        <v>189</v>
      </c>
      <c r="I24" s="15" t="s">
        <v>77</v>
      </c>
      <c r="N24" s="14" t="str">
        <f t="shared" si="1"/>
        <v>national authority</v>
      </c>
      <c r="O24" s="14">
        <f>IF(LOWER(N24)=LOWER(Matthieu!M24),1,0)</f>
        <v>1</v>
      </c>
      <c r="P24" s="14">
        <f>IF(LOWER(N24)=LOWER(Maria!L24),1,0)</f>
        <v>1</v>
      </c>
      <c r="Q24" s="14">
        <f>IF(LOWER(N24)=LOWER(Kappa!Y26),1,0)</f>
        <v>1</v>
      </c>
    </row>
    <row r="25">
      <c r="A25" s="108" t="s">
        <v>190</v>
      </c>
      <c r="B25" s="108" t="s">
        <v>169</v>
      </c>
      <c r="C25" s="15" t="s">
        <v>191</v>
      </c>
      <c r="D25" s="108"/>
      <c r="E25" s="108"/>
      <c r="G25" s="108" t="s">
        <v>48</v>
      </c>
      <c r="H25" s="107" t="s">
        <v>192</v>
      </c>
      <c r="I25" s="15" t="s">
        <v>2448</v>
      </c>
      <c r="J25" s="15" t="s">
        <v>2441</v>
      </c>
      <c r="K25" s="15" t="s">
        <v>2449</v>
      </c>
      <c r="N25" s="14" t="str">
        <f t="shared" si="1"/>
        <v>multistakeholders</v>
      </c>
      <c r="O25" s="14">
        <f>IF(LOWER(N25)=LOWER(Matthieu!M25),1,0)</f>
        <v>1</v>
      </c>
      <c r="P25" s="14">
        <f>IF(LOWER(N25)=LOWER(Maria!L25),1,0)</f>
        <v>1</v>
      </c>
      <c r="Q25" s="14">
        <f>IF(LOWER(N25)=LOWER(Kappa!Y27),1,0)</f>
        <v>0</v>
      </c>
    </row>
    <row r="26">
      <c r="A26" s="108" t="s">
        <v>201</v>
      </c>
      <c r="B26" s="108" t="s">
        <v>202</v>
      </c>
      <c r="C26" s="15" t="s">
        <v>203</v>
      </c>
      <c r="D26" s="108"/>
      <c r="E26" s="108"/>
      <c r="G26" s="108" t="s">
        <v>204</v>
      </c>
      <c r="H26" s="107" t="s">
        <v>99</v>
      </c>
      <c r="I26" s="15" t="s">
        <v>2411</v>
      </c>
      <c r="N26" s="14" t="str">
        <f t="shared" si="1"/>
        <v>international organisation</v>
      </c>
      <c r="O26" s="14">
        <f>IF(LOWER(N26)=LOWER(Matthieu!M26),1,0)</f>
        <v>0</v>
      </c>
      <c r="P26" s="14">
        <f>IF(LOWER(N26)=LOWER(Maria!L26),1,0)</f>
        <v>1</v>
      </c>
      <c r="Q26" s="14">
        <f>IF(LOWER(N26)=LOWER(Kappa!Y28),1,0)</f>
        <v>0</v>
      </c>
    </row>
    <row r="27">
      <c r="A27" s="15" t="s">
        <v>205</v>
      </c>
      <c r="B27" s="15" t="s">
        <v>206</v>
      </c>
      <c r="C27" s="15" t="s">
        <v>207</v>
      </c>
      <c r="D27" s="108"/>
      <c r="E27" s="108"/>
      <c r="G27" s="108" t="s">
        <v>48</v>
      </c>
      <c r="H27" s="107" t="s">
        <v>208</v>
      </c>
      <c r="I27" s="15" t="s">
        <v>37</v>
      </c>
      <c r="N27" s="14" t="str">
        <f t="shared" si="1"/>
        <v>civil society</v>
      </c>
      <c r="O27" s="14">
        <f>IF(LOWER(N27)=LOWER(Matthieu!M27),1,0)</f>
        <v>1</v>
      </c>
      <c r="P27" s="14">
        <f>IF(LOWER(N27)=LOWER(Maria!L27),1,0)</f>
        <v>1</v>
      </c>
      <c r="Q27" s="14">
        <f>IF(LOWER(N27)=LOWER(Kappa!Y29),1,0)</f>
        <v>1</v>
      </c>
    </row>
    <row r="28">
      <c r="A28" s="108" t="s">
        <v>209</v>
      </c>
      <c r="B28" s="108" t="s">
        <v>210</v>
      </c>
      <c r="C28" s="108" t="s">
        <v>211</v>
      </c>
      <c r="D28" s="108"/>
      <c r="E28" s="108"/>
      <c r="G28" s="108" t="s">
        <v>38</v>
      </c>
      <c r="H28" s="107" t="s">
        <v>212</v>
      </c>
      <c r="I28" s="15" t="s">
        <v>37</v>
      </c>
      <c r="N28" s="14" t="str">
        <f t="shared" si="1"/>
        <v>civil society</v>
      </c>
      <c r="O28" s="14">
        <f>IF(LOWER(N28)=LOWER(Matthieu!M28),1,0)</f>
        <v>0</v>
      </c>
      <c r="P28" s="14">
        <f>IF(LOWER(N28)=LOWER(Maria!L28),1,0)</f>
        <v>0</v>
      </c>
      <c r="Q28" s="14">
        <f>IF(LOWER(N28)=LOWER(Kappa!Y30),1,0)</f>
        <v>1</v>
      </c>
    </row>
    <row r="29">
      <c r="A29" s="108" t="s">
        <v>216</v>
      </c>
      <c r="B29" s="108" t="s">
        <v>217</v>
      </c>
      <c r="C29" s="108" t="s">
        <v>218</v>
      </c>
      <c r="D29" s="108"/>
      <c r="E29" s="108"/>
      <c r="G29" s="108" t="s">
        <v>38</v>
      </c>
      <c r="H29" s="107" t="s">
        <v>219</v>
      </c>
      <c r="I29" s="15" t="s">
        <v>2411</v>
      </c>
      <c r="N29" s="14" t="str">
        <f t="shared" si="1"/>
        <v>international organisation</v>
      </c>
      <c r="O29" s="14">
        <f>IF(LOWER(N29)=LOWER(Matthieu!M29),1,0)</f>
        <v>1</v>
      </c>
      <c r="P29" s="14">
        <f>IF(LOWER(N29)=LOWER(Maria!L29),1,0)</f>
        <v>0</v>
      </c>
      <c r="Q29" s="14">
        <f>IF(LOWER(N29)=LOWER(Kappa!Y31),1,0)</f>
        <v>1</v>
      </c>
    </row>
    <row r="30">
      <c r="A30" s="15" t="s">
        <v>223</v>
      </c>
      <c r="B30" s="15" t="s">
        <v>117</v>
      </c>
      <c r="C30" s="15" t="s">
        <v>224</v>
      </c>
      <c r="G30" s="15" t="s">
        <v>48</v>
      </c>
      <c r="H30" s="107" t="s">
        <v>225</v>
      </c>
      <c r="I30" s="15" t="s">
        <v>37</v>
      </c>
      <c r="N30" s="14" t="str">
        <f t="shared" si="1"/>
        <v>civil society</v>
      </c>
      <c r="O30" s="14">
        <f>IF(LOWER(N30)=LOWER(Matthieu!M30),1,0)</f>
        <v>0</v>
      </c>
      <c r="P30" s="14">
        <f>IF(LOWER(N30)=LOWER(Maria!L30),1,0)</f>
        <v>0</v>
      </c>
      <c r="Q30" s="14">
        <f>IF(LOWER(N30)=LOWER(Kappa!Y32),1,0)</f>
        <v>1</v>
      </c>
    </row>
    <row r="31">
      <c r="A31" s="15" t="s">
        <v>226</v>
      </c>
      <c r="B31" s="15" t="s">
        <v>227</v>
      </c>
      <c r="C31" s="15" t="s">
        <v>228</v>
      </c>
      <c r="G31" s="15" t="s">
        <v>83</v>
      </c>
      <c r="H31" s="107" t="s">
        <v>229</v>
      </c>
      <c r="I31" s="15" t="s">
        <v>2411</v>
      </c>
      <c r="N31" s="14" t="str">
        <f t="shared" si="1"/>
        <v>international organisation</v>
      </c>
      <c r="O31" s="14">
        <f>IF(LOWER(N31)=LOWER(Matthieu!M31),1,0)</f>
        <v>1</v>
      </c>
      <c r="P31" s="14">
        <f>IF(LOWER(N31)=LOWER(Maria!L31),1,0)</f>
        <v>1</v>
      </c>
      <c r="Q31" s="14">
        <f>IF(LOWER(N31)=LOWER(Kappa!Y33),1,0)</f>
        <v>1</v>
      </c>
    </row>
    <row r="32">
      <c r="A32" s="108" t="s">
        <v>230</v>
      </c>
      <c r="B32" s="108" t="s">
        <v>231</v>
      </c>
      <c r="C32" s="15" t="s">
        <v>232</v>
      </c>
      <c r="D32" s="108"/>
      <c r="E32" s="108"/>
      <c r="G32" s="108" t="s">
        <v>233</v>
      </c>
      <c r="H32" s="107" t="s">
        <v>234</v>
      </c>
      <c r="I32" s="15" t="s">
        <v>37</v>
      </c>
      <c r="N32" s="14" t="str">
        <f t="shared" si="1"/>
        <v>civil society</v>
      </c>
      <c r="O32" s="14">
        <f>IF(LOWER(N32)=LOWER(Matthieu!M32),1,0)</f>
        <v>0</v>
      </c>
      <c r="P32" s="14">
        <f>IF(LOWER(N32)=LOWER(Maria!L32),1,0)</f>
        <v>0</v>
      </c>
      <c r="Q32" s="14">
        <f>IF(LOWER(N32)=LOWER(Kappa!Y34),1,0)</f>
        <v>1</v>
      </c>
    </row>
    <row r="33">
      <c r="A33" s="108" t="s">
        <v>236</v>
      </c>
      <c r="B33" s="108" t="s">
        <v>237</v>
      </c>
      <c r="C33" s="15" t="s">
        <v>238</v>
      </c>
      <c r="D33" s="15" t="s">
        <v>29</v>
      </c>
      <c r="E33" s="15" t="s">
        <v>29</v>
      </c>
      <c r="G33" s="108" t="s">
        <v>48</v>
      </c>
      <c r="H33" s="107" t="s">
        <v>239</v>
      </c>
      <c r="I33" s="15" t="s">
        <v>95</v>
      </c>
      <c r="N33" s="14" t="str">
        <f t="shared" si="1"/>
        <v>private sector</v>
      </c>
      <c r="O33" s="14">
        <f>IF(LOWER(N33)=LOWER(Matthieu!M33),1,0)</f>
        <v>1</v>
      </c>
      <c r="P33" s="14">
        <f>IF(LOWER(N33)=LOWER(Maria!L33),1,0)</f>
        <v>1</v>
      </c>
      <c r="Q33" s="14">
        <f>IF(LOWER(N33)=LOWER(Kappa!Y35),1,0)</f>
        <v>1</v>
      </c>
    </row>
    <row r="34">
      <c r="A34" s="15" t="s">
        <v>241</v>
      </c>
      <c r="B34" s="15" t="s">
        <v>242</v>
      </c>
      <c r="C34" s="15" t="s">
        <v>243</v>
      </c>
      <c r="D34" s="108"/>
      <c r="E34" s="108"/>
      <c r="G34" s="15" t="s">
        <v>48</v>
      </c>
      <c r="H34" s="107" t="s">
        <v>244</v>
      </c>
      <c r="I34" s="15" t="s">
        <v>37</v>
      </c>
      <c r="N34" s="14" t="str">
        <f t="shared" si="1"/>
        <v>civil society</v>
      </c>
      <c r="O34" s="14">
        <f>IF(LOWER(N34)=LOWER(Matthieu!M34),1,0)</f>
        <v>1</v>
      </c>
      <c r="P34" s="14">
        <f>IF(LOWER(N34)=LOWER(Maria!L34),1,0)</f>
        <v>1</v>
      </c>
      <c r="Q34" s="14">
        <f>IF(LOWER(N34)=LOWER(Kappa!Y36),1,0)</f>
        <v>1</v>
      </c>
    </row>
    <row r="35">
      <c r="A35" s="15" t="s">
        <v>245</v>
      </c>
      <c r="B35" s="15" t="s">
        <v>242</v>
      </c>
      <c r="C35" s="15" t="s">
        <v>246</v>
      </c>
      <c r="G35" s="15" t="s">
        <v>48</v>
      </c>
      <c r="H35" s="107" t="s">
        <v>247</v>
      </c>
      <c r="I35" s="15" t="s">
        <v>37</v>
      </c>
      <c r="N35" s="14" t="str">
        <f t="shared" si="1"/>
        <v>civil society</v>
      </c>
      <c r="O35" s="14">
        <f>IF(LOWER(N35)=LOWER(Matthieu!M35),1,0)</f>
        <v>1</v>
      </c>
      <c r="P35" s="14">
        <f>IF(LOWER(N35)=LOWER(Maria!L35),1,0)</f>
        <v>1</v>
      </c>
      <c r="Q35" s="14">
        <f>IF(LOWER(N35)=LOWER(Kappa!Y37),1,0)</f>
        <v>1</v>
      </c>
    </row>
    <row r="36">
      <c r="A36" s="108" t="s">
        <v>258</v>
      </c>
      <c r="B36" s="108" t="s">
        <v>259</v>
      </c>
      <c r="C36" s="108" t="s">
        <v>260</v>
      </c>
      <c r="D36" s="108"/>
      <c r="E36" s="108"/>
      <c r="G36" s="108" t="s">
        <v>132</v>
      </c>
      <c r="H36" s="107" t="s">
        <v>104</v>
      </c>
      <c r="I36" s="15" t="s">
        <v>2433</v>
      </c>
      <c r="K36" s="15" t="s">
        <v>2450</v>
      </c>
      <c r="N36" s="14" t="str">
        <f t="shared" si="1"/>
        <v>multistakeholders</v>
      </c>
      <c r="O36" s="14">
        <f>IF(LOWER(N36)=LOWER(Matthieu!M36),1,0)</f>
        <v>0</v>
      </c>
      <c r="P36" s="14">
        <f>IF(LOWER(N36)=LOWER(Maria!L36),1,0)</f>
        <v>1</v>
      </c>
      <c r="Q36" s="14">
        <f>IF(LOWER(N36)=LOWER(Kappa!Y38),1,0)</f>
        <v>0</v>
      </c>
    </row>
    <row r="37">
      <c r="A37" s="108" t="s">
        <v>261</v>
      </c>
      <c r="B37" s="15" t="s">
        <v>262</v>
      </c>
      <c r="C37" s="15" t="s">
        <v>263</v>
      </c>
      <c r="D37" s="108"/>
      <c r="E37" s="108"/>
      <c r="G37" s="15" t="s">
        <v>264</v>
      </c>
      <c r="H37" s="107" t="s">
        <v>265</v>
      </c>
      <c r="I37" s="15" t="s">
        <v>77</v>
      </c>
      <c r="K37" s="15" t="s">
        <v>2451</v>
      </c>
      <c r="N37" s="14" t="str">
        <f t="shared" si="1"/>
        <v>national authority</v>
      </c>
      <c r="O37" s="14">
        <f>IF(LOWER(N37)=LOWER(Matthieu!M37),1,0)</f>
        <v>1</v>
      </c>
      <c r="P37" s="14">
        <f>IF(LOWER(N37)=LOWER(Maria!L37),1,0)</f>
        <v>1</v>
      </c>
      <c r="Q37" s="14">
        <f>IF(LOWER(N37)=LOWER(Kappa!Y39),1,0)</f>
        <v>1</v>
      </c>
    </row>
    <row r="38">
      <c r="A38" s="15" t="s">
        <v>271</v>
      </c>
      <c r="B38" s="15" t="s">
        <v>272</v>
      </c>
      <c r="C38" s="15" t="s">
        <v>273</v>
      </c>
      <c r="G38" s="15" t="s">
        <v>83</v>
      </c>
      <c r="H38" s="107" t="s">
        <v>64</v>
      </c>
      <c r="I38" s="15" t="s">
        <v>2434</v>
      </c>
      <c r="K38" s="15" t="s">
        <v>2452</v>
      </c>
      <c r="N38" s="14" t="str">
        <f t="shared" si="1"/>
        <v>multistakeholders</v>
      </c>
      <c r="O38" s="14">
        <f>IF(LOWER(N38)=LOWER(Matthieu!M38),1,0)</f>
        <v>0</v>
      </c>
      <c r="P38" s="14">
        <f>IF(LOWER(N38)=LOWER(Maria!L38),1,0)</f>
        <v>1</v>
      </c>
      <c r="Q38" s="14">
        <f>IF(LOWER(N38)=LOWER(Kappa!Y40),1,0)</f>
        <v>0</v>
      </c>
    </row>
    <row r="39">
      <c r="A39" s="108" t="s">
        <v>277</v>
      </c>
      <c r="B39" s="108" t="s">
        <v>278</v>
      </c>
      <c r="C39" s="108" t="s">
        <v>279</v>
      </c>
      <c r="D39" s="108"/>
      <c r="E39" s="108"/>
      <c r="G39" s="108" t="s">
        <v>63</v>
      </c>
      <c r="H39" s="107" t="s">
        <v>280</v>
      </c>
      <c r="I39" s="15" t="s">
        <v>37</v>
      </c>
      <c r="N39" s="14" t="str">
        <f t="shared" si="1"/>
        <v>civil society</v>
      </c>
      <c r="O39" s="14">
        <f>IF(LOWER(N39)=LOWER(Matthieu!M39),1,0)</f>
        <v>1</v>
      </c>
      <c r="P39" s="14">
        <f>IF(LOWER(N39)=LOWER(Maria!L39),1,0)</f>
        <v>0</v>
      </c>
      <c r="Q39" s="14">
        <f>IF(LOWER(N39)=LOWER(Kappa!Y41),1,0)</f>
        <v>1</v>
      </c>
    </row>
    <row r="40">
      <c r="A40" s="108" t="s">
        <v>285</v>
      </c>
      <c r="B40" s="108" t="s">
        <v>286</v>
      </c>
      <c r="C40" s="15" t="s">
        <v>287</v>
      </c>
      <c r="D40" s="108"/>
      <c r="E40" s="108"/>
      <c r="G40" s="108" t="s">
        <v>68</v>
      </c>
      <c r="H40" s="107" t="s">
        <v>99</v>
      </c>
      <c r="I40" s="15" t="s">
        <v>77</v>
      </c>
      <c r="N40" s="14" t="str">
        <f t="shared" si="1"/>
        <v>national authority</v>
      </c>
      <c r="O40" s="14">
        <f>IF(LOWER(N40)=LOWER(Matthieu!M40),1,0)</f>
        <v>1</v>
      </c>
      <c r="P40" s="14">
        <f>IF(LOWER(N40)=LOWER(Maria!L40),1,0)</f>
        <v>0</v>
      </c>
      <c r="Q40" s="14">
        <f>IF(LOWER(N40)=LOWER(Kappa!Y42),1,0)</f>
        <v>1</v>
      </c>
    </row>
    <row r="41">
      <c r="A41" s="108" t="s">
        <v>296</v>
      </c>
      <c r="B41" s="108" t="s">
        <v>297</v>
      </c>
      <c r="C41" s="108" t="s">
        <v>298</v>
      </c>
      <c r="D41" s="15" t="s">
        <v>299</v>
      </c>
      <c r="E41" s="108"/>
      <c r="G41" s="108" t="s">
        <v>78</v>
      </c>
      <c r="H41" s="107" t="s">
        <v>99</v>
      </c>
      <c r="I41" s="15" t="s">
        <v>37</v>
      </c>
      <c r="N41" s="14" t="str">
        <f t="shared" si="1"/>
        <v>civil society</v>
      </c>
      <c r="O41" s="14">
        <f>IF(LOWER(N41)=LOWER(Matthieu!M41),1,0)</f>
        <v>1</v>
      </c>
      <c r="P41" s="14">
        <f>IF(LOWER(N41)=LOWER(Maria!L41),1,0)</f>
        <v>1</v>
      </c>
      <c r="Q41" s="14">
        <f>IF(LOWER(N41)=LOWER(Kappa!Y43),1,0)</f>
        <v>1</v>
      </c>
    </row>
    <row r="42">
      <c r="A42" s="15" t="s">
        <v>309</v>
      </c>
      <c r="B42" s="15" t="s">
        <v>310</v>
      </c>
      <c r="C42" s="15" t="s">
        <v>311</v>
      </c>
      <c r="G42" s="15" t="s">
        <v>83</v>
      </c>
      <c r="H42" s="107" t="s">
        <v>312</v>
      </c>
      <c r="I42" s="15" t="s">
        <v>2411</v>
      </c>
      <c r="N42" s="14" t="str">
        <f t="shared" si="1"/>
        <v>international organisation</v>
      </c>
      <c r="O42" s="14">
        <f>IF(LOWER(N42)=LOWER(Matthieu!M42),1,0)</f>
        <v>1</v>
      </c>
      <c r="P42" s="14">
        <f>IF(LOWER(N42)=LOWER(Maria!L42),1,0)</f>
        <v>1</v>
      </c>
      <c r="Q42" s="14">
        <f>IF(LOWER(N42)=LOWER(Kappa!Y44),1,0)</f>
        <v>1</v>
      </c>
    </row>
    <row r="43">
      <c r="A43" s="108" t="s">
        <v>314</v>
      </c>
      <c r="B43" s="108" t="s">
        <v>315</v>
      </c>
      <c r="C43" s="15" t="s">
        <v>316</v>
      </c>
      <c r="D43" s="108"/>
      <c r="E43" s="108"/>
      <c r="G43" s="108" t="s">
        <v>48</v>
      </c>
      <c r="H43" s="107" t="s">
        <v>64</v>
      </c>
      <c r="I43" s="15" t="s">
        <v>37</v>
      </c>
      <c r="N43" s="14" t="str">
        <f t="shared" si="1"/>
        <v>civil society</v>
      </c>
      <c r="O43" s="14">
        <f>IF(LOWER(N43)=LOWER(Matthieu!M43),1,0)</f>
        <v>1</v>
      </c>
      <c r="P43" s="14">
        <f>IF(LOWER(N43)=LOWER(Maria!L43),1,0)</f>
        <v>1</v>
      </c>
      <c r="Q43" s="14">
        <f>IF(LOWER(N43)=LOWER(Kappa!Y45),1,0)</f>
        <v>1</v>
      </c>
    </row>
    <row r="44">
      <c r="A44" s="15" t="s">
        <v>317</v>
      </c>
      <c r="B44" s="15" t="s">
        <v>318</v>
      </c>
      <c r="C44" s="15" t="s">
        <v>319</v>
      </c>
      <c r="G44" s="15" t="s">
        <v>48</v>
      </c>
      <c r="H44" s="107" t="s">
        <v>320</v>
      </c>
      <c r="I44" s="15" t="s">
        <v>77</v>
      </c>
      <c r="N44" s="14" t="str">
        <f t="shared" si="1"/>
        <v>national authority</v>
      </c>
      <c r="O44" s="14">
        <f>IF(LOWER(N44)=LOWER(Matthieu!M44),1,0)</f>
        <v>1</v>
      </c>
      <c r="P44" s="14">
        <f>IF(LOWER(N44)=LOWER(Maria!L44),1,0)</f>
        <v>1</v>
      </c>
      <c r="Q44" s="14">
        <f>IF(LOWER(N44)=LOWER(Kappa!Y46),1,0)</f>
        <v>1</v>
      </c>
    </row>
    <row r="45">
      <c r="A45" s="15" t="s">
        <v>326</v>
      </c>
      <c r="B45" s="15" t="s">
        <v>327</v>
      </c>
      <c r="C45" s="15" t="s">
        <v>328</v>
      </c>
      <c r="G45" s="15" t="s">
        <v>38</v>
      </c>
      <c r="H45" s="107" t="s">
        <v>329</v>
      </c>
      <c r="I45" s="15" t="s">
        <v>2411</v>
      </c>
      <c r="N45" s="14" t="str">
        <f t="shared" si="1"/>
        <v>international organisation</v>
      </c>
      <c r="O45" s="14">
        <f>IF(LOWER(N45)=LOWER(Matthieu!M45),1,0)</f>
        <v>1</v>
      </c>
      <c r="P45" s="14">
        <f>IF(LOWER(N45)=LOWER(Maria!L45),1,0)</f>
        <v>1</v>
      </c>
      <c r="Q45" s="14">
        <f>IF(LOWER(N45)=LOWER(Kappa!Y47),1,0)</f>
        <v>1</v>
      </c>
    </row>
  </sheetData>
  <conditionalFormatting sqref="W3:Y9">
    <cfRule type="colorScale" priority="1">
      <colorScale>
        <cfvo type="min"/>
        <cfvo type="percentile" val="50"/>
        <cfvo type="max"/>
        <color rgb="FFE67C73"/>
        <color rgb="FFFFFFFF"/>
        <color rgb="FF57BB8A"/>
      </colorScale>
    </cfRule>
  </conditionalFormatting>
  <conditionalFormatting sqref="S11:S16">
    <cfRule type="colorScale" priority="2">
      <colorScale>
        <cfvo type="min"/>
        <cfvo type="percentile" val="50"/>
        <cfvo type="max"/>
        <color rgb="FFE67C73"/>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86"/>
  </cols>
  <sheetData>
    <row r="1">
      <c r="A1" s="7" t="s">
        <v>2401</v>
      </c>
      <c r="B1" s="7" t="s">
        <v>1</v>
      </c>
      <c r="C1" s="7" t="s">
        <v>2</v>
      </c>
      <c r="D1" s="10"/>
      <c r="E1" s="10"/>
      <c r="F1" s="10"/>
      <c r="G1" s="7" t="s">
        <v>6</v>
      </c>
      <c r="H1" s="106" t="s">
        <v>7</v>
      </c>
      <c r="I1" s="7" t="s">
        <v>5</v>
      </c>
    </row>
    <row r="2">
      <c r="A2" s="15" t="s">
        <v>44</v>
      </c>
      <c r="B2" s="15" t="s">
        <v>45</v>
      </c>
      <c r="C2" s="115" t="s">
        <v>2453</v>
      </c>
      <c r="G2" s="15" t="s">
        <v>48</v>
      </c>
      <c r="H2" s="107" t="s">
        <v>2454</v>
      </c>
      <c r="I2" s="15" t="s">
        <v>2455</v>
      </c>
    </row>
    <row r="3">
      <c r="A3" s="108" t="s">
        <v>53</v>
      </c>
      <c r="B3" s="108" t="s">
        <v>54</v>
      </c>
      <c r="C3" s="115" t="s">
        <v>2456</v>
      </c>
      <c r="D3" s="108"/>
      <c r="E3" s="108"/>
      <c r="G3" s="108" t="s">
        <v>38</v>
      </c>
      <c r="H3" s="107" t="s">
        <v>57</v>
      </c>
      <c r="I3" s="15" t="s">
        <v>2411</v>
      </c>
    </row>
    <row r="4">
      <c r="A4" s="15" t="s">
        <v>59</v>
      </c>
      <c r="B4" s="15" t="s">
        <v>60</v>
      </c>
      <c r="C4" s="15" t="s">
        <v>61</v>
      </c>
      <c r="G4" s="15" t="s">
        <v>63</v>
      </c>
      <c r="H4" s="107" t="s">
        <v>64</v>
      </c>
      <c r="I4" s="15" t="s">
        <v>62</v>
      </c>
    </row>
    <row r="5">
      <c r="A5" s="15" t="s">
        <v>74</v>
      </c>
      <c r="B5" s="15" t="s">
        <v>75</v>
      </c>
      <c r="C5" s="15" t="s">
        <v>76</v>
      </c>
      <c r="G5" s="15" t="s">
        <v>78</v>
      </c>
      <c r="H5" s="107" t="s">
        <v>79</v>
      </c>
      <c r="I5" s="15" t="s">
        <v>77</v>
      </c>
    </row>
    <row r="6">
      <c r="A6" s="15" t="s">
        <v>80</v>
      </c>
      <c r="B6" s="15" t="s">
        <v>81</v>
      </c>
      <c r="C6" s="116" t="s">
        <v>82</v>
      </c>
      <c r="G6" s="15" t="s">
        <v>83</v>
      </c>
      <c r="H6" s="107" t="s">
        <v>84</v>
      </c>
      <c r="I6" s="15" t="s">
        <v>2411</v>
      </c>
    </row>
    <row r="7">
      <c r="A7" s="15" t="s">
        <v>97</v>
      </c>
      <c r="B7" s="15" t="s">
        <v>45</v>
      </c>
      <c r="C7" s="15" t="s">
        <v>98</v>
      </c>
      <c r="G7" s="15" t="s">
        <v>48</v>
      </c>
      <c r="H7" s="107" t="s">
        <v>99</v>
      </c>
      <c r="I7" s="15" t="s">
        <v>62</v>
      </c>
    </row>
    <row r="8">
      <c r="A8" s="15" t="s">
        <v>100</v>
      </c>
      <c r="B8" s="15" t="s">
        <v>101</v>
      </c>
      <c r="C8" s="15" t="s">
        <v>102</v>
      </c>
      <c r="G8" s="15" t="s">
        <v>83</v>
      </c>
      <c r="H8" s="107" t="s">
        <v>104</v>
      </c>
      <c r="I8" s="15" t="s">
        <v>2411</v>
      </c>
    </row>
    <row r="9">
      <c r="A9" s="108" t="s">
        <v>107</v>
      </c>
      <c r="B9" s="108" t="s">
        <v>108</v>
      </c>
      <c r="C9" s="108" t="s">
        <v>109</v>
      </c>
      <c r="D9" s="108"/>
      <c r="E9" s="108"/>
      <c r="G9" s="108" t="s">
        <v>78</v>
      </c>
      <c r="H9" s="107" t="s">
        <v>110</v>
      </c>
      <c r="I9" s="15" t="s">
        <v>2412</v>
      </c>
    </row>
    <row r="10">
      <c r="A10" s="15" t="s">
        <v>112</v>
      </c>
      <c r="B10" s="15" t="s">
        <v>113</v>
      </c>
      <c r="C10" s="15" t="s">
        <v>114</v>
      </c>
      <c r="D10" s="108"/>
      <c r="E10" s="108"/>
      <c r="G10" s="15" t="s">
        <v>115</v>
      </c>
      <c r="H10" s="77"/>
      <c r="I10" s="15" t="s">
        <v>2457</v>
      </c>
    </row>
    <row r="11">
      <c r="A11" s="15" t="s">
        <v>120</v>
      </c>
      <c r="B11" s="15" t="s">
        <v>121</v>
      </c>
      <c r="C11" s="15" t="s">
        <v>122</v>
      </c>
      <c r="D11" s="108"/>
      <c r="E11" s="108"/>
      <c r="G11" s="15" t="s">
        <v>83</v>
      </c>
      <c r="H11" s="107" t="s">
        <v>123</v>
      </c>
      <c r="I11" s="15" t="s">
        <v>62</v>
      </c>
    </row>
    <row r="12">
      <c r="A12" s="108" t="s">
        <v>133</v>
      </c>
      <c r="B12" s="108" t="s">
        <v>134</v>
      </c>
      <c r="C12" s="108" t="s">
        <v>135</v>
      </c>
      <c r="D12" s="108"/>
      <c r="E12" s="108"/>
      <c r="G12" s="108" t="s">
        <v>78</v>
      </c>
      <c r="H12" s="107" t="s">
        <v>99</v>
      </c>
      <c r="I12" s="15" t="s">
        <v>62</v>
      </c>
    </row>
    <row r="13">
      <c r="A13" s="108" t="s">
        <v>137</v>
      </c>
      <c r="B13" s="108" t="s">
        <v>138</v>
      </c>
      <c r="C13" s="108" t="s">
        <v>139</v>
      </c>
      <c r="D13" s="108"/>
      <c r="E13" s="108"/>
      <c r="G13" s="108" t="s">
        <v>132</v>
      </c>
      <c r="H13" s="107" t="s">
        <v>141</v>
      </c>
      <c r="I13" s="15" t="s">
        <v>95</v>
      </c>
    </row>
    <row r="14">
      <c r="A14" s="15" t="s">
        <v>142</v>
      </c>
      <c r="B14" s="15" t="s">
        <v>134</v>
      </c>
      <c r="C14" s="15" t="s">
        <v>143</v>
      </c>
      <c r="G14" s="15" t="s">
        <v>78</v>
      </c>
      <c r="H14" s="107" t="s">
        <v>64</v>
      </c>
      <c r="I14" s="15" t="s">
        <v>62</v>
      </c>
    </row>
    <row r="15">
      <c r="A15" s="108" t="s">
        <v>144</v>
      </c>
      <c r="B15" s="108" t="s">
        <v>145</v>
      </c>
      <c r="C15" s="15" t="s">
        <v>146</v>
      </c>
      <c r="D15" s="108"/>
      <c r="E15" s="108"/>
      <c r="G15" s="108" t="s">
        <v>78</v>
      </c>
      <c r="H15" s="107" t="s">
        <v>147</v>
      </c>
      <c r="I15" s="15" t="s">
        <v>62</v>
      </c>
    </row>
    <row r="16">
      <c r="A16" s="108" t="s">
        <v>148</v>
      </c>
      <c r="B16" s="15" t="s">
        <v>149</v>
      </c>
      <c r="C16" s="108" t="s">
        <v>150</v>
      </c>
      <c r="D16" s="108"/>
      <c r="E16" s="108"/>
      <c r="G16" s="108" t="s">
        <v>83</v>
      </c>
      <c r="H16" s="107" t="s">
        <v>151</v>
      </c>
      <c r="I16" s="15" t="s">
        <v>2411</v>
      </c>
    </row>
    <row r="17">
      <c r="A17" s="15" t="s">
        <v>153</v>
      </c>
      <c r="B17" s="15" t="s">
        <v>154</v>
      </c>
      <c r="C17" s="15" t="s">
        <v>155</v>
      </c>
      <c r="D17" s="15" t="s">
        <v>156</v>
      </c>
      <c r="E17" s="108" t="s">
        <v>157</v>
      </c>
      <c r="G17" s="108" t="s">
        <v>158</v>
      </c>
      <c r="H17" s="107" t="s">
        <v>159</v>
      </c>
    </row>
    <row r="18">
      <c r="A18" s="108" t="s">
        <v>160</v>
      </c>
      <c r="B18" s="108" t="s">
        <v>161</v>
      </c>
      <c r="C18" s="15" t="s">
        <v>162</v>
      </c>
      <c r="D18" s="108"/>
      <c r="E18" s="108"/>
      <c r="G18" s="108" t="s">
        <v>78</v>
      </c>
      <c r="H18" s="107" t="s">
        <v>163</v>
      </c>
      <c r="I18" s="15" t="s">
        <v>77</v>
      </c>
    </row>
    <row r="19">
      <c r="A19" s="108" t="s">
        <v>164</v>
      </c>
      <c r="B19" s="108" t="s">
        <v>165</v>
      </c>
      <c r="C19" s="108" t="s">
        <v>166</v>
      </c>
      <c r="D19" s="108"/>
      <c r="E19" s="108"/>
      <c r="G19" s="108" t="s">
        <v>78</v>
      </c>
      <c r="H19" s="107" t="s">
        <v>167</v>
      </c>
    </row>
    <row r="20">
      <c r="A20" s="108" t="s">
        <v>168</v>
      </c>
      <c r="B20" s="108" t="s">
        <v>169</v>
      </c>
      <c r="C20" s="15" t="s">
        <v>170</v>
      </c>
      <c r="D20" s="108"/>
      <c r="E20" s="108"/>
      <c r="G20" s="108" t="s">
        <v>48</v>
      </c>
      <c r="H20" s="107" t="s">
        <v>172</v>
      </c>
    </row>
    <row r="21">
      <c r="A21" s="15" t="s">
        <v>173</v>
      </c>
      <c r="B21" s="15" t="s">
        <v>174</v>
      </c>
      <c r="C21" s="15" t="s">
        <v>175</v>
      </c>
      <c r="G21" s="15" t="s">
        <v>78</v>
      </c>
      <c r="H21" s="107" t="s">
        <v>176</v>
      </c>
    </row>
    <row r="22">
      <c r="A22" s="15" t="s">
        <v>177</v>
      </c>
      <c r="B22" s="15" t="s">
        <v>178</v>
      </c>
      <c r="C22" s="15" t="s">
        <v>179</v>
      </c>
      <c r="G22" s="15" t="s">
        <v>83</v>
      </c>
      <c r="H22" s="107" t="s">
        <v>180</v>
      </c>
      <c r="I22" s="15" t="s">
        <v>2411</v>
      </c>
    </row>
    <row r="23">
      <c r="A23" s="15" t="s">
        <v>182</v>
      </c>
      <c r="B23" s="15" t="s">
        <v>183</v>
      </c>
      <c r="C23" s="15" t="s">
        <v>184</v>
      </c>
      <c r="G23" s="15" t="s">
        <v>38</v>
      </c>
      <c r="H23" s="107" t="s">
        <v>185</v>
      </c>
    </row>
    <row r="24">
      <c r="A24" s="108" t="s">
        <v>186</v>
      </c>
      <c r="B24" s="108" t="s">
        <v>187</v>
      </c>
      <c r="C24" s="108" t="s">
        <v>188</v>
      </c>
      <c r="D24" s="108"/>
      <c r="E24" s="108"/>
      <c r="G24" s="108" t="s">
        <v>48</v>
      </c>
      <c r="H24" s="107" t="s">
        <v>189</v>
      </c>
    </row>
    <row r="25">
      <c r="A25" s="108" t="s">
        <v>190</v>
      </c>
      <c r="B25" s="108" t="s">
        <v>169</v>
      </c>
      <c r="C25" s="15" t="s">
        <v>191</v>
      </c>
      <c r="D25" s="108"/>
      <c r="E25" s="108"/>
      <c r="G25" s="108" t="s">
        <v>48</v>
      </c>
      <c r="H25" s="107" t="s">
        <v>192</v>
      </c>
    </row>
    <row r="26">
      <c r="A26" s="108" t="s">
        <v>201</v>
      </c>
      <c r="B26" s="108" t="s">
        <v>202</v>
      </c>
      <c r="C26" s="15" t="s">
        <v>203</v>
      </c>
      <c r="D26" s="108"/>
      <c r="E26" s="108"/>
      <c r="G26" s="108" t="s">
        <v>204</v>
      </c>
      <c r="H26" s="107" t="s">
        <v>99</v>
      </c>
    </row>
    <row r="27">
      <c r="A27" s="15" t="s">
        <v>205</v>
      </c>
      <c r="B27" s="15" t="s">
        <v>206</v>
      </c>
      <c r="C27" s="15" t="s">
        <v>207</v>
      </c>
      <c r="D27" s="108"/>
      <c r="E27" s="108"/>
      <c r="G27" s="108" t="s">
        <v>48</v>
      </c>
      <c r="H27" s="107" t="s">
        <v>208</v>
      </c>
    </row>
    <row r="28">
      <c r="A28" s="108" t="s">
        <v>209</v>
      </c>
      <c r="B28" s="108" t="s">
        <v>210</v>
      </c>
      <c r="C28" s="108" t="s">
        <v>211</v>
      </c>
      <c r="D28" s="108"/>
      <c r="E28" s="108"/>
      <c r="G28" s="108" t="s">
        <v>38</v>
      </c>
      <c r="H28" s="107" t="s">
        <v>212</v>
      </c>
    </row>
    <row r="29">
      <c r="A29" s="108" t="s">
        <v>216</v>
      </c>
      <c r="B29" s="108" t="s">
        <v>217</v>
      </c>
      <c r="C29" s="108" t="s">
        <v>218</v>
      </c>
      <c r="D29" s="108"/>
      <c r="E29" s="108"/>
      <c r="G29" s="108" t="s">
        <v>38</v>
      </c>
      <c r="H29" s="107" t="s">
        <v>219</v>
      </c>
      <c r="I29" s="15" t="s">
        <v>2411</v>
      </c>
    </row>
    <row r="30">
      <c r="A30" s="15" t="s">
        <v>223</v>
      </c>
      <c r="B30" s="15" t="s">
        <v>117</v>
      </c>
      <c r="C30" s="15" t="s">
        <v>224</v>
      </c>
      <c r="G30" s="15" t="s">
        <v>48</v>
      </c>
      <c r="H30" s="107" t="s">
        <v>225</v>
      </c>
    </row>
    <row r="31">
      <c r="A31" s="15" t="s">
        <v>226</v>
      </c>
      <c r="B31" s="15" t="s">
        <v>227</v>
      </c>
      <c r="C31" s="15" t="s">
        <v>228</v>
      </c>
      <c r="G31" s="15" t="s">
        <v>83</v>
      </c>
      <c r="H31" s="107" t="s">
        <v>229</v>
      </c>
      <c r="I31" s="15" t="s">
        <v>2411</v>
      </c>
    </row>
    <row r="32">
      <c r="A32" s="108" t="s">
        <v>230</v>
      </c>
      <c r="B32" s="108" t="s">
        <v>231</v>
      </c>
      <c r="C32" s="15" t="s">
        <v>232</v>
      </c>
      <c r="D32" s="108"/>
      <c r="E32" s="108"/>
      <c r="G32" s="108" t="s">
        <v>233</v>
      </c>
      <c r="H32" s="107" t="s">
        <v>234</v>
      </c>
      <c r="I32" s="15" t="s">
        <v>37</v>
      </c>
    </row>
    <row r="33">
      <c r="A33" s="108" t="s">
        <v>236</v>
      </c>
      <c r="B33" s="108" t="s">
        <v>237</v>
      </c>
      <c r="C33" s="15" t="s">
        <v>238</v>
      </c>
      <c r="D33" s="15" t="s">
        <v>29</v>
      </c>
      <c r="E33" s="15" t="s">
        <v>29</v>
      </c>
      <c r="G33" s="108" t="s">
        <v>48</v>
      </c>
      <c r="H33" s="107" t="s">
        <v>239</v>
      </c>
      <c r="I33" s="15" t="s">
        <v>2457</v>
      </c>
    </row>
    <row r="34">
      <c r="A34" s="15" t="s">
        <v>241</v>
      </c>
      <c r="B34" s="15" t="s">
        <v>242</v>
      </c>
      <c r="C34" s="15" t="s">
        <v>243</v>
      </c>
      <c r="D34" s="108"/>
      <c r="E34" s="108"/>
      <c r="G34" s="15" t="s">
        <v>48</v>
      </c>
      <c r="H34" s="107" t="s">
        <v>244</v>
      </c>
      <c r="I34" s="15" t="s">
        <v>37</v>
      </c>
    </row>
    <row r="35">
      <c r="A35" s="15" t="s">
        <v>245</v>
      </c>
      <c r="B35" s="15" t="s">
        <v>242</v>
      </c>
      <c r="C35" s="15" t="s">
        <v>246</v>
      </c>
      <c r="G35" s="15" t="s">
        <v>48</v>
      </c>
      <c r="H35" s="107" t="s">
        <v>247</v>
      </c>
      <c r="I35" s="15" t="s">
        <v>37</v>
      </c>
    </row>
    <row r="36">
      <c r="A36" s="108" t="s">
        <v>258</v>
      </c>
      <c r="B36" s="108" t="s">
        <v>259</v>
      </c>
      <c r="C36" s="108" t="s">
        <v>260</v>
      </c>
      <c r="D36" s="108"/>
      <c r="E36" s="108"/>
      <c r="G36" s="108" t="s">
        <v>132</v>
      </c>
      <c r="H36" s="107" t="s">
        <v>104</v>
      </c>
    </row>
    <row r="37">
      <c r="A37" s="108" t="s">
        <v>261</v>
      </c>
      <c r="B37" s="15" t="s">
        <v>262</v>
      </c>
      <c r="C37" s="15" t="s">
        <v>263</v>
      </c>
      <c r="D37" s="108"/>
      <c r="E37" s="108"/>
      <c r="G37" s="15" t="s">
        <v>264</v>
      </c>
      <c r="H37" s="107" t="s">
        <v>265</v>
      </c>
    </row>
    <row r="38">
      <c r="A38" s="15" t="s">
        <v>271</v>
      </c>
      <c r="B38" s="15" t="s">
        <v>272</v>
      </c>
      <c r="C38" s="15" t="s">
        <v>273</v>
      </c>
      <c r="G38" s="15" t="s">
        <v>83</v>
      </c>
      <c r="H38" s="107" t="s">
        <v>64</v>
      </c>
      <c r="I38" s="15" t="s">
        <v>2411</v>
      </c>
    </row>
    <row r="39">
      <c r="A39" s="108" t="s">
        <v>277</v>
      </c>
      <c r="B39" s="108" t="s">
        <v>278</v>
      </c>
      <c r="C39" s="108" t="s">
        <v>279</v>
      </c>
      <c r="D39" s="108"/>
      <c r="E39" s="108"/>
      <c r="G39" s="108" t="s">
        <v>63</v>
      </c>
      <c r="H39" s="107" t="s">
        <v>280</v>
      </c>
      <c r="I39" s="15" t="s">
        <v>37</v>
      </c>
    </row>
    <row r="40">
      <c r="A40" s="108" t="s">
        <v>285</v>
      </c>
      <c r="B40" s="108" t="s">
        <v>286</v>
      </c>
      <c r="C40" s="15" t="s">
        <v>287</v>
      </c>
      <c r="D40" s="108"/>
      <c r="E40" s="108"/>
      <c r="G40" s="108" t="s">
        <v>68</v>
      </c>
      <c r="H40" s="107" t="s">
        <v>99</v>
      </c>
    </row>
    <row r="41">
      <c r="A41" s="108" t="s">
        <v>296</v>
      </c>
      <c r="B41" s="108" t="s">
        <v>297</v>
      </c>
      <c r="C41" s="108" t="s">
        <v>298</v>
      </c>
      <c r="D41" s="15" t="s">
        <v>299</v>
      </c>
      <c r="E41" s="108"/>
      <c r="G41" s="108" t="s">
        <v>78</v>
      </c>
      <c r="H41" s="107" t="s">
        <v>99</v>
      </c>
    </row>
    <row r="42">
      <c r="A42" s="15" t="s">
        <v>309</v>
      </c>
      <c r="B42" s="15" t="s">
        <v>310</v>
      </c>
      <c r="C42" s="15" t="s">
        <v>311</v>
      </c>
      <c r="G42" s="15" t="s">
        <v>83</v>
      </c>
      <c r="H42" s="107" t="s">
        <v>312</v>
      </c>
      <c r="I42" s="15" t="s">
        <v>2411</v>
      </c>
    </row>
    <row r="43">
      <c r="A43" s="108" t="s">
        <v>314</v>
      </c>
      <c r="B43" s="108" t="s">
        <v>315</v>
      </c>
      <c r="C43" s="15" t="s">
        <v>316</v>
      </c>
      <c r="D43" s="108"/>
      <c r="E43" s="108"/>
      <c r="G43" s="108" t="s">
        <v>48</v>
      </c>
      <c r="H43" s="107" t="s">
        <v>64</v>
      </c>
    </row>
    <row r="44">
      <c r="A44" s="15" t="s">
        <v>317</v>
      </c>
      <c r="B44" s="15" t="s">
        <v>318</v>
      </c>
      <c r="C44" s="15" t="s">
        <v>319</v>
      </c>
      <c r="G44" s="15" t="s">
        <v>48</v>
      </c>
      <c r="H44" s="107" t="s">
        <v>320</v>
      </c>
      <c r="I44" s="15" t="s">
        <v>77</v>
      </c>
    </row>
    <row r="45">
      <c r="A45" s="15" t="s">
        <v>326</v>
      </c>
      <c r="B45" s="15" t="s">
        <v>327</v>
      </c>
      <c r="C45" s="15" t="s">
        <v>328</v>
      </c>
      <c r="G45" s="15" t="s">
        <v>38</v>
      </c>
      <c r="H45" s="107" t="s">
        <v>329</v>
      </c>
      <c r="I45" s="15" t="s">
        <v>2411</v>
      </c>
    </row>
  </sheetData>
  <hyperlinks>
    <hyperlink r:id="rId1" ref="C2"/>
    <hyperlink r:id="rId2" ref="C3"/>
    <hyperlink r:id="rId3" ref="C6"/>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4.43" defaultRowHeight="15.0"/>
  <cols>
    <col customWidth="1" min="2" max="2" width="16.14"/>
    <col customWidth="1" min="7" max="7" width="8.43"/>
  </cols>
  <sheetData>
    <row r="1">
      <c r="A1" s="117" t="s">
        <v>2458</v>
      </c>
      <c r="B1" s="118">
        <v>4.0</v>
      </c>
      <c r="F1" s="119" t="s">
        <v>2459</v>
      </c>
      <c r="J1" s="118" t="s">
        <v>2460</v>
      </c>
    </row>
    <row r="2">
      <c r="A2" s="117" t="s">
        <v>2461</v>
      </c>
      <c r="B2" s="118">
        <v>44.0</v>
      </c>
      <c r="H2" s="118" t="s">
        <v>2462</v>
      </c>
      <c r="X2" s="14" t="str">
        <f t="shared" ref="X2:X79" si="1">IF(ISNUMBER(SEARCH(",",B2)),"multistakeholders",lower(B2))</f>
        <v>44</v>
      </c>
    </row>
    <row r="3">
      <c r="A3" s="120" t="s">
        <v>2401</v>
      </c>
      <c r="B3" s="121" t="s">
        <v>52</v>
      </c>
      <c r="C3" s="121" t="s">
        <v>2404</v>
      </c>
      <c r="D3" s="121" t="s">
        <v>33</v>
      </c>
      <c r="E3" s="121" t="s">
        <v>2402</v>
      </c>
      <c r="F3" s="121" t="s">
        <v>91</v>
      </c>
      <c r="H3" s="122" t="s">
        <v>62</v>
      </c>
      <c r="I3" s="122" t="s">
        <v>37</v>
      </c>
      <c r="J3" s="122" t="s">
        <v>2411</v>
      </c>
      <c r="K3" s="122" t="s">
        <v>77</v>
      </c>
      <c r="L3" s="122" t="s">
        <v>95</v>
      </c>
      <c r="M3" s="122" t="s">
        <v>2412</v>
      </c>
      <c r="N3" s="123" t="s">
        <v>2463</v>
      </c>
      <c r="X3" s="14" t="str">
        <f t="shared" si="1"/>
        <v>simon</v>
      </c>
      <c r="AA3" s="14"/>
      <c r="AB3" s="14" t="s">
        <v>2426</v>
      </c>
    </row>
    <row r="4">
      <c r="A4" s="124" t="s">
        <v>44</v>
      </c>
      <c r="B4" s="125" t="str">
        <f>IF(ISNUMBER(SEARCH(",",VLOOKUP($A4,'List of documents'!A:F,6,0))),"multistakeholders",VLOOKUP($A4,'List of documents'!A:F,6,0))</f>
        <v>multistakeholders</v>
      </c>
      <c r="C4" s="125" t="str">
        <f>IF(ISNUMBER(SEARCH(",",VLOOKUP($A4,Matthieu!$A:$I,9,0))),"multistakeholders",VLOOKUP($A4,Matthieu!$A:$I,9,0))</f>
        <v>Academia</v>
      </c>
      <c r="D4" s="125" t="str">
        <f>IF(ISNUMBER(SEARCH(",",VLOOKUP($A4,Maria!$A:$I,9,0))),"multistakeholders",VLOOKUP($A4,Maria!$A:$I,9,0))</f>
        <v>academia</v>
      </c>
      <c r="E4" s="125" t="str">
        <f>IF(ISNUMBER(SEARCH(",",VLOOKUP($A4,Aina!$A:$I,9,0))),"multistakeholders",VLOOKUP($A4,Aina!$A:$I,9,0))</f>
        <v>multistakeholders</v>
      </c>
      <c r="F4" s="125" t="str">
        <f>IF(ISNUMBER(SEARCH(",",VLOOKUP($A4,Tiphaine!$A:$I,9,0))),"multistakeholders",VLOOKUP($A4,Tiphaine!$A:$I,9,0))</f>
        <v>multistakeholders</v>
      </c>
      <c r="G4" s="14" t="b">
        <f t="shared" ref="G4:G47" si="4">SUM(H4:M4)=$B$1</f>
        <v>0</v>
      </c>
      <c r="H4" s="126">
        <f t="shared" ref="H4:I4" si="2">COUNTIF($B4:$F4,"*"&amp;H$3&amp;"*")</f>
        <v>2</v>
      </c>
      <c r="I4" s="126">
        <f t="shared" si="2"/>
        <v>0</v>
      </c>
      <c r="J4" s="126">
        <f t="shared" ref="J4:J47" si="6">COUNTIF($B4:$F4,"*"&amp;J$3&amp;"*") + COUNTIF($B4:$F4,"*"&amp;J$1&amp;"*")</f>
        <v>0</v>
      </c>
      <c r="K4" s="126">
        <f t="shared" ref="K4:M4" si="3">COUNTIF($B4:$F4,"*"&amp;K$3&amp;"*")</f>
        <v>0</v>
      </c>
      <c r="L4" s="126">
        <f t="shared" si="3"/>
        <v>0</v>
      </c>
      <c r="M4" s="126">
        <f t="shared" si="3"/>
        <v>3</v>
      </c>
      <c r="N4" s="14">
        <f t="shared" ref="N4:N47" si="8">SUMPRODUCT(H4:M4, (H4:M4 - 1)) / ($B$1 * ($B$1-1))</f>
        <v>0.6666666667</v>
      </c>
      <c r="Q4" s="127" t="s">
        <v>2464</v>
      </c>
      <c r="R4" s="128">
        <f>AVERAGE(N4:N47)</f>
        <v>0.9696969697</v>
      </c>
      <c r="X4" s="14" t="str">
        <f t="shared" si="1"/>
        <v>multistakeholders</v>
      </c>
      <c r="Y4" s="14" t="str">
        <f t="shared" ref="Y4:Y47" si="9">IF(ISNUMBER(SEARCH("&gt;",X4)),LEFT(X4,SEARCH("&gt;",X4)-2),X4)</f>
        <v>multistakeholders</v>
      </c>
      <c r="AA4" s="14"/>
      <c r="AB4" s="14">
        <v>0.0</v>
      </c>
      <c r="AC4" s="15" t="s">
        <v>52</v>
      </c>
      <c r="AD4" s="110"/>
    </row>
    <row r="5">
      <c r="A5" s="129" t="s">
        <v>53</v>
      </c>
      <c r="B5" s="125" t="str">
        <f>IF(ISNUMBER(SEARCH(",",VLOOKUP($A5,'List of documents'!A:F,6,0))),"multistakeholders",VLOOKUP($A5,'List of documents'!A:F,6,0))</f>
        <v>international organisation &gt; EU institution</v>
      </c>
      <c r="C5" s="125" t="str">
        <f>IF(ISNUMBER(SEARCH(",",VLOOKUP($A5,Matthieu!$A:$I,9,0))),"multistakeholders",VLOOKUP($A5,Matthieu!$A:$I,9,0))</f>
        <v>International organisation</v>
      </c>
      <c r="D5" s="125" t="str">
        <f>IF(ISNUMBER(SEARCH(",",VLOOKUP($A5,Maria!$A:$I,9,0))),"multistakeholders",VLOOKUP($A5,Maria!$A:$I,9,0))</f>
        <v>international organisation</v>
      </c>
      <c r="E5" s="125" t="str">
        <f>IF(ISNUMBER(SEARCH(",",VLOOKUP($A5,Aina!$A:$I,9,0))),"multistakeholders",VLOOKUP($A5,Aina!$A:$I,9,0))</f>
        <v>international organisation</v>
      </c>
      <c r="F5" s="125" t="str">
        <f>IF(ISNUMBER(SEARCH(",",VLOOKUP($A5,Tiphaine!$A:$I,9,0))),"multistakeholders",VLOOKUP($A5,Tiphaine!$A:$I,9,0))</f>
        <v>international organisation</v>
      </c>
      <c r="G5" s="14" t="b">
        <f t="shared" si="4"/>
        <v>0</v>
      </c>
      <c r="H5" s="126">
        <f t="shared" ref="H5:I5" si="5">COUNTIF($B5:$F5,"*"&amp;H$3&amp;"*")</f>
        <v>0</v>
      </c>
      <c r="I5" s="126">
        <f t="shared" si="5"/>
        <v>0</v>
      </c>
      <c r="J5" s="126">
        <f t="shared" si="6"/>
        <v>5</v>
      </c>
      <c r="K5" s="126">
        <f t="shared" ref="K5:M5" si="7">COUNTIF($B5:$F5,"*"&amp;K$3&amp;"*")</f>
        <v>0</v>
      </c>
      <c r="L5" s="126">
        <f t="shared" si="7"/>
        <v>0</v>
      </c>
      <c r="M5" s="126">
        <f t="shared" si="7"/>
        <v>0</v>
      </c>
      <c r="N5" s="14">
        <f t="shared" si="8"/>
        <v>1.666666667</v>
      </c>
      <c r="Q5" s="127" t="s">
        <v>2465</v>
      </c>
      <c r="R5" s="128">
        <f>SUMPRODUCT(H49:M49,H49:M49)</f>
        <v>0.2468362603</v>
      </c>
      <c r="X5" s="14" t="str">
        <f t="shared" si="1"/>
        <v>international organisation &gt; eu institution</v>
      </c>
      <c r="Y5" s="14" t="str">
        <f t="shared" si="9"/>
        <v>international organisation</v>
      </c>
      <c r="AA5" s="14" t="s">
        <v>62</v>
      </c>
      <c r="AB5" s="14">
        <v>5.0</v>
      </c>
      <c r="AC5" s="109">
        <f t="shared" ref="AC5:AC10" si="12">AB5/$AB$11</f>
        <v>0.1136363636</v>
      </c>
      <c r="AD5" s="110"/>
    </row>
    <row r="6">
      <c r="A6" s="124" t="s">
        <v>59</v>
      </c>
      <c r="B6" s="125" t="str">
        <f>IF(ISNUMBER(SEARCH(",",VLOOKUP($A6,'List of documents'!A:F,6,0))),"multistakeholders",VLOOKUP($A6,'List of documents'!A:F,6,0))</f>
        <v>academia</v>
      </c>
      <c r="C6" s="125" t="str">
        <f>IF(ISNUMBER(SEARCH(",",VLOOKUP($A6,Matthieu!$A:$I,9,0))),"multistakeholders",VLOOKUP($A6,Matthieu!$A:$I,9,0))</f>
        <v>Academia</v>
      </c>
      <c r="D6" s="125" t="str">
        <f>IF(ISNUMBER(SEARCH(",",VLOOKUP($A6,Maria!$A:$I,9,0))),"multistakeholders",VLOOKUP($A6,Maria!$A:$I,9,0))</f>
        <v>academia</v>
      </c>
      <c r="E6" s="125" t="str">
        <f>IF(ISNUMBER(SEARCH(",",VLOOKUP($A6,Aina!$A:$I,9,0))),"multistakeholders",VLOOKUP($A6,Aina!$A:$I,9,0))</f>
        <v>academia</v>
      </c>
      <c r="F6" s="125" t="str">
        <f>IF(ISNUMBER(SEARCH(",",VLOOKUP($A6,Tiphaine!$A:$I,9,0))),"multistakeholders",VLOOKUP($A6,Tiphaine!$A:$I,9,0))</f>
        <v>academia</v>
      </c>
      <c r="G6" s="14" t="b">
        <f t="shared" si="4"/>
        <v>0</v>
      </c>
      <c r="H6" s="126">
        <f t="shared" ref="H6:I6" si="10">COUNTIF($B6:$F6,"*"&amp;H$3&amp;"*")</f>
        <v>5</v>
      </c>
      <c r="I6" s="126">
        <f t="shared" si="10"/>
        <v>0</v>
      </c>
      <c r="J6" s="126">
        <f t="shared" si="6"/>
        <v>0</v>
      </c>
      <c r="K6" s="126">
        <f t="shared" ref="K6:M6" si="11">COUNTIF($B6:$F6,"*"&amp;K$3&amp;"*")</f>
        <v>0</v>
      </c>
      <c r="L6" s="126">
        <f t="shared" si="11"/>
        <v>0</v>
      </c>
      <c r="M6" s="126">
        <f t="shared" si="11"/>
        <v>0</v>
      </c>
      <c r="N6" s="14">
        <f t="shared" si="8"/>
        <v>1.666666667</v>
      </c>
      <c r="X6" s="14" t="str">
        <f t="shared" si="1"/>
        <v>academia</v>
      </c>
      <c r="Y6" s="14" t="str">
        <f t="shared" si="9"/>
        <v>academia</v>
      </c>
      <c r="AA6" s="14" t="s">
        <v>37</v>
      </c>
      <c r="AB6" s="14">
        <v>13.0</v>
      </c>
      <c r="AC6" s="109">
        <f t="shared" si="12"/>
        <v>0.2954545455</v>
      </c>
      <c r="AD6" s="110"/>
    </row>
    <row r="7">
      <c r="A7" s="124" t="s">
        <v>74</v>
      </c>
      <c r="B7" s="125" t="str">
        <f>IF(ISNUMBER(SEARCH(",",VLOOKUP($A7,'List of documents'!A:F,6,0))),"multistakeholders",VLOOKUP($A7,'List of documents'!A:F,6,0))</f>
        <v>national authority</v>
      </c>
      <c r="C7" s="125" t="str">
        <f>IF(ISNUMBER(SEARCH(",",VLOOKUP($A7,Matthieu!$A:$I,9,0))),"multistakeholders",VLOOKUP($A7,Matthieu!$A:$I,9,0))</f>
        <v>National authority</v>
      </c>
      <c r="D7" s="125" t="str">
        <f>IF(ISNUMBER(SEARCH(",",VLOOKUP($A7,Maria!$A:$I,9,0))),"multistakeholders",VLOOKUP($A7,Maria!$A:$I,9,0))</f>
        <v>national authority</v>
      </c>
      <c r="E7" s="125" t="str">
        <f>IF(ISNUMBER(SEARCH(",",VLOOKUP($A7,Aina!$A:$I,9,0))),"multistakeholders",VLOOKUP($A7,Aina!$A:$I,9,0))</f>
        <v>national authority</v>
      </c>
      <c r="F7" s="125" t="str">
        <f>IF(ISNUMBER(SEARCH(",",VLOOKUP($A7,Tiphaine!$A:$I,9,0))),"multistakeholders",VLOOKUP($A7,Tiphaine!$A:$I,9,0))</f>
        <v>national authority</v>
      </c>
      <c r="G7" s="14" t="b">
        <f t="shared" si="4"/>
        <v>0</v>
      </c>
      <c r="H7" s="126">
        <f t="shared" ref="H7:I7" si="13">COUNTIF($B7:$F7,"*"&amp;H$3&amp;"*")</f>
        <v>0</v>
      </c>
      <c r="I7" s="126">
        <f t="shared" si="13"/>
        <v>0</v>
      </c>
      <c r="J7" s="126">
        <f t="shared" si="6"/>
        <v>0</v>
      </c>
      <c r="K7" s="126">
        <f t="shared" ref="K7:M7" si="14">COUNTIF($B7:$F7,"*"&amp;K$3&amp;"*")</f>
        <v>5</v>
      </c>
      <c r="L7" s="126">
        <f t="shared" si="14"/>
        <v>0</v>
      </c>
      <c r="M7" s="126">
        <f t="shared" si="14"/>
        <v>0</v>
      </c>
      <c r="N7" s="14">
        <f t="shared" si="8"/>
        <v>1.666666667</v>
      </c>
      <c r="Q7" s="130" t="s">
        <v>2466</v>
      </c>
      <c r="R7" s="131">
        <f>(R4-R5) / (1-R5)</f>
        <v>0.9597656808</v>
      </c>
      <c r="X7" s="14" t="str">
        <f t="shared" si="1"/>
        <v>national authority</v>
      </c>
      <c r="Y7" s="14" t="str">
        <f t="shared" si="9"/>
        <v>national authority</v>
      </c>
      <c r="AA7" s="14" t="s">
        <v>2411</v>
      </c>
      <c r="AB7" s="14">
        <v>11.0</v>
      </c>
      <c r="AC7" s="109">
        <f t="shared" si="12"/>
        <v>0.25</v>
      </c>
      <c r="AD7" s="110"/>
    </row>
    <row r="8">
      <c r="A8" s="124" t="s">
        <v>80</v>
      </c>
      <c r="B8" s="125" t="str">
        <f>IF(ISNUMBER(SEARCH(",",VLOOKUP($A8,'List of documents'!A:F,6,0))),"multistakeholders",VLOOKUP($A8,'List of documents'!A:F,6,0))</f>
        <v>international organisation &gt; EU institution</v>
      </c>
      <c r="C8" s="125" t="str">
        <f>IF(ISNUMBER(SEARCH(",",VLOOKUP($A8,Matthieu!$A:$I,9,0))),"multistakeholders",VLOOKUP($A8,Matthieu!$A:$I,9,0))</f>
        <v>International organisation</v>
      </c>
      <c r="D8" s="125" t="str">
        <f>IF(ISNUMBER(SEARCH(",",VLOOKUP($A8,Maria!$A:$I,9,0))),"multistakeholders",VLOOKUP($A8,Maria!$A:$I,9,0))</f>
        <v>international organisation</v>
      </c>
      <c r="E8" s="125" t="str">
        <f>IF(ISNUMBER(SEARCH(",",VLOOKUP($A8,Aina!$A:$I,9,0))),"multistakeholders",VLOOKUP($A8,Aina!$A:$I,9,0))</f>
        <v>international organisation</v>
      </c>
      <c r="F8" s="125" t="str">
        <f>IF(ISNUMBER(SEARCH(",",VLOOKUP($A8,Tiphaine!$A:$I,9,0))),"multistakeholders",VLOOKUP($A8,Tiphaine!$A:$I,9,0))</f>
        <v>international organisation</v>
      </c>
      <c r="G8" s="14" t="b">
        <f t="shared" si="4"/>
        <v>0</v>
      </c>
      <c r="H8" s="126">
        <f t="shared" ref="H8:I8" si="15">COUNTIF($B8:$F8,"*"&amp;H$3&amp;"*")</f>
        <v>0</v>
      </c>
      <c r="I8" s="126">
        <f t="shared" si="15"/>
        <v>0</v>
      </c>
      <c r="J8" s="126">
        <f t="shared" si="6"/>
        <v>5</v>
      </c>
      <c r="K8" s="126">
        <f t="shared" ref="K8:M8" si="16">COUNTIF($B8:$F8,"*"&amp;K$3&amp;"*")</f>
        <v>0</v>
      </c>
      <c r="L8" s="126">
        <f t="shared" si="16"/>
        <v>0</v>
      </c>
      <c r="M8" s="126">
        <f t="shared" si="16"/>
        <v>0</v>
      </c>
      <c r="N8" s="14">
        <f t="shared" si="8"/>
        <v>1.666666667</v>
      </c>
      <c r="X8" s="14" t="str">
        <f t="shared" si="1"/>
        <v>international organisation &gt; eu institution</v>
      </c>
      <c r="Y8" s="14" t="str">
        <f t="shared" si="9"/>
        <v>international organisation</v>
      </c>
      <c r="AA8" s="14" t="s">
        <v>2412</v>
      </c>
      <c r="AB8" s="14">
        <v>4.0</v>
      </c>
      <c r="AC8" s="109">
        <f t="shared" si="12"/>
        <v>0.09090909091</v>
      </c>
      <c r="AD8" s="110"/>
    </row>
    <row r="9">
      <c r="A9" s="124" t="s">
        <v>97</v>
      </c>
      <c r="B9" s="125" t="str">
        <f>IF(ISNUMBER(SEARCH(",",VLOOKUP($A9,'List of documents'!A:F,6,0))),"multistakeholders",VLOOKUP($A9,'List of documents'!A:F,6,0))</f>
        <v>multistakeholders</v>
      </c>
      <c r="C9" s="125" t="str">
        <f>IF(ISNUMBER(SEARCH(",",VLOOKUP($A9,Matthieu!$A:$I,9,0))),"multistakeholders",VLOOKUP($A9,Matthieu!$A:$I,9,0))</f>
        <v>Academia</v>
      </c>
      <c r="D9" s="125" t="str">
        <f>IF(ISNUMBER(SEARCH(",",VLOOKUP($A9,Maria!$A:$I,9,0))),"multistakeholders",VLOOKUP($A9,Maria!$A:$I,9,0))</f>
        <v>multistakeholders</v>
      </c>
      <c r="E9" s="125" t="str">
        <f>IF(ISNUMBER(SEARCH(",",VLOOKUP($A9,Aina!$A:$I,9,0))),"multistakeholders",VLOOKUP($A9,Aina!$A:$I,9,0))</f>
        <v>multistakeholders</v>
      </c>
      <c r="F9" s="125" t="str">
        <f>IF(ISNUMBER(SEARCH(",",VLOOKUP($A9,Tiphaine!$A:$I,9,0))),"multistakeholders",VLOOKUP($A9,Tiphaine!$A:$I,9,0))</f>
        <v>academia</v>
      </c>
      <c r="G9" s="14" t="b">
        <f t="shared" si="4"/>
        <v>0</v>
      </c>
      <c r="H9" s="126">
        <f t="shared" ref="H9:I9" si="17">COUNTIF($B9:$F9,"*"&amp;H$3&amp;"*")</f>
        <v>2</v>
      </c>
      <c r="I9" s="126">
        <f t="shared" si="17"/>
        <v>0</v>
      </c>
      <c r="J9" s="126">
        <f t="shared" si="6"/>
        <v>0</v>
      </c>
      <c r="K9" s="126">
        <f t="shared" ref="K9:M9" si="18">COUNTIF($B9:$F9,"*"&amp;K$3&amp;"*")</f>
        <v>0</v>
      </c>
      <c r="L9" s="126">
        <f t="shared" si="18"/>
        <v>0</v>
      </c>
      <c r="M9" s="126">
        <f t="shared" si="18"/>
        <v>3</v>
      </c>
      <c r="N9" s="14">
        <f t="shared" si="8"/>
        <v>0.6666666667</v>
      </c>
      <c r="X9" s="14" t="str">
        <f t="shared" si="1"/>
        <v>multistakeholders</v>
      </c>
      <c r="Y9" s="14" t="str">
        <f t="shared" si="9"/>
        <v>multistakeholders</v>
      </c>
      <c r="AA9" s="14" t="s">
        <v>77</v>
      </c>
      <c r="AB9" s="14">
        <v>9.0</v>
      </c>
      <c r="AC9" s="109">
        <f t="shared" si="12"/>
        <v>0.2045454545</v>
      </c>
      <c r="AD9" s="110"/>
    </row>
    <row r="10">
      <c r="A10" s="124" t="s">
        <v>100</v>
      </c>
      <c r="B10" s="125" t="str">
        <f>IF(ISNUMBER(SEARCH(",",VLOOKUP($A10,'List of documents'!A:F,6,0))),"multistakeholders",VLOOKUP($A10,'List of documents'!A:F,6,0))</f>
        <v>international organisation &gt; IGO</v>
      </c>
      <c r="C10" s="125" t="str">
        <f>IF(ISNUMBER(SEARCH(",",VLOOKUP($A10,Matthieu!$A:$I,9,0))),"multistakeholders",VLOOKUP($A10,Matthieu!$A:$I,9,0))</f>
        <v>International organisation</v>
      </c>
      <c r="D10" s="125" t="str">
        <f>IF(ISNUMBER(SEARCH(",",VLOOKUP($A10,Maria!$A:$I,9,0))),"multistakeholders",VLOOKUP($A10,Maria!$A:$I,9,0))</f>
        <v>international organisation</v>
      </c>
      <c r="E10" s="125" t="str">
        <f>IF(ISNUMBER(SEARCH(",",VLOOKUP($A10,Aina!$A:$I,9,0))),"multistakeholders",VLOOKUP($A10,Aina!$A:$I,9,0))</f>
        <v>international organisation</v>
      </c>
      <c r="F10" s="125" t="str">
        <f>IF(ISNUMBER(SEARCH(",",VLOOKUP($A10,Tiphaine!$A:$I,9,0))),"multistakeholders",VLOOKUP($A10,Tiphaine!$A:$I,9,0))</f>
        <v>international organisation</v>
      </c>
      <c r="G10" s="14" t="b">
        <f t="shared" si="4"/>
        <v>0</v>
      </c>
      <c r="H10" s="126">
        <f t="shared" ref="H10:I10" si="19">COUNTIF($B10:$F10,"*"&amp;H$3&amp;"*")</f>
        <v>0</v>
      </c>
      <c r="I10" s="126">
        <f t="shared" si="19"/>
        <v>0</v>
      </c>
      <c r="J10" s="126">
        <f t="shared" si="6"/>
        <v>5</v>
      </c>
      <c r="K10" s="126">
        <f t="shared" ref="K10:M10" si="20">COUNTIF($B10:$F10,"*"&amp;K$3&amp;"*")</f>
        <v>0</v>
      </c>
      <c r="L10" s="126">
        <f t="shared" si="20"/>
        <v>0</v>
      </c>
      <c r="M10" s="126">
        <f t="shared" si="20"/>
        <v>0</v>
      </c>
      <c r="N10" s="14">
        <f t="shared" si="8"/>
        <v>1.666666667</v>
      </c>
      <c r="X10" s="14" t="str">
        <f t="shared" si="1"/>
        <v>international organisation &gt; igo</v>
      </c>
      <c r="Y10" s="14" t="str">
        <f t="shared" si="9"/>
        <v>international organisation</v>
      </c>
      <c r="AA10" s="14" t="s">
        <v>95</v>
      </c>
      <c r="AB10" s="14">
        <v>2.0</v>
      </c>
      <c r="AC10" s="109">
        <f t="shared" si="12"/>
        <v>0.04545454545</v>
      </c>
      <c r="AD10" s="112"/>
    </row>
    <row r="11">
      <c r="A11" s="129" t="s">
        <v>107</v>
      </c>
      <c r="B11" s="125" t="str">
        <f>IF(ISNUMBER(SEARCH(",",VLOOKUP($A11,'List of documents'!A:F,6,0))),"multistakeholders",VLOOKUP($A11,'List of documents'!A:F,6,0))</f>
        <v>international organisation &gt; IGO</v>
      </c>
      <c r="C11" s="125" t="str">
        <f>IF(ISNUMBER(SEARCH(",",VLOOKUP($A11,Matthieu!$A:$I,9,0))),"multistakeholders",VLOOKUP($A11,Matthieu!$A:$I,9,0))</f>
        <v>multistakeholders</v>
      </c>
      <c r="D11" s="125" t="str">
        <f>IF(ISNUMBER(SEARCH(",",VLOOKUP($A11,Maria!$A:$I,9,0))),"multistakeholders",VLOOKUP($A11,Maria!$A:$I,9,0))</f>
        <v>civil society</v>
      </c>
      <c r="E11" s="125" t="str">
        <f>IF(ISNUMBER(SEARCH(",",VLOOKUP($A11,Aina!$A:$I,9,0))),"multistakeholders",VLOOKUP($A11,Aina!$A:$I,9,0))</f>
        <v>civil society</v>
      </c>
      <c r="F11" s="125" t="str">
        <f>IF(ISNUMBER(SEARCH(",",VLOOKUP($A11,Tiphaine!$A:$I,9,0))),"multistakeholders",VLOOKUP($A11,Tiphaine!$A:$I,9,0))</f>
        <v>multistakeholders</v>
      </c>
      <c r="G11" s="14" t="b">
        <f t="shared" si="4"/>
        <v>0</v>
      </c>
      <c r="H11" s="126">
        <f t="shared" ref="H11:I11" si="21">COUNTIF($B11:$F11,"*"&amp;H$3&amp;"*")</f>
        <v>0</v>
      </c>
      <c r="I11" s="126">
        <f t="shared" si="21"/>
        <v>2</v>
      </c>
      <c r="J11" s="126">
        <f t="shared" si="6"/>
        <v>1</v>
      </c>
      <c r="K11" s="126">
        <f t="shared" ref="K11:M11" si="22">COUNTIF($B11:$F11,"*"&amp;K$3&amp;"*")</f>
        <v>0</v>
      </c>
      <c r="L11" s="126">
        <f t="shared" si="22"/>
        <v>0</v>
      </c>
      <c r="M11" s="126">
        <f t="shared" si="22"/>
        <v>2</v>
      </c>
      <c r="N11" s="14">
        <f t="shared" si="8"/>
        <v>0.3333333333</v>
      </c>
      <c r="X11" s="14" t="str">
        <f t="shared" si="1"/>
        <v>international organisation &gt; igo</v>
      </c>
      <c r="Y11" s="14" t="str">
        <f t="shared" si="9"/>
        <v>international organisation</v>
      </c>
      <c r="AA11" s="14" t="s">
        <v>2400</v>
      </c>
      <c r="AB11" s="14">
        <v>44.0</v>
      </c>
    </row>
    <row r="12">
      <c r="A12" s="124" t="s">
        <v>112</v>
      </c>
      <c r="B12" s="125" t="str">
        <f>IF(ISNUMBER(SEARCH(",",VLOOKUP($A12,'List of documents'!A:F,6,0))),"multistakeholders",VLOOKUP($A12,'List of documents'!A:F,6,0))</f>
        <v>private sector</v>
      </c>
      <c r="C12" s="125" t="str">
        <f>IF(ISNUMBER(SEARCH(",",VLOOKUP($A12,Matthieu!$A:$I,9,0))),"multistakeholders",VLOOKUP($A12,Matthieu!$A:$I,9,0))</f>
        <v>Private sector</v>
      </c>
      <c r="D12" s="125" t="str">
        <f>IF(ISNUMBER(SEARCH(",",VLOOKUP($A12,Maria!$A:$I,9,0))),"multistakeholders",VLOOKUP($A12,Maria!$A:$I,9,0))</f>
        <v>private sector</v>
      </c>
      <c r="E12" s="125" t="str">
        <f>IF(ISNUMBER(SEARCH(",",VLOOKUP($A12,Aina!$A:$I,9,0))),"multistakeholders",VLOOKUP($A12,Aina!$A:$I,9,0))</f>
        <v>private sector</v>
      </c>
      <c r="F12" s="125" t="str">
        <f>IF(ISNUMBER(SEARCH(",",VLOOKUP($A12,Tiphaine!$A:$I,9,0))),"multistakeholders",VLOOKUP($A12,Tiphaine!$A:$I,9,0))</f>
        <v>industry</v>
      </c>
      <c r="G12" s="14" t="b">
        <f t="shared" si="4"/>
        <v>1</v>
      </c>
      <c r="H12" s="126">
        <f t="shared" ref="H12:I12" si="23">COUNTIF($B12:$F12,"*"&amp;H$3&amp;"*")</f>
        <v>0</v>
      </c>
      <c r="I12" s="126">
        <f t="shared" si="23"/>
        <v>0</v>
      </c>
      <c r="J12" s="126">
        <f t="shared" si="6"/>
        <v>0</v>
      </c>
      <c r="K12" s="126">
        <f t="shared" ref="K12:M12" si="24">COUNTIF($B12:$F12,"*"&amp;K$3&amp;"*")</f>
        <v>0</v>
      </c>
      <c r="L12" s="126">
        <f t="shared" si="24"/>
        <v>4</v>
      </c>
      <c r="M12" s="126">
        <f t="shared" si="24"/>
        <v>0</v>
      </c>
      <c r="N12" s="14">
        <f t="shared" si="8"/>
        <v>1</v>
      </c>
      <c r="X12" s="14" t="str">
        <f t="shared" si="1"/>
        <v>private sector</v>
      </c>
      <c r="Y12" s="14" t="str">
        <f t="shared" si="9"/>
        <v>private sector</v>
      </c>
    </row>
    <row r="13">
      <c r="A13" s="124" t="s">
        <v>120</v>
      </c>
      <c r="B13" s="125" t="str">
        <f>IF(ISNUMBER(SEARCH(",",VLOOKUP($A13,'List of documents'!A:F,6,0))),"multistakeholders",VLOOKUP($A13,'List of documents'!A:F,6,0))</f>
        <v>academia</v>
      </c>
      <c r="C13" s="125" t="str">
        <f>IF(ISNUMBER(SEARCH(",",VLOOKUP($A13,Matthieu!$A:$I,9,0))),"multistakeholders",VLOOKUP($A13,Matthieu!$A:$I,9,0))</f>
        <v>multistakeholders</v>
      </c>
      <c r="D13" s="125" t="str">
        <f>IF(ISNUMBER(SEARCH(",",VLOOKUP($A13,Maria!$A:$I,9,0))),"multistakeholders",VLOOKUP($A13,Maria!$A:$I,9,0))</f>
        <v>academia</v>
      </c>
      <c r="E13" s="125" t="str">
        <f>IF(ISNUMBER(SEARCH(",",VLOOKUP($A13,Aina!$A:$I,9,0))),"multistakeholders",VLOOKUP($A13,Aina!$A:$I,9,0))</f>
        <v>academia</v>
      </c>
      <c r="F13" s="125" t="str">
        <f>IF(ISNUMBER(SEARCH(",",VLOOKUP($A13,Tiphaine!$A:$I,9,0))),"multistakeholders",VLOOKUP($A13,Tiphaine!$A:$I,9,0))</f>
        <v>academia</v>
      </c>
      <c r="G13" s="14" t="b">
        <f t="shared" si="4"/>
        <v>0</v>
      </c>
      <c r="H13" s="126">
        <f t="shared" ref="H13:I13" si="25">COUNTIF($B13:$F13,"*"&amp;H$3&amp;"*")</f>
        <v>4</v>
      </c>
      <c r="I13" s="126">
        <f t="shared" si="25"/>
        <v>0</v>
      </c>
      <c r="J13" s="126">
        <f t="shared" si="6"/>
        <v>0</v>
      </c>
      <c r="K13" s="126">
        <f t="shared" ref="K13:M13" si="26">COUNTIF($B13:$F13,"*"&amp;K$3&amp;"*")</f>
        <v>0</v>
      </c>
      <c r="L13" s="126">
        <f t="shared" si="26"/>
        <v>0</v>
      </c>
      <c r="M13" s="126">
        <f t="shared" si="26"/>
        <v>1</v>
      </c>
      <c r="N13" s="14">
        <f t="shared" si="8"/>
        <v>1</v>
      </c>
      <c r="X13" s="14" t="str">
        <f t="shared" si="1"/>
        <v>academia</v>
      </c>
      <c r="Y13" s="14" t="str">
        <f t="shared" si="9"/>
        <v>academia</v>
      </c>
    </row>
    <row r="14">
      <c r="A14" s="129" t="s">
        <v>133</v>
      </c>
      <c r="B14" s="125" t="str">
        <f>IF(ISNUMBER(SEARCH(",",VLOOKUP($A14,'List of documents'!A:F,6,0))),"multistakeholders",VLOOKUP($A14,'List of documents'!A:F,6,0))</f>
        <v>multistakeholders</v>
      </c>
      <c r="C14" s="125" t="str">
        <f>IF(ISNUMBER(SEARCH(",",VLOOKUP($A14,Matthieu!$A:$I,9,0))),"multistakeholders",VLOOKUP($A14,Matthieu!$A:$I,9,0))</f>
        <v>Academia</v>
      </c>
      <c r="D14" s="125" t="str">
        <f>IF(ISNUMBER(SEARCH(",",VLOOKUP($A14,Maria!$A:$I,9,0))),"multistakeholders",VLOOKUP($A14,Maria!$A:$I,9,0))</f>
        <v>multistakeholders</v>
      </c>
      <c r="E14" s="125" t="str">
        <f>IF(ISNUMBER(SEARCH(",",VLOOKUP($A14,Aina!$A:$I,9,0))),"multistakeholders",VLOOKUP($A14,Aina!$A:$I,9,0))</f>
        <v>academia</v>
      </c>
      <c r="F14" s="125" t="str">
        <f>IF(ISNUMBER(SEARCH(",",VLOOKUP($A14,Tiphaine!$A:$I,9,0))),"multistakeholders",VLOOKUP($A14,Tiphaine!$A:$I,9,0))</f>
        <v>academia</v>
      </c>
      <c r="G14" s="14" t="b">
        <f t="shared" si="4"/>
        <v>0</v>
      </c>
      <c r="H14" s="126">
        <f t="shared" ref="H14:I14" si="27">COUNTIF($B14:$F14,"*"&amp;H$3&amp;"*")</f>
        <v>3</v>
      </c>
      <c r="I14" s="126">
        <f t="shared" si="27"/>
        <v>0</v>
      </c>
      <c r="J14" s="126">
        <f t="shared" si="6"/>
        <v>0</v>
      </c>
      <c r="K14" s="126">
        <f t="shared" ref="K14:M14" si="28">COUNTIF($B14:$F14,"*"&amp;K$3&amp;"*")</f>
        <v>0</v>
      </c>
      <c r="L14" s="126">
        <f t="shared" si="28"/>
        <v>0</v>
      </c>
      <c r="M14" s="126">
        <f t="shared" si="28"/>
        <v>2</v>
      </c>
      <c r="N14" s="14">
        <f t="shared" si="8"/>
        <v>0.6666666667</v>
      </c>
      <c r="X14" s="14" t="str">
        <f t="shared" si="1"/>
        <v>multistakeholders</v>
      </c>
      <c r="Y14" s="14" t="str">
        <f t="shared" si="9"/>
        <v>multistakeholders</v>
      </c>
    </row>
    <row r="15">
      <c r="A15" s="129" t="s">
        <v>137</v>
      </c>
      <c r="B15" s="125" t="str">
        <f>IF(ISNUMBER(SEARCH(",",VLOOKUP($A15,'List of documents'!A:F,6,0))),"multistakeholders",VLOOKUP($A15,'List of documents'!A:F,6,0))</f>
        <v>civil society &gt; other</v>
      </c>
      <c r="C15" s="125" t="str">
        <f>IF(ISNUMBER(SEARCH(",",VLOOKUP($A15,Matthieu!$A:$I,9,0))),"multistakeholders",VLOOKUP($A15,Matthieu!$A:$I,9,0))</f>
        <v>Private sector</v>
      </c>
      <c r="D15" s="125" t="str">
        <f>IF(ISNUMBER(SEARCH(",",VLOOKUP($A15,Maria!$A:$I,9,0))),"multistakeholders",VLOOKUP($A15,Maria!$A:$I,9,0))</f>
        <v>multistakeholders</v>
      </c>
      <c r="E15" s="125" t="str">
        <f>IF(ISNUMBER(SEARCH(",",VLOOKUP($A15,Aina!$A:$I,9,0))),"multistakeholders",VLOOKUP($A15,Aina!$A:$I,9,0))</f>
        <v>multistakeholders</v>
      </c>
      <c r="F15" s="125" t="str">
        <f>IF(ISNUMBER(SEARCH(",",VLOOKUP($A15,Tiphaine!$A:$I,9,0))),"multistakeholders",VLOOKUP($A15,Tiphaine!$A:$I,9,0))</f>
        <v>private sector</v>
      </c>
      <c r="G15" s="14" t="b">
        <f t="shared" si="4"/>
        <v>0</v>
      </c>
      <c r="H15" s="126">
        <f t="shared" ref="H15:I15" si="29">COUNTIF($B15:$F15,"*"&amp;H$3&amp;"*")</f>
        <v>0</v>
      </c>
      <c r="I15" s="126">
        <f t="shared" si="29"/>
        <v>1</v>
      </c>
      <c r="J15" s="126">
        <f t="shared" si="6"/>
        <v>0</v>
      </c>
      <c r="K15" s="126">
        <f t="shared" ref="K15:M15" si="30">COUNTIF($B15:$F15,"*"&amp;K$3&amp;"*")</f>
        <v>0</v>
      </c>
      <c r="L15" s="126">
        <f t="shared" si="30"/>
        <v>2</v>
      </c>
      <c r="M15" s="126">
        <f t="shared" si="30"/>
        <v>2</v>
      </c>
      <c r="N15" s="14">
        <f t="shared" si="8"/>
        <v>0.3333333333</v>
      </c>
      <c r="X15" s="14" t="str">
        <f t="shared" si="1"/>
        <v>civil society &gt; other</v>
      </c>
      <c r="Y15" s="14" t="str">
        <f t="shared" si="9"/>
        <v>civil society</v>
      </c>
    </row>
    <row r="16">
      <c r="A16" s="124" t="s">
        <v>142</v>
      </c>
      <c r="B16" s="125" t="str">
        <f>IF(ISNUMBER(SEARCH(",",VLOOKUP($A16,'List of documents'!A:F,6,0))),"multistakeholders",VLOOKUP($A16,'List of documents'!A:F,6,0))</f>
        <v>multistakeholders</v>
      </c>
      <c r="C16" s="125" t="str">
        <f>IF(ISNUMBER(SEARCH(",",VLOOKUP($A16,Matthieu!$A:$I,9,0))),"multistakeholders",VLOOKUP($A16,Matthieu!$A:$I,9,0))</f>
        <v>Academia</v>
      </c>
      <c r="D16" s="125" t="str">
        <f>IF(ISNUMBER(SEARCH(",",VLOOKUP($A16,Maria!$A:$I,9,0))),"multistakeholders",VLOOKUP($A16,Maria!$A:$I,9,0))</f>
        <v>multistakeholders</v>
      </c>
      <c r="E16" s="125" t="str">
        <f>IF(ISNUMBER(SEARCH(",",VLOOKUP($A16,Aina!$A:$I,9,0))),"multistakeholders",VLOOKUP($A16,Aina!$A:$I,9,0))</f>
        <v>multistakeholders</v>
      </c>
      <c r="F16" s="125" t="str">
        <f>IF(ISNUMBER(SEARCH(",",VLOOKUP($A16,Tiphaine!$A:$I,9,0))),"multistakeholders",VLOOKUP($A16,Tiphaine!$A:$I,9,0))</f>
        <v>academia</v>
      </c>
      <c r="G16" s="14" t="b">
        <f t="shared" si="4"/>
        <v>0</v>
      </c>
      <c r="H16" s="126">
        <f t="shared" ref="H16:I16" si="31">COUNTIF($B16:$F16,"*"&amp;H$3&amp;"*")</f>
        <v>2</v>
      </c>
      <c r="I16" s="126">
        <f t="shared" si="31"/>
        <v>0</v>
      </c>
      <c r="J16" s="126">
        <f t="shared" si="6"/>
        <v>0</v>
      </c>
      <c r="K16" s="126">
        <f t="shared" ref="K16:M16" si="32">COUNTIF($B16:$F16,"*"&amp;K$3&amp;"*")</f>
        <v>0</v>
      </c>
      <c r="L16" s="126">
        <f t="shared" si="32"/>
        <v>0</v>
      </c>
      <c r="M16" s="126">
        <f t="shared" si="32"/>
        <v>3</v>
      </c>
      <c r="N16" s="14">
        <f t="shared" si="8"/>
        <v>0.6666666667</v>
      </c>
      <c r="X16" s="14" t="str">
        <f t="shared" si="1"/>
        <v>multistakeholders</v>
      </c>
      <c r="Y16" s="14" t="str">
        <f t="shared" si="9"/>
        <v>multistakeholders</v>
      </c>
    </row>
    <row r="17">
      <c r="A17" s="129" t="s">
        <v>144</v>
      </c>
      <c r="B17" s="125" t="str">
        <f>IF(ISNUMBER(SEARCH(",",VLOOKUP($A17,'List of documents'!A:F,6,0))),"multistakeholders",VLOOKUP($A17,'List of documents'!A:F,6,0))</f>
        <v>academia</v>
      </c>
      <c r="C17" s="125" t="str">
        <f>IF(ISNUMBER(SEARCH(",",VLOOKUP($A17,Matthieu!$A:$I,9,0))),"multistakeholders",VLOOKUP($A17,Matthieu!$A:$I,9,0))</f>
        <v>Academia</v>
      </c>
      <c r="D17" s="125" t="str">
        <f>IF(ISNUMBER(SEARCH(",",VLOOKUP($A17,Maria!$A:$I,9,0))),"multistakeholders",VLOOKUP($A17,Maria!$A:$I,9,0))</f>
        <v>academia</v>
      </c>
      <c r="E17" s="125" t="str">
        <f>IF(ISNUMBER(SEARCH(",",VLOOKUP($A17,Aina!$A:$I,9,0))),"multistakeholders",VLOOKUP($A17,Aina!$A:$I,9,0))</f>
        <v>academia</v>
      </c>
      <c r="F17" s="125" t="str">
        <f>IF(ISNUMBER(SEARCH(",",VLOOKUP($A17,Tiphaine!$A:$I,9,0))),"multistakeholders",VLOOKUP($A17,Tiphaine!$A:$I,9,0))</f>
        <v>academia</v>
      </c>
      <c r="G17" s="14" t="b">
        <f t="shared" si="4"/>
        <v>0</v>
      </c>
      <c r="H17" s="126">
        <f t="shared" ref="H17:I17" si="33">COUNTIF($B17:$F17,"*"&amp;H$3&amp;"*")</f>
        <v>5</v>
      </c>
      <c r="I17" s="126">
        <f t="shared" si="33"/>
        <v>0</v>
      </c>
      <c r="J17" s="126">
        <f t="shared" si="6"/>
        <v>0</v>
      </c>
      <c r="K17" s="126">
        <f t="shared" ref="K17:M17" si="34">COUNTIF($B17:$F17,"*"&amp;K$3&amp;"*")</f>
        <v>0</v>
      </c>
      <c r="L17" s="126">
        <f t="shared" si="34"/>
        <v>0</v>
      </c>
      <c r="M17" s="126">
        <f t="shared" si="34"/>
        <v>0</v>
      </c>
      <c r="N17" s="14">
        <f t="shared" si="8"/>
        <v>1.666666667</v>
      </c>
      <c r="X17" s="14" t="str">
        <f t="shared" si="1"/>
        <v>academia</v>
      </c>
      <c r="Y17" s="14" t="str">
        <f t="shared" si="9"/>
        <v>academia</v>
      </c>
    </row>
    <row r="18">
      <c r="A18" s="129" t="s">
        <v>148</v>
      </c>
      <c r="B18" s="125" t="str">
        <f>IF(ISNUMBER(SEARCH(",",VLOOKUP($A18,'List of documents'!A:F,6,0))),"multistakeholders",VLOOKUP($A18,'List of documents'!A:F,6,0))</f>
        <v>international organisation &gt; IGO</v>
      </c>
      <c r="C18" s="125" t="str">
        <f>IF(ISNUMBER(SEARCH(",",VLOOKUP($A18,Matthieu!$A:$I,9,0))),"multistakeholders",VLOOKUP($A18,Matthieu!$A:$I,9,0))</f>
        <v>International organisation</v>
      </c>
      <c r="D18" s="125" t="str">
        <f>IF(ISNUMBER(SEARCH(",",VLOOKUP($A18,Maria!$A:$I,9,0))),"multistakeholders",VLOOKUP($A18,Maria!$A:$I,9,0))</f>
        <v>international organisation</v>
      </c>
      <c r="E18" s="125" t="str">
        <f>IF(ISNUMBER(SEARCH(",",VLOOKUP($A18,Aina!$A:$I,9,0))),"multistakeholders",VLOOKUP($A18,Aina!$A:$I,9,0))</f>
        <v>international organisation</v>
      </c>
      <c r="F18" s="125" t="str">
        <f>IF(ISNUMBER(SEARCH(",",VLOOKUP($A18,Tiphaine!$A:$I,9,0))),"multistakeholders",VLOOKUP($A18,Tiphaine!$A:$I,9,0))</f>
        <v>international organisation</v>
      </c>
      <c r="G18" s="14" t="b">
        <f t="shared" si="4"/>
        <v>0</v>
      </c>
      <c r="H18" s="126">
        <f t="shared" ref="H18:I18" si="35">COUNTIF($B18:$F18,"*"&amp;H$3&amp;"*")</f>
        <v>0</v>
      </c>
      <c r="I18" s="126">
        <f t="shared" si="35"/>
        <v>0</v>
      </c>
      <c r="J18" s="126">
        <f t="shared" si="6"/>
        <v>5</v>
      </c>
      <c r="K18" s="126">
        <f t="shared" ref="K18:M18" si="36">COUNTIF($B18:$F18,"*"&amp;K$3&amp;"*")</f>
        <v>0</v>
      </c>
      <c r="L18" s="126">
        <f t="shared" si="36"/>
        <v>0</v>
      </c>
      <c r="M18" s="126">
        <f t="shared" si="36"/>
        <v>0</v>
      </c>
      <c r="N18" s="14">
        <f t="shared" si="8"/>
        <v>1.666666667</v>
      </c>
      <c r="Q18" s="14" t="s">
        <v>62</v>
      </c>
      <c r="X18" s="14" t="str">
        <f t="shared" si="1"/>
        <v>international organisation &gt; igo</v>
      </c>
      <c r="Y18" s="14" t="str">
        <f t="shared" si="9"/>
        <v>international organisation</v>
      </c>
    </row>
    <row r="19">
      <c r="A19" s="124" t="s">
        <v>153</v>
      </c>
      <c r="B19" s="125" t="str">
        <f>IF(ISNUMBER(SEARCH(",",VLOOKUP($A19,'List of documents'!A:F,6,0))),"multistakeholders",VLOOKUP($A19,'List of documents'!A:F,6,0))</f>
        <v>academia</v>
      </c>
      <c r="C19" s="125" t="str">
        <f>IF(ISNUMBER(SEARCH(",",VLOOKUP($A19,Matthieu!$A:$I,9,0))),"multistakeholders",VLOOKUP($A19,Matthieu!$A:$I,9,0))</f>
        <v>Academia</v>
      </c>
      <c r="D19" s="125" t="str">
        <f>IF(ISNUMBER(SEARCH(",",VLOOKUP($A19,Maria!$A:$I,9,0))),"multistakeholders",VLOOKUP($A19,Maria!$A:$I,9,0))</f>
        <v>academia</v>
      </c>
      <c r="E19" s="125" t="str">
        <f>IF(ISNUMBER(SEARCH(",",VLOOKUP($A19,Aina!$A:$I,9,0))),"multistakeholders",VLOOKUP($A19,Aina!$A:$I,9,0))</f>
        <v>academia</v>
      </c>
      <c r="F19" s="125" t="str">
        <f>IF(ISNUMBER(SEARCH(",",VLOOKUP($A19,Tiphaine!$A:$I,9,0))),"multistakeholders",VLOOKUP($A19,Tiphaine!$A:$I,9,0))</f>
        <v/>
      </c>
      <c r="G19" s="14" t="b">
        <f t="shared" si="4"/>
        <v>1</v>
      </c>
      <c r="H19" s="126">
        <f t="shared" ref="H19:I19" si="37">COUNTIF($B19:$F19,"*"&amp;H$3&amp;"*")</f>
        <v>4</v>
      </c>
      <c r="I19" s="126">
        <f t="shared" si="37"/>
        <v>0</v>
      </c>
      <c r="J19" s="126">
        <f t="shared" si="6"/>
        <v>0</v>
      </c>
      <c r="K19" s="126">
        <f t="shared" ref="K19:M19" si="38">COUNTIF($B19:$F19,"*"&amp;K$3&amp;"*")</f>
        <v>0</v>
      </c>
      <c r="L19" s="126">
        <f t="shared" si="38"/>
        <v>0</v>
      </c>
      <c r="M19" s="126">
        <f t="shared" si="38"/>
        <v>0</v>
      </c>
      <c r="N19" s="14">
        <f t="shared" si="8"/>
        <v>1</v>
      </c>
      <c r="Q19" s="14" t="s">
        <v>37</v>
      </c>
      <c r="X19" s="14" t="str">
        <f t="shared" si="1"/>
        <v>academia</v>
      </c>
      <c r="Y19" s="14" t="str">
        <f t="shared" si="9"/>
        <v>academia</v>
      </c>
    </row>
    <row r="20">
      <c r="A20" s="129" t="s">
        <v>160</v>
      </c>
      <c r="B20" s="125" t="str">
        <f>IF(ISNUMBER(SEARCH(",",VLOOKUP($A20,'List of documents'!A:F,6,0))),"multistakeholders",VLOOKUP($A20,'List of documents'!A:F,6,0))</f>
        <v>national authority</v>
      </c>
      <c r="C20" s="125" t="str">
        <f>IF(ISNUMBER(SEARCH(",",VLOOKUP($A20,Matthieu!$A:$I,9,0))),"multistakeholders",VLOOKUP($A20,Matthieu!$A:$I,9,0))</f>
        <v>Civil society</v>
      </c>
      <c r="D20" s="125" t="str">
        <f>IF(ISNUMBER(SEARCH(",",VLOOKUP($A20,Maria!$A:$I,9,0))),"multistakeholders",VLOOKUP($A20,Maria!$A:$I,9,0))</f>
        <v>multistakeholders</v>
      </c>
      <c r="E20" s="125" t="str">
        <f>IF(ISNUMBER(SEARCH(",",VLOOKUP($A20,Aina!$A:$I,9,0))),"multistakeholders",VLOOKUP($A20,Aina!$A:$I,9,0))</f>
        <v>civil society</v>
      </c>
      <c r="F20" s="125" t="str">
        <f>IF(ISNUMBER(SEARCH(",",VLOOKUP($A20,Tiphaine!$A:$I,9,0))),"multistakeholders",VLOOKUP($A20,Tiphaine!$A:$I,9,0))</f>
        <v>national authority</v>
      </c>
      <c r="G20" s="14" t="b">
        <f t="shared" si="4"/>
        <v>0</v>
      </c>
      <c r="H20" s="126">
        <f t="shared" ref="H20:I20" si="39">COUNTIF($B20:$F20,"*"&amp;H$3&amp;"*")</f>
        <v>0</v>
      </c>
      <c r="I20" s="126">
        <f t="shared" si="39"/>
        <v>2</v>
      </c>
      <c r="J20" s="126">
        <f t="shared" si="6"/>
        <v>0</v>
      </c>
      <c r="K20" s="126">
        <f t="shared" ref="K20:M20" si="40">COUNTIF($B20:$F20,"*"&amp;K$3&amp;"*")</f>
        <v>2</v>
      </c>
      <c r="L20" s="126">
        <f t="shared" si="40"/>
        <v>0</v>
      </c>
      <c r="M20" s="126">
        <f t="shared" si="40"/>
        <v>1</v>
      </c>
      <c r="N20" s="14">
        <f t="shared" si="8"/>
        <v>0.3333333333</v>
      </c>
      <c r="Q20" s="14" t="s">
        <v>2411</v>
      </c>
      <c r="X20" s="14" t="str">
        <f t="shared" si="1"/>
        <v>national authority</v>
      </c>
      <c r="Y20" s="14" t="str">
        <f t="shared" si="9"/>
        <v>national authority</v>
      </c>
    </row>
    <row r="21">
      <c r="A21" s="129" t="s">
        <v>164</v>
      </c>
      <c r="B21" s="125" t="str">
        <f>IF(ISNUMBER(SEARCH(",",VLOOKUP($A21,'List of documents'!A:F,6,0))),"multistakeholders",VLOOKUP($A21,'List of documents'!A:F,6,0))</f>
        <v>national authority</v>
      </c>
      <c r="C21" s="125" t="str">
        <f>IF(ISNUMBER(SEARCH(",",VLOOKUP($A21,Matthieu!$A:$I,9,0))),"multistakeholders",VLOOKUP($A21,Matthieu!$A:$I,9,0))</f>
        <v>National authority</v>
      </c>
      <c r="D21" s="125" t="str">
        <f>IF(ISNUMBER(SEARCH(",",VLOOKUP($A21,Maria!$A:$I,9,0))),"multistakeholders",VLOOKUP($A21,Maria!$A:$I,9,0))</f>
        <v>multistakeholders</v>
      </c>
      <c r="E21" s="125" t="str">
        <f>IF(ISNUMBER(SEARCH(",",VLOOKUP($A21,Aina!$A:$I,9,0))),"multistakeholders",VLOOKUP($A21,Aina!$A:$I,9,0))</f>
        <v>multistakeholders</v>
      </c>
      <c r="F21" s="125" t="str">
        <f>IF(ISNUMBER(SEARCH(",",VLOOKUP($A21,Tiphaine!$A:$I,9,0))),"multistakeholders",VLOOKUP($A21,Tiphaine!$A:$I,9,0))</f>
        <v/>
      </c>
      <c r="G21" s="14" t="b">
        <f t="shared" si="4"/>
        <v>1</v>
      </c>
      <c r="H21" s="126">
        <f t="shared" ref="H21:I21" si="41">COUNTIF($B21:$F21,"*"&amp;H$3&amp;"*")</f>
        <v>0</v>
      </c>
      <c r="I21" s="126">
        <f t="shared" si="41"/>
        <v>0</v>
      </c>
      <c r="J21" s="126">
        <f t="shared" si="6"/>
        <v>0</v>
      </c>
      <c r="K21" s="126">
        <f t="shared" ref="K21:M21" si="42">COUNTIF($B21:$F21,"*"&amp;K$3&amp;"*")</f>
        <v>2</v>
      </c>
      <c r="L21" s="126">
        <f t="shared" si="42"/>
        <v>0</v>
      </c>
      <c r="M21" s="126">
        <f t="shared" si="42"/>
        <v>2</v>
      </c>
      <c r="N21" s="14">
        <f t="shared" si="8"/>
        <v>0.3333333333</v>
      </c>
      <c r="Q21" s="14" t="s">
        <v>2412</v>
      </c>
      <c r="X21" s="14" t="str">
        <f t="shared" si="1"/>
        <v>national authority</v>
      </c>
      <c r="Y21" s="14" t="str">
        <f t="shared" si="9"/>
        <v>national authority</v>
      </c>
    </row>
    <row r="22">
      <c r="A22" s="129" t="s">
        <v>168</v>
      </c>
      <c r="B22" s="125" t="str">
        <f>IF(ISNUMBER(SEARCH(",",VLOOKUP($A22,'List of documents'!A:F,6,0))),"multistakeholders",VLOOKUP($A22,'List of documents'!A:F,6,0))</f>
        <v>civil society &gt; NGO</v>
      </c>
      <c r="C22" s="125" t="str">
        <f>IF(ISNUMBER(SEARCH(",",VLOOKUP($A22,Matthieu!$A:$I,9,0))),"multistakeholders",VLOOKUP($A22,Matthieu!$A:$I,9,0))</f>
        <v>multistakeholders</v>
      </c>
      <c r="D22" s="125" t="str">
        <f>IF(ISNUMBER(SEARCH(",",VLOOKUP($A22,Maria!$A:$I,9,0))),"multistakeholders",VLOOKUP($A22,Maria!$A:$I,9,0))</f>
        <v>multistakeholders</v>
      </c>
      <c r="E22" s="125" t="str">
        <f>IF(ISNUMBER(SEARCH(",",VLOOKUP($A22,Aina!$A:$I,9,0))),"multistakeholders",VLOOKUP($A22,Aina!$A:$I,9,0))</f>
        <v>academia</v>
      </c>
      <c r="F22" s="125" t="str">
        <f>IF(ISNUMBER(SEARCH(",",VLOOKUP($A22,Tiphaine!$A:$I,9,0))),"multistakeholders",VLOOKUP($A22,Tiphaine!$A:$I,9,0))</f>
        <v/>
      </c>
      <c r="G22" s="14" t="b">
        <f t="shared" si="4"/>
        <v>1</v>
      </c>
      <c r="H22" s="126">
        <f t="shared" ref="H22:I22" si="43">COUNTIF($B22:$F22,"*"&amp;H$3&amp;"*")</f>
        <v>1</v>
      </c>
      <c r="I22" s="126">
        <f t="shared" si="43"/>
        <v>1</v>
      </c>
      <c r="J22" s="126">
        <f t="shared" si="6"/>
        <v>0</v>
      </c>
      <c r="K22" s="126">
        <f t="shared" ref="K22:M22" si="44">COUNTIF($B22:$F22,"*"&amp;K$3&amp;"*")</f>
        <v>0</v>
      </c>
      <c r="L22" s="126">
        <f t="shared" si="44"/>
        <v>0</v>
      </c>
      <c r="M22" s="126">
        <f t="shared" si="44"/>
        <v>2</v>
      </c>
      <c r="N22" s="14">
        <f t="shared" si="8"/>
        <v>0.1666666667</v>
      </c>
      <c r="Q22" s="14" t="s">
        <v>77</v>
      </c>
      <c r="X22" s="14" t="str">
        <f t="shared" si="1"/>
        <v>civil society &gt; ngo</v>
      </c>
      <c r="Y22" s="14" t="str">
        <f t="shared" si="9"/>
        <v>civil society</v>
      </c>
    </row>
    <row r="23">
      <c r="A23" s="124" t="s">
        <v>173</v>
      </c>
      <c r="B23" s="125" t="str">
        <f>IF(ISNUMBER(SEARCH(",",VLOOKUP($A23,'List of documents'!A:F,6,0))),"multistakeholders",VLOOKUP($A23,'List of documents'!A:F,6,0))</f>
        <v>national authority</v>
      </c>
      <c r="C23" s="125" t="str">
        <f>IF(ISNUMBER(SEARCH(",",VLOOKUP($A23,Matthieu!$A:$I,9,0))),"multistakeholders",VLOOKUP($A23,Matthieu!$A:$I,9,0))</f>
        <v>National authority</v>
      </c>
      <c r="D23" s="125" t="str">
        <f>IF(ISNUMBER(SEARCH(",",VLOOKUP($A23,Maria!$A:$I,9,0))),"multistakeholders",VLOOKUP($A23,Maria!$A:$I,9,0))</f>
        <v>multistakeholders</v>
      </c>
      <c r="E23" s="125" t="str">
        <f>IF(ISNUMBER(SEARCH(",",VLOOKUP($A23,Aina!$A:$I,9,0))),"multistakeholders",VLOOKUP($A23,Aina!$A:$I,9,0))</f>
        <v>national authority</v>
      </c>
      <c r="F23" s="125" t="str">
        <f>IF(ISNUMBER(SEARCH(",",VLOOKUP($A23,Tiphaine!$A:$I,9,0))),"multistakeholders",VLOOKUP($A23,Tiphaine!$A:$I,9,0))</f>
        <v/>
      </c>
      <c r="G23" s="14" t="b">
        <f t="shared" si="4"/>
        <v>1</v>
      </c>
      <c r="H23" s="126">
        <f t="shared" ref="H23:I23" si="45">COUNTIF($B23:$F23,"*"&amp;H$3&amp;"*")</f>
        <v>0</v>
      </c>
      <c r="I23" s="126">
        <f t="shared" si="45"/>
        <v>0</v>
      </c>
      <c r="J23" s="126">
        <f t="shared" si="6"/>
        <v>0</v>
      </c>
      <c r="K23" s="126">
        <f t="shared" ref="K23:M23" si="46">COUNTIF($B23:$F23,"*"&amp;K$3&amp;"*")</f>
        <v>3</v>
      </c>
      <c r="L23" s="126">
        <f t="shared" si="46"/>
        <v>0</v>
      </c>
      <c r="M23" s="126">
        <f t="shared" si="46"/>
        <v>1</v>
      </c>
      <c r="N23" s="14">
        <f t="shared" si="8"/>
        <v>0.5</v>
      </c>
      <c r="Q23" s="14" t="s">
        <v>95</v>
      </c>
      <c r="X23" s="14" t="str">
        <f t="shared" si="1"/>
        <v>national authority</v>
      </c>
      <c r="Y23" s="14" t="str">
        <f t="shared" si="9"/>
        <v>national authority</v>
      </c>
    </row>
    <row r="24">
      <c r="A24" s="124" t="s">
        <v>177</v>
      </c>
      <c r="B24" s="125" t="str">
        <f>IF(ISNUMBER(SEARCH(",",VLOOKUP($A24,'List of documents'!A:F,6,0))),"multistakeholders",VLOOKUP($A24,'List of documents'!A:F,6,0))</f>
        <v>international organisation &gt; EU institution</v>
      </c>
      <c r="C24" s="125" t="str">
        <f>IF(ISNUMBER(SEARCH(",",VLOOKUP($A24,Matthieu!$A:$I,9,0))),"multistakeholders",VLOOKUP($A24,Matthieu!$A:$I,9,0))</f>
        <v>International organisation</v>
      </c>
      <c r="D24" s="125" t="str">
        <f>IF(ISNUMBER(SEARCH(",",VLOOKUP($A24,Maria!$A:$I,9,0))),"multistakeholders",VLOOKUP($A24,Maria!$A:$I,9,0))</f>
        <v>international organisation</v>
      </c>
      <c r="E24" s="125" t="str">
        <f>IF(ISNUMBER(SEARCH(",",VLOOKUP($A24,Aina!$A:$I,9,0))),"multistakeholders",VLOOKUP($A24,Aina!$A:$I,9,0))</f>
        <v>international organisation</v>
      </c>
      <c r="F24" s="125" t="str">
        <f>IF(ISNUMBER(SEARCH(",",VLOOKUP($A24,Tiphaine!$A:$I,9,0))),"multistakeholders",VLOOKUP($A24,Tiphaine!$A:$I,9,0))</f>
        <v>international organisation</v>
      </c>
      <c r="G24" s="14" t="b">
        <f t="shared" si="4"/>
        <v>0</v>
      </c>
      <c r="H24" s="126">
        <f t="shared" ref="H24:I24" si="47">COUNTIF($B24:$F24,"*"&amp;H$3&amp;"*")</f>
        <v>0</v>
      </c>
      <c r="I24" s="126">
        <f t="shared" si="47"/>
        <v>0</v>
      </c>
      <c r="J24" s="126">
        <f t="shared" si="6"/>
        <v>5</v>
      </c>
      <c r="K24" s="126">
        <f t="shared" ref="K24:M24" si="48">COUNTIF($B24:$F24,"*"&amp;K$3&amp;"*")</f>
        <v>0</v>
      </c>
      <c r="L24" s="126">
        <f t="shared" si="48"/>
        <v>0</v>
      </c>
      <c r="M24" s="126">
        <f t="shared" si="48"/>
        <v>0</v>
      </c>
      <c r="N24" s="14">
        <f t="shared" si="8"/>
        <v>1.666666667</v>
      </c>
      <c r="X24" s="14" t="str">
        <f t="shared" si="1"/>
        <v>international organisation &gt; eu institution</v>
      </c>
      <c r="Y24" s="14" t="str">
        <f t="shared" si="9"/>
        <v>international organisation</v>
      </c>
    </row>
    <row r="25">
      <c r="A25" s="124" t="s">
        <v>182</v>
      </c>
      <c r="B25" s="125" t="str">
        <f>IF(ISNUMBER(SEARCH(",",VLOOKUP($A25,'List of documents'!A:F,6,0))),"multistakeholders",VLOOKUP($A25,'List of documents'!A:F,6,0))</f>
        <v>academia</v>
      </c>
      <c r="C25" s="125" t="str">
        <f>IF(ISNUMBER(SEARCH(",",VLOOKUP($A25,Matthieu!$A:$I,9,0))),"multistakeholders",VLOOKUP($A25,Matthieu!$A:$I,9,0))</f>
        <v>Academia</v>
      </c>
      <c r="D25" s="125" t="str">
        <f>IF(ISNUMBER(SEARCH(",",VLOOKUP($A25,Maria!$A:$I,9,0))),"multistakeholders",VLOOKUP($A25,Maria!$A:$I,9,0))</f>
        <v>multistakeholders</v>
      </c>
      <c r="E25" s="125" t="str">
        <f>IF(ISNUMBER(SEARCH(",",VLOOKUP($A25,Aina!$A:$I,9,0))),"multistakeholders",VLOOKUP($A25,Aina!$A:$I,9,0))</f>
        <v>multistakeholders</v>
      </c>
      <c r="F25" s="125" t="str">
        <f>IF(ISNUMBER(SEARCH(",",VLOOKUP($A25,Tiphaine!$A:$I,9,0))),"multistakeholders",VLOOKUP($A25,Tiphaine!$A:$I,9,0))</f>
        <v/>
      </c>
      <c r="G25" s="14" t="b">
        <f t="shared" si="4"/>
        <v>1</v>
      </c>
      <c r="H25" s="126">
        <f t="shared" ref="H25:I25" si="49">COUNTIF($B25:$F25,"*"&amp;H$3&amp;"*")</f>
        <v>2</v>
      </c>
      <c r="I25" s="126">
        <f t="shared" si="49"/>
        <v>0</v>
      </c>
      <c r="J25" s="126">
        <f t="shared" si="6"/>
        <v>0</v>
      </c>
      <c r="K25" s="126">
        <f t="shared" ref="K25:M25" si="50">COUNTIF($B25:$F25,"*"&amp;K$3&amp;"*")</f>
        <v>0</v>
      </c>
      <c r="L25" s="126">
        <f t="shared" si="50"/>
        <v>0</v>
      </c>
      <c r="M25" s="126">
        <f t="shared" si="50"/>
        <v>2</v>
      </c>
      <c r="N25" s="14">
        <f t="shared" si="8"/>
        <v>0.3333333333</v>
      </c>
      <c r="X25" s="14" t="str">
        <f t="shared" si="1"/>
        <v>academia</v>
      </c>
      <c r="Y25" s="14" t="str">
        <f t="shared" si="9"/>
        <v>academia</v>
      </c>
    </row>
    <row r="26">
      <c r="A26" s="129" t="s">
        <v>186</v>
      </c>
      <c r="B26" s="125" t="str">
        <f>IF(ISNUMBER(SEARCH(",",VLOOKUP($A26,'List of documents'!A:F,6,0))),"multistakeholders",VLOOKUP($A26,'List of documents'!A:F,6,0))</f>
        <v>national authority</v>
      </c>
      <c r="C26" s="125" t="str">
        <f>IF(ISNUMBER(SEARCH(",",VLOOKUP($A26,Matthieu!$A:$I,9,0))),"multistakeholders",VLOOKUP($A26,Matthieu!$A:$I,9,0))</f>
        <v>National authority</v>
      </c>
      <c r="D26" s="125" t="str">
        <f>IF(ISNUMBER(SEARCH(",",VLOOKUP($A26,Maria!$A:$I,9,0))),"multistakeholders",VLOOKUP($A26,Maria!$A:$I,9,0))</f>
        <v>national authority</v>
      </c>
      <c r="E26" s="125" t="str">
        <f>IF(ISNUMBER(SEARCH(",",VLOOKUP($A26,Aina!$A:$I,9,0))),"multistakeholders",VLOOKUP($A26,Aina!$A:$I,9,0))</f>
        <v>national authority</v>
      </c>
      <c r="F26" s="125" t="str">
        <f>IF(ISNUMBER(SEARCH(",",VLOOKUP($A26,Tiphaine!$A:$I,9,0))),"multistakeholders",VLOOKUP($A26,Tiphaine!$A:$I,9,0))</f>
        <v/>
      </c>
      <c r="G26" s="14" t="b">
        <f t="shared" si="4"/>
        <v>1</v>
      </c>
      <c r="H26" s="126">
        <f t="shared" ref="H26:I26" si="51">COUNTIF($B26:$F26,"*"&amp;H$3&amp;"*")</f>
        <v>0</v>
      </c>
      <c r="I26" s="126">
        <f t="shared" si="51"/>
        <v>0</v>
      </c>
      <c r="J26" s="126">
        <f t="shared" si="6"/>
        <v>0</v>
      </c>
      <c r="K26" s="126">
        <f t="shared" ref="K26:M26" si="52">COUNTIF($B26:$F26,"*"&amp;K$3&amp;"*")</f>
        <v>4</v>
      </c>
      <c r="L26" s="126">
        <f t="shared" si="52"/>
        <v>0</v>
      </c>
      <c r="M26" s="126">
        <f t="shared" si="52"/>
        <v>0</v>
      </c>
      <c r="N26" s="14">
        <f t="shared" si="8"/>
        <v>1</v>
      </c>
      <c r="X26" s="14" t="str">
        <f t="shared" si="1"/>
        <v>national authority</v>
      </c>
      <c r="Y26" s="14" t="str">
        <f t="shared" si="9"/>
        <v>national authority</v>
      </c>
    </row>
    <row r="27">
      <c r="A27" s="129" t="s">
        <v>190</v>
      </c>
      <c r="B27" s="125" t="str">
        <f>IF(ISNUMBER(SEARCH(",",VLOOKUP($A27,'List of documents'!A:F,6,0))),"multistakeholders",VLOOKUP($A27,'List of documents'!A:F,6,0))</f>
        <v>civil society &gt; NGO</v>
      </c>
      <c r="C27" s="125" t="str">
        <f>IF(ISNUMBER(SEARCH(",",VLOOKUP($A27,Matthieu!$A:$I,9,0))),"multistakeholders",VLOOKUP($A27,Matthieu!$A:$I,9,0))</f>
        <v>multistakeholders</v>
      </c>
      <c r="D27" s="125" t="str">
        <f>IF(ISNUMBER(SEARCH(",",VLOOKUP($A27,Maria!$A:$I,9,0))),"multistakeholders",VLOOKUP($A27,Maria!$A:$I,9,0))</f>
        <v>multistakeholders</v>
      </c>
      <c r="E27" s="125" t="str">
        <f>IF(ISNUMBER(SEARCH(",",VLOOKUP($A27,Aina!$A:$I,9,0))),"multistakeholders",VLOOKUP($A27,Aina!$A:$I,9,0))</f>
        <v>multistakeholders</v>
      </c>
      <c r="F27" s="125" t="str">
        <f>IF(ISNUMBER(SEARCH(",",VLOOKUP($A27,Tiphaine!$A:$I,9,0))),"multistakeholders",VLOOKUP($A27,Tiphaine!$A:$I,9,0))</f>
        <v/>
      </c>
      <c r="G27" s="14" t="b">
        <f t="shared" si="4"/>
        <v>1</v>
      </c>
      <c r="H27" s="126">
        <f t="shared" ref="H27:I27" si="53">COUNTIF($B27:$F27,"*"&amp;H$3&amp;"*")</f>
        <v>0</v>
      </c>
      <c r="I27" s="126">
        <f t="shared" si="53"/>
        <v>1</v>
      </c>
      <c r="J27" s="126">
        <f t="shared" si="6"/>
        <v>0</v>
      </c>
      <c r="K27" s="126">
        <f t="shared" ref="K27:M27" si="54">COUNTIF($B27:$F27,"*"&amp;K$3&amp;"*")</f>
        <v>0</v>
      </c>
      <c r="L27" s="126">
        <f t="shared" si="54"/>
        <v>0</v>
      </c>
      <c r="M27" s="126">
        <f t="shared" si="54"/>
        <v>3</v>
      </c>
      <c r="N27" s="14">
        <f t="shared" si="8"/>
        <v>0.5</v>
      </c>
      <c r="X27" s="14" t="str">
        <f t="shared" si="1"/>
        <v>civil society &gt; ngo</v>
      </c>
      <c r="Y27" s="14" t="str">
        <f t="shared" si="9"/>
        <v>civil society</v>
      </c>
    </row>
    <row r="28">
      <c r="A28" s="129" t="s">
        <v>201</v>
      </c>
      <c r="B28" s="125" t="str">
        <f>IF(ISNUMBER(SEARCH(",",VLOOKUP($A28,'List of documents'!A:F,6,0))),"multistakeholders",VLOOKUP($A28,'List of documents'!A:F,6,0))</f>
        <v>national authority</v>
      </c>
      <c r="C28" s="125" t="str">
        <f>IF(ISNUMBER(SEARCH(",",VLOOKUP($A28,Matthieu!$A:$I,9,0))),"multistakeholders",VLOOKUP($A28,Matthieu!$A:$I,9,0))</f>
        <v>National authority</v>
      </c>
      <c r="D28" s="125" t="str">
        <f>IF(ISNUMBER(SEARCH(",",VLOOKUP($A28,Maria!$A:$I,9,0))),"multistakeholders",VLOOKUP($A28,Maria!$A:$I,9,0))</f>
        <v>international organisation</v>
      </c>
      <c r="E28" s="125" t="str">
        <f>IF(ISNUMBER(SEARCH(",",VLOOKUP($A28,Aina!$A:$I,9,0))),"multistakeholders",VLOOKUP($A28,Aina!$A:$I,9,0))</f>
        <v>international organisation</v>
      </c>
      <c r="F28" s="125" t="str">
        <f>IF(ISNUMBER(SEARCH(",",VLOOKUP($A28,Tiphaine!$A:$I,9,0))),"multistakeholders",VLOOKUP($A28,Tiphaine!$A:$I,9,0))</f>
        <v/>
      </c>
      <c r="G28" s="14" t="b">
        <f t="shared" si="4"/>
        <v>1</v>
      </c>
      <c r="H28" s="126">
        <f t="shared" ref="H28:I28" si="55">COUNTIF($B28:$F28,"*"&amp;H$3&amp;"*")</f>
        <v>0</v>
      </c>
      <c r="I28" s="126">
        <f t="shared" si="55"/>
        <v>0</v>
      </c>
      <c r="J28" s="126">
        <f t="shared" si="6"/>
        <v>2</v>
      </c>
      <c r="K28" s="126">
        <f t="shared" ref="K28:M28" si="56">COUNTIF($B28:$F28,"*"&amp;K$3&amp;"*")</f>
        <v>2</v>
      </c>
      <c r="L28" s="126">
        <f t="shared" si="56"/>
        <v>0</v>
      </c>
      <c r="M28" s="126">
        <f t="shared" si="56"/>
        <v>0</v>
      </c>
      <c r="N28" s="14">
        <f t="shared" si="8"/>
        <v>0.3333333333</v>
      </c>
      <c r="X28" s="14" t="str">
        <f t="shared" si="1"/>
        <v>national authority</v>
      </c>
      <c r="Y28" s="14" t="str">
        <f t="shared" si="9"/>
        <v>national authority</v>
      </c>
    </row>
    <row r="29">
      <c r="A29" s="124" t="s">
        <v>205</v>
      </c>
      <c r="B29" s="125" t="str">
        <f>IF(ISNUMBER(SEARCH(",",VLOOKUP($A29,'List of documents'!A:F,6,0))),"multistakeholders",VLOOKUP($A29,'List of documents'!A:F,6,0))</f>
        <v>civil society</v>
      </c>
      <c r="C29" s="125" t="str">
        <f>IF(ISNUMBER(SEARCH(",",VLOOKUP($A29,Matthieu!$A:$I,9,0))),"multistakeholders",VLOOKUP($A29,Matthieu!$A:$I,9,0))</f>
        <v>Civil society</v>
      </c>
      <c r="D29" s="125" t="str">
        <f>IF(ISNUMBER(SEARCH(",",VLOOKUP($A29,Maria!$A:$I,9,0))),"multistakeholders",VLOOKUP($A29,Maria!$A:$I,9,0))</f>
        <v>civil society</v>
      </c>
      <c r="E29" s="125" t="str">
        <f>IF(ISNUMBER(SEARCH(",",VLOOKUP($A29,Aina!$A:$I,9,0))),"multistakeholders",VLOOKUP($A29,Aina!$A:$I,9,0))</f>
        <v>civil society</v>
      </c>
      <c r="F29" s="125" t="str">
        <f>IF(ISNUMBER(SEARCH(",",VLOOKUP($A29,Tiphaine!$A:$I,9,0))),"multistakeholders",VLOOKUP($A29,Tiphaine!$A:$I,9,0))</f>
        <v/>
      </c>
      <c r="G29" s="14" t="b">
        <f t="shared" si="4"/>
        <v>1</v>
      </c>
      <c r="H29" s="126">
        <f t="shared" ref="H29:I29" si="57">COUNTIF($B29:$F29,"*"&amp;H$3&amp;"*")</f>
        <v>0</v>
      </c>
      <c r="I29" s="126">
        <f t="shared" si="57"/>
        <v>4</v>
      </c>
      <c r="J29" s="126">
        <f t="shared" si="6"/>
        <v>0</v>
      </c>
      <c r="K29" s="126">
        <f t="shared" ref="K29:M29" si="58">COUNTIF($B29:$F29,"*"&amp;K$3&amp;"*")</f>
        <v>0</v>
      </c>
      <c r="L29" s="126">
        <f t="shared" si="58"/>
        <v>0</v>
      </c>
      <c r="M29" s="126">
        <f t="shared" si="58"/>
        <v>0</v>
      </c>
      <c r="N29" s="14">
        <f t="shared" si="8"/>
        <v>1</v>
      </c>
      <c r="X29" s="14" t="str">
        <f t="shared" si="1"/>
        <v>civil society</v>
      </c>
      <c r="Y29" s="14" t="str">
        <f t="shared" si="9"/>
        <v>civil society</v>
      </c>
    </row>
    <row r="30">
      <c r="A30" s="129" t="s">
        <v>209</v>
      </c>
      <c r="B30" s="125" t="str">
        <f>IF(ISNUMBER(SEARCH(",",VLOOKUP($A30,'List of documents'!A:F,6,0))),"multistakeholders",VLOOKUP($A30,'List of documents'!A:F,6,0))</f>
        <v>civil society &gt; NGO</v>
      </c>
      <c r="C30" s="125" t="str">
        <f>IF(ISNUMBER(SEARCH(",",VLOOKUP($A30,Matthieu!$A:$I,9,0))),"multistakeholders",VLOOKUP($A30,Matthieu!$A:$I,9,0))</f>
        <v>Private sector</v>
      </c>
      <c r="D30" s="125" t="str">
        <f>IF(ISNUMBER(SEARCH(",",VLOOKUP($A30,Maria!$A:$I,9,0))),"multistakeholders",VLOOKUP($A30,Maria!$A:$I,9,0))</f>
        <v>multistakeholders</v>
      </c>
      <c r="E30" s="125" t="str">
        <f>IF(ISNUMBER(SEARCH(",",VLOOKUP($A30,Aina!$A:$I,9,0))),"multistakeholders",VLOOKUP($A30,Aina!$A:$I,9,0))</f>
        <v>civil society</v>
      </c>
      <c r="F30" s="125" t="str">
        <f>IF(ISNUMBER(SEARCH(",",VLOOKUP($A30,Tiphaine!$A:$I,9,0))),"multistakeholders",VLOOKUP($A30,Tiphaine!$A:$I,9,0))</f>
        <v/>
      </c>
      <c r="G30" s="14" t="b">
        <f t="shared" si="4"/>
        <v>1</v>
      </c>
      <c r="H30" s="126">
        <f t="shared" ref="H30:I30" si="59">COUNTIF($B30:$F30,"*"&amp;H$3&amp;"*")</f>
        <v>0</v>
      </c>
      <c r="I30" s="126">
        <f t="shared" si="59"/>
        <v>2</v>
      </c>
      <c r="J30" s="126">
        <f t="shared" si="6"/>
        <v>0</v>
      </c>
      <c r="K30" s="126">
        <f t="shared" ref="K30:M30" si="60">COUNTIF($B30:$F30,"*"&amp;K$3&amp;"*")</f>
        <v>0</v>
      </c>
      <c r="L30" s="126">
        <f t="shared" si="60"/>
        <v>1</v>
      </c>
      <c r="M30" s="126">
        <f t="shared" si="60"/>
        <v>1</v>
      </c>
      <c r="N30" s="14">
        <f t="shared" si="8"/>
        <v>0.1666666667</v>
      </c>
      <c r="X30" s="14" t="str">
        <f t="shared" si="1"/>
        <v>civil society &gt; ngo</v>
      </c>
      <c r="Y30" s="14" t="str">
        <f t="shared" si="9"/>
        <v>civil society</v>
      </c>
    </row>
    <row r="31">
      <c r="A31" s="129" t="s">
        <v>216</v>
      </c>
      <c r="B31" s="125" t="str">
        <f>IF(ISNUMBER(SEARCH(",",VLOOKUP($A31,'List of documents'!A:F,6,0))),"multistakeholders",VLOOKUP($A31,'List of documents'!A:F,6,0))</f>
        <v>international organisation &gt; EU institution</v>
      </c>
      <c r="C31" s="125" t="str">
        <f>IF(ISNUMBER(SEARCH(",",VLOOKUP($A31,Matthieu!$A:$I,9,0))),"multistakeholders",VLOOKUP($A31,Matthieu!$A:$I,9,0))</f>
        <v>International organisation</v>
      </c>
      <c r="D31" s="125" t="str">
        <f>IF(ISNUMBER(SEARCH(",",VLOOKUP($A31,Maria!$A:$I,9,0))),"multistakeholders",VLOOKUP($A31,Maria!$A:$I,9,0))</f>
        <v>multistakeholders</v>
      </c>
      <c r="E31" s="125" t="str">
        <f>IF(ISNUMBER(SEARCH(",",VLOOKUP($A31,Aina!$A:$I,9,0))),"multistakeholders",VLOOKUP($A31,Aina!$A:$I,9,0))</f>
        <v>international organisation</v>
      </c>
      <c r="F31" s="125" t="str">
        <f>IF(ISNUMBER(SEARCH(",",VLOOKUP($A31,Tiphaine!$A:$I,9,0))),"multistakeholders",VLOOKUP($A31,Tiphaine!$A:$I,9,0))</f>
        <v>international organisation</v>
      </c>
      <c r="G31" s="14" t="b">
        <f t="shared" si="4"/>
        <v>0</v>
      </c>
      <c r="H31" s="126">
        <f t="shared" ref="H31:I31" si="61">COUNTIF($B31:$F31,"*"&amp;H$3&amp;"*")</f>
        <v>0</v>
      </c>
      <c r="I31" s="126">
        <f t="shared" si="61"/>
        <v>0</v>
      </c>
      <c r="J31" s="126">
        <f t="shared" si="6"/>
        <v>4</v>
      </c>
      <c r="K31" s="126">
        <f t="shared" ref="K31:M31" si="62">COUNTIF($B31:$F31,"*"&amp;K$3&amp;"*")</f>
        <v>0</v>
      </c>
      <c r="L31" s="126">
        <f t="shared" si="62"/>
        <v>0</v>
      </c>
      <c r="M31" s="126">
        <f t="shared" si="62"/>
        <v>1</v>
      </c>
      <c r="N31" s="14">
        <f t="shared" si="8"/>
        <v>1</v>
      </c>
      <c r="X31" s="14" t="str">
        <f t="shared" si="1"/>
        <v>international organisation &gt; eu institution</v>
      </c>
      <c r="Y31" s="14" t="str">
        <f t="shared" si="9"/>
        <v>international organisation</v>
      </c>
    </row>
    <row r="32">
      <c r="A32" s="124" t="s">
        <v>223</v>
      </c>
      <c r="B32" s="125" t="str">
        <f>IF(ISNUMBER(SEARCH(",",VLOOKUP($A32,'List of documents'!A:F,6,0))),"multistakeholders",VLOOKUP($A32,'List of documents'!A:F,6,0))</f>
        <v>civil society &gt; NGO</v>
      </c>
      <c r="C32" s="125" t="str">
        <f>IF(ISNUMBER(SEARCH(",",VLOOKUP($A32,Matthieu!$A:$I,9,0))),"multistakeholders",VLOOKUP($A32,Matthieu!$A:$I,9,0))</f>
        <v>multistakeholders</v>
      </c>
      <c r="D32" s="125" t="str">
        <f>IF(ISNUMBER(SEARCH(",",VLOOKUP($A32,Maria!$A:$I,9,0))),"multistakeholders",VLOOKUP($A32,Maria!$A:$I,9,0))</f>
        <v>multistakeholders</v>
      </c>
      <c r="E32" s="125" t="str">
        <f>IF(ISNUMBER(SEARCH(",",VLOOKUP($A32,Aina!$A:$I,9,0))),"multistakeholders",VLOOKUP($A32,Aina!$A:$I,9,0))</f>
        <v>civil society</v>
      </c>
      <c r="F32" s="125" t="str">
        <f>IF(ISNUMBER(SEARCH(",",VLOOKUP($A32,Tiphaine!$A:$I,9,0))),"multistakeholders",VLOOKUP($A32,Tiphaine!$A:$I,9,0))</f>
        <v/>
      </c>
      <c r="G32" s="14" t="b">
        <f t="shared" si="4"/>
        <v>1</v>
      </c>
      <c r="H32" s="126">
        <f t="shared" ref="H32:I32" si="63">COUNTIF($B32:$F32,"*"&amp;H$3&amp;"*")</f>
        <v>0</v>
      </c>
      <c r="I32" s="126">
        <f t="shared" si="63"/>
        <v>2</v>
      </c>
      <c r="J32" s="126">
        <f t="shared" si="6"/>
        <v>0</v>
      </c>
      <c r="K32" s="126">
        <f t="shared" ref="K32:M32" si="64">COUNTIF($B32:$F32,"*"&amp;K$3&amp;"*")</f>
        <v>0</v>
      </c>
      <c r="L32" s="126">
        <f t="shared" si="64"/>
        <v>0</v>
      </c>
      <c r="M32" s="126">
        <f t="shared" si="64"/>
        <v>2</v>
      </c>
      <c r="N32" s="14">
        <f t="shared" si="8"/>
        <v>0.3333333333</v>
      </c>
      <c r="X32" s="14" t="str">
        <f t="shared" si="1"/>
        <v>civil society &gt; ngo</v>
      </c>
      <c r="Y32" s="14" t="str">
        <f t="shared" si="9"/>
        <v>civil society</v>
      </c>
    </row>
    <row r="33">
      <c r="A33" s="124" t="s">
        <v>226</v>
      </c>
      <c r="B33" s="125" t="str">
        <f>IF(ISNUMBER(SEARCH(",",VLOOKUP($A33,'List of documents'!A:F,6,0))),"multistakeholders",VLOOKUP($A33,'List of documents'!A:F,6,0))</f>
        <v>international organisation &gt; IGO</v>
      </c>
      <c r="C33" s="125" t="str">
        <f>IF(ISNUMBER(SEARCH(",",VLOOKUP($A33,Matthieu!$A:$I,9,0))),"multistakeholders",VLOOKUP($A33,Matthieu!$A:$I,9,0))</f>
        <v>International organisation</v>
      </c>
      <c r="D33" s="125" t="str">
        <f>IF(ISNUMBER(SEARCH(",",VLOOKUP($A33,Maria!$A:$I,9,0))),"multistakeholders",VLOOKUP($A33,Maria!$A:$I,9,0))</f>
        <v>international organisation</v>
      </c>
      <c r="E33" s="125" t="str">
        <f>IF(ISNUMBER(SEARCH(",",VLOOKUP($A33,Aina!$A:$I,9,0))),"multistakeholders",VLOOKUP($A33,Aina!$A:$I,9,0))</f>
        <v>international organisation</v>
      </c>
      <c r="F33" s="125" t="str">
        <f>IF(ISNUMBER(SEARCH(",",VLOOKUP($A33,Tiphaine!$A:$I,9,0))),"multistakeholders",VLOOKUP($A33,Tiphaine!$A:$I,9,0))</f>
        <v>international organisation</v>
      </c>
      <c r="G33" s="14" t="b">
        <f t="shared" si="4"/>
        <v>0</v>
      </c>
      <c r="H33" s="126">
        <f t="shared" ref="H33:I33" si="65">COUNTIF($B33:$F33,"*"&amp;H$3&amp;"*")</f>
        <v>0</v>
      </c>
      <c r="I33" s="126">
        <f t="shared" si="65"/>
        <v>0</v>
      </c>
      <c r="J33" s="126">
        <f t="shared" si="6"/>
        <v>5</v>
      </c>
      <c r="K33" s="126">
        <f t="shared" ref="K33:M33" si="66">COUNTIF($B33:$F33,"*"&amp;K$3&amp;"*")</f>
        <v>0</v>
      </c>
      <c r="L33" s="126">
        <f t="shared" si="66"/>
        <v>0</v>
      </c>
      <c r="M33" s="126">
        <f t="shared" si="66"/>
        <v>0</v>
      </c>
      <c r="N33" s="14">
        <f t="shared" si="8"/>
        <v>1.666666667</v>
      </c>
      <c r="X33" s="14" t="str">
        <f t="shared" si="1"/>
        <v>international organisation &gt; igo</v>
      </c>
      <c r="Y33" s="14" t="str">
        <f t="shared" si="9"/>
        <v>international organisation</v>
      </c>
    </row>
    <row r="34">
      <c r="A34" s="129" t="s">
        <v>230</v>
      </c>
      <c r="B34" s="125" t="str">
        <f>IF(ISNUMBER(SEARCH(",",VLOOKUP($A34,'List of documents'!A:F,6,0))),"multistakeholders",VLOOKUP($A34,'List of documents'!A:F,6,0))</f>
        <v>civil society &gt; other</v>
      </c>
      <c r="C34" s="125" t="str">
        <f>IF(ISNUMBER(SEARCH(",",VLOOKUP($A34,Matthieu!$A:$I,9,0))),"multistakeholders",VLOOKUP($A34,Matthieu!$A:$I,9,0))</f>
        <v>multistakeholders</v>
      </c>
      <c r="D34" s="125" t="str">
        <f>IF(ISNUMBER(SEARCH(",",VLOOKUP($A34,Maria!$A:$I,9,0))),"multistakeholders",VLOOKUP($A34,Maria!$A:$I,9,0))</f>
        <v>multistakeholders</v>
      </c>
      <c r="E34" s="125" t="str">
        <f>IF(ISNUMBER(SEARCH(",",VLOOKUP($A34,Aina!$A:$I,9,0))),"multistakeholders",VLOOKUP($A34,Aina!$A:$I,9,0))</f>
        <v>civil society</v>
      </c>
      <c r="F34" s="125" t="str">
        <f>IF(ISNUMBER(SEARCH(",",VLOOKUP($A34,Tiphaine!$A:$I,9,0))),"multistakeholders",VLOOKUP($A34,Tiphaine!$A:$I,9,0))</f>
        <v>civil society</v>
      </c>
      <c r="G34" s="14" t="b">
        <f t="shared" si="4"/>
        <v>0</v>
      </c>
      <c r="H34" s="126">
        <f t="shared" ref="H34:I34" si="67">COUNTIF($B34:$F34,"*"&amp;H$3&amp;"*")</f>
        <v>0</v>
      </c>
      <c r="I34" s="126">
        <f t="shared" si="67"/>
        <v>3</v>
      </c>
      <c r="J34" s="126">
        <f t="shared" si="6"/>
        <v>0</v>
      </c>
      <c r="K34" s="126">
        <f t="shared" ref="K34:M34" si="68">COUNTIF($B34:$F34,"*"&amp;K$3&amp;"*")</f>
        <v>0</v>
      </c>
      <c r="L34" s="126">
        <f t="shared" si="68"/>
        <v>0</v>
      </c>
      <c r="M34" s="126">
        <f t="shared" si="68"/>
        <v>2</v>
      </c>
      <c r="N34" s="14">
        <f t="shared" si="8"/>
        <v>0.6666666667</v>
      </c>
      <c r="X34" s="14" t="str">
        <f t="shared" si="1"/>
        <v>civil society &gt; other</v>
      </c>
      <c r="Y34" s="14" t="str">
        <f t="shared" si="9"/>
        <v>civil society</v>
      </c>
    </row>
    <row r="35">
      <c r="A35" s="129" t="s">
        <v>236</v>
      </c>
      <c r="B35" s="125" t="str">
        <f>IF(ISNUMBER(SEARCH(",",VLOOKUP($A35,'List of documents'!A:F,6,0))),"multistakeholders",VLOOKUP($A35,'List of documents'!A:F,6,0))</f>
        <v>private sector</v>
      </c>
      <c r="C35" s="125" t="str">
        <f>IF(ISNUMBER(SEARCH(",",VLOOKUP($A35,Matthieu!$A:$I,9,0))),"multistakeholders",VLOOKUP($A35,Matthieu!$A:$I,9,0))</f>
        <v>Private sector</v>
      </c>
      <c r="D35" s="125" t="str">
        <f>IF(ISNUMBER(SEARCH(",",VLOOKUP($A35,Maria!$A:$I,9,0))),"multistakeholders",VLOOKUP($A35,Maria!$A:$I,9,0))</f>
        <v>private sector</v>
      </c>
      <c r="E35" s="125" t="str">
        <f>IF(ISNUMBER(SEARCH(",",VLOOKUP($A35,Aina!$A:$I,9,0))),"multistakeholders",VLOOKUP($A35,Aina!$A:$I,9,0))</f>
        <v>private sector</v>
      </c>
      <c r="F35" s="125" t="str">
        <f>IF(ISNUMBER(SEARCH(",",VLOOKUP($A35,Tiphaine!$A:$I,9,0))),"multistakeholders",VLOOKUP($A35,Tiphaine!$A:$I,9,0))</f>
        <v>industry</v>
      </c>
      <c r="G35" s="14" t="b">
        <f t="shared" si="4"/>
        <v>1</v>
      </c>
      <c r="H35" s="126">
        <f t="shared" ref="H35:I35" si="69">COUNTIF($B35:$F35,"*"&amp;H$3&amp;"*")</f>
        <v>0</v>
      </c>
      <c r="I35" s="126">
        <f t="shared" si="69"/>
        <v>0</v>
      </c>
      <c r="J35" s="126">
        <f t="shared" si="6"/>
        <v>0</v>
      </c>
      <c r="K35" s="126">
        <f t="shared" ref="K35:M35" si="70">COUNTIF($B35:$F35,"*"&amp;K$3&amp;"*")</f>
        <v>0</v>
      </c>
      <c r="L35" s="126">
        <f t="shared" si="70"/>
        <v>4</v>
      </c>
      <c r="M35" s="126">
        <f t="shared" si="70"/>
        <v>0</v>
      </c>
      <c r="N35" s="14">
        <f t="shared" si="8"/>
        <v>1</v>
      </c>
      <c r="X35" s="14" t="str">
        <f t="shared" si="1"/>
        <v>private sector</v>
      </c>
      <c r="Y35" s="14" t="str">
        <f t="shared" si="9"/>
        <v>private sector</v>
      </c>
    </row>
    <row r="36">
      <c r="A36" s="124" t="s">
        <v>241</v>
      </c>
      <c r="B36" s="125" t="str">
        <f>IF(ISNUMBER(SEARCH(",",VLOOKUP($A36,'List of documents'!A:F,6,0))),"multistakeholders",VLOOKUP($A36,'List of documents'!A:F,6,0))</f>
        <v>civil society &gt; other</v>
      </c>
      <c r="C36" s="125" t="str">
        <f>IF(ISNUMBER(SEARCH(",",VLOOKUP($A36,Matthieu!$A:$I,9,0))),"multistakeholders",VLOOKUP($A36,Matthieu!$A:$I,9,0))</f>
        <v>Civil society</v>
      </c>
      <c r="D36" s="125" t="str">
        <f>IF(ISNUMBER(SEARCH(",",VLOOKUP($A36,Maria!$A:$I,9,0))),"multistakeholders",VLOOKUP($A36,Maria!$A:$I,9,0))</f>
        <v>civil society</v>
      </c>
      <c r="E36" s="125" t="str">
        <f>IF(ISNUMBER(SEARCH(",",VLOOKUP($A36,Aina!$A:$I,9,0))),"multistakeholders",VLOOKUP($A36,Aina!$A:$I,9,0))</f>
        <v>civil society</v>
      </c>
      <c r="F36" s="125" t="str">
        <f>IF(ISNUMBER(SEARCH(",",VLOOKUP($A36,Tiphaine!$A:$I,9,0))),"multistakeholders",VLOOKUP($A36,Tiphaine!$A:$I,9,0))</f>
        <v>civil society</v>
      </c>
      <c r="G36" s="14" t="b">
        <f t="shared" si="4"/>
        <v>0</v>
      </c>
      <c r="H36" s="126">
        <f t="shared" ref="H36:I36" si="71">COUNTIF($B36:$F36,"*"&amp;H$3&amp;"*")</f>
        <v>0</v>
      </c>
      <c r="I36" s="126">
        <f t="shared" si="71"/>
        <v>5</v>
      </c>
      <c r="J36" s="126">
        <f t="shared" si="6"/>
        <v>0</v>
      </c>
      <c r="K36" s="126">
        <f t="shared" ref="K36:M36" si="72">COUNTIF($B36:$F36,"*"&amp;K$3&amp;"*")</f>
        <v>0</v>
      </c>
      <c r="L36" s="126">
        <f t="shared" si="72"/>
        <v>0</v>
      </c>
      <c r="M36" s="126">
        <f t="shared" si="72"/>
        <v>0</v>
      </c>
      <c r="N36" s="14">
        <f t="shared" si="8"/>
        <v>1.666666667</v>
      </c>
      <c r="X36" s="14" t="str">
        <f t="shared" si="1"/>
        <v>civil society &gt; other</v>
      </c>
      <c r="Y36" s="14" t="str">
        <f t="shared" si="9"/>
        <v>civil society</v>
      </c>
    </row>
    <row r="37">
      <c r="A37" s="124" t="s">
        <v>245</v>
      </c>
      <c r="B37" s="125" t="str">
        <f>IF(ISNUMBER(SEARCH(",",VLOOKUP($A37,'List of documents'!A:F,6,0))),"multistakeholders",VLOOKUP($A37,'List of documents'!A:F,6,0))</f>
        <v>civil society &gt; other</v>
      </c>
      <c r="C37" s="125" t="str">
        <f>IF(ISNUMBER(SEARCH(",",VLOOKUP($A37,Matthieu!$A:$I,9,0))),"multistakeholders",VLOOKUP($A37,Matthieu!$A:$I,9,0))</f>
        <v>Civil society</v>
      </c>
      <c r="D37" s="125" t="str">
        <f>IF(ISNUMBER(SEARCH(",",VLOOKUP($A37,Maria!$A:$I,9,0))),"multistakeholders",VLOOKUP($A37,Maria!$A:$I,9,0))</f>
        <v>civil society</v>
      </c>
      <c r="E37" s="125" t="str">
        <f>IF(ISNUMBER(SEARCH(",",VLOOKUP($A37,Aina!$A:$I,9,0))),"multistakeholders",VLOOKUP($A37,Aina!$A:$I,9,0))</f>
        <v>civil society</v>
      </c>
      <c r="F37" s="125" t="str">
        <f>IF(ISNUMBER(SEARCH(",",VLOOKUP($A37,Tiphaine!$A:$I,9,0))),"multistakeholders",VLOOKUP($A37,Tiphaine!$A:$I,9,0))</f>
        <v>civil society</v>
      </c>
      <c r="G37" s="14" t="b">
        <f t="shared" si="4"/>
        <v>0</v>
      </c>
      <c r="H37" s="126">
        <f t="shared" ref="H37:I37" si="73">COUNTIF($B37:$F37,"*"&amp;H$3&amp;"*")</f>
        <v>0</v>
      </c>
      <c r="I37" s="126">
        <f t="shared" si="73"/>
        <v>5</v>
      </c>
      <c r="J37" s="126">
        <f t="shared" si="6"/>
        <v>0</v>
      </c>
      <c r="K37" s="126">
        <f t="shared" ref="K37:M37" si="74">COUNTIF($B37:$F37,"*"&amp;K$3&amp;"*")</f>
        <v>0</v>
      </c>
      <c r="L37" s="126">
        <f t="shared" si="74"/>
        <v>0</v>
      </c>
      <c r="M37" s="126">
        <f t="shared" si="74"/>
        <v>0</v>
      </c>
      <c r="N37" s="14">
        <f t="shared" si="8"/>
        <v>1.666666667</v>
      </c>
      <c r="X37" s="14" t="str">
        <f t="shared" si="1"/>
        <v>civil society &gt; other</v>
      </c>
      <c r="Y37" s="14" t="str">
        <f t="shared" si="9"/>
        <v>civil society</v>
      </c>
    </row>
    <row r="38">
      <c r="A38" s="129" t="s">
        <v>258</v>
      </c>
      <c r="B38" s="125" t="str">
        <f>IF(ISNUMBER(SEARCH(",",VLOOKUP($A38,'List of documents'!A:F,6,0))),"multistakeholders",VLOOKUP($A38,'List of documents'!A:F,6,0))</f>
        <v>civil society &gt; NGO</v>
      </c>
      <c r="C38" s="125" t="str">
        <f>IF(ISNUMBER(SEARCH(",",VLOOKUP($A38,Matthieu!$A:$I,9,0))),"multistakeholders",VLOOKUP($A38,Matthieu!$A:$I,9,0))</f>
        <v>Private sector</v>
      </c>
      <c r="D38" s="125" t="str">
        <f>IF(ISNUMBER(SEARCH(",",VLOOKUP($A38,Maria!$A:$I,9,0))),"multistakeholders",VLOOKUP($A38,Maria!$A:$I,9,0))</f>
        <v>multistakeholders</v>
      </c>
      <c r="E38" s="125" t="str">
        <f>IF(ISNUMBER(SEARCH(",",VLOOKUP($A38,Aina!$A:$I,9,0))),"multistakeholders",VLOOKUP($A38,Aina!$A:$I,9,0))</f>
        <v>multistakeholders</v>
      </c>
      <c r="F38" s="125" t="str">
        <f>IF(ISNUMBER(SEARCH(",",VLOOKUP($A38,Tiphaine!$A:$I,9,0))),"multistakeholders",VLOOKUP($A38,Tiphaine!$A:$I,9,0))</f>
        <v/>
      </c>
      <c r="G38" s="14" t="b">
        <f t="shared" si="4"/>
        <v>1</v>
      </c>
      <c r="H38" s="126">
        <f t="shared" ref="H38:I38" si="75">COUNTIF($B38:$F38,"*"&amp;H$3&amp;"*")</f>
        <v>0</v>
      </c>
      <c r="I38" s="126">
        <f t="shared" si="75"/>
        <v>1</v>
      </c>
      <c r="J38" s="126">
        <f t="shared" si="6"/>
        <v>0</v>
      </c>
      <c r="K38" s="126">
        <f t="shared" ref="K38:M38" si="76">COUNTIF($B38:$F38,"*"&amp;K$3&amp;"*")</f>
        <v>0</v>
      </c>
      <c r="L38" s="126">
        <f t="shared" si="76"/>
        <v>1</v>
      </c>
      <c r="M38" s="126">
        <f t="shared" si="76"/>
        <v>2</v>
      </c>
      <c r="N38" s="14">
        <f t="shared" si="8"/>
        <v>0.1666666667</v>
      </c>
      <c r="X38" s="14" t="str">
        <f t="shared" si="1"/>
        <v>civil society &gt; ngo</v>
      </c>
      <c r="Y38" s="14" t="str">
        <f t="shared" si="9"/>
        <v>civil society</v>
      </c>
    </row>
    <row r="39">
      <c r="A39" s="129" t="s">
        <v>261</v>
      </c>
      <c r="B39" s="125" t="str">
        <f>IF(ISNUMBER(SEARCH(",",VLOOKUP($A39,'List of documents'!A:F,6,0))),"multistakeholders",VLOOKUP($A39,'List of documents'!A:F,6,0))</f>
        <v>national authority</v>
      </c>
      <c r="C39" s="125" t="str">
        <f>IF(ISNUMBER(SEARCH(",",VLOOKUP($A39,Matthieu!$A:$I,9,0))),"multistakeholders",VLOOKUP($A39,Matthieu!$A:$I,9,0))</f>
        <v>National authority</v>
      </c>
      <c r="D39" s="125" t="str">
        <f>IF(ISNUMBER(SEARCH(",",VLOOKUP($A39,Maria!$A:$I,9,0))),"multistakeholders",VLOOKUP($A39,Maria!$A:$I,9,0))</f>
        <v>national authority</v>
      </c>
      <c r="E39" s="125" t="str">
        <f>IF(ISNUMBER(SEARCH(",",VLOOKUP($A39,Aina!$A:$I,9,0))),"multistakeholders",VLOOKUP($A39,Aina!$A:$I,9,0))</f>
        <v>national authority</v>
      </c>
      <c r="F39" s="125" t="str">
        <f>IF(ISNUMBER(SEARCH(",",VLOOKUP($A39,Tiphaine!$A:$I,9,0))),"multistakeholders",VLOOKUP($A39,Tiphaine!$A:$I,9,0))</f>
        <v/>
      </c>
      <c r="G39" s="14" t="b">
        <f t="shared" si="4"/>
        <v>1</v>
      </c>
      <c r="H39" s="126">
        <f t="shared" ref="H39:I39" si="77">COUNTIF($B39:$F39,"*"&amp;H$3&amp;"*")</f>
        <v>0</v>
      </c>
      <c r="I39" s="126">
        <f t="shared" si="77"/>
        <v>0</v>
      </c>
      <c r="J39" s="126">
        <f t="shared" si="6"/>
        <v>0</v>
      </c>
      <c r="K39" s="126">
        <f t="shared" ref="K39:M39" si="78">COUNTIF($B39:$F39,"*"&amp;K$3&amp;"*")</f>
        <v>4</v>
      </c>
      <c r="L39" s="126">
        <f t="shared" si="78"/>
        <v>0</v>
      </c>
      <c r="M39" s="126">
        <f t="shared" si="78"/>
        <v>0</v>
      </c>
      <c r="N39" s="14">
        <f t="shared" si="8"/>
        <v>1</v>
      </c>
      <c r="X39" s="14" t="str">
        <f t="shared" si="1"/>
        <v>national authority</v>
      </c>
      <c r="Y39" s="14" t="str">
        <f t="shared" si="9"/>
        <v>national authority</v>
      </c>
    </row>
    <row r="40">
      <c r="A40" s="124" t="s">
        <v>271</v>
      </c>
      <c r="B40" s="125" t="str">
        <f>IF(ISNUMBER(SEARCH(",",VLOOKUP($A40,'List of documents'!A:F,6,0))),"multistakeholders",VLOOKUP($A40,'List of documents'!A:F,6,0))</f>
        <v>international organisation &gt; EU institution</v>
      </c>
      <c r="C40" s="125" t="str">
        <f>IF(ISNUMBER(SEARCH(",",VLOOKUP($A40,Matthieu!$A:$I,9,0))),"multistakeholders",VLOOKUP($A40,Matthieu!$A:$I,9,0))</f>
        <v>International organisation</v>
      </c>
      <c r="D40" s="125" t="str">
        <f>IF(ISNUMBER(SEARCH(",",VLOOKUP($A40,Maria!$A:$I,9,0))),"multistakeholders",VLOOKUP($A40,Maria!$A:$I,9,0))</f>
        <v>multistakeholders</v>
      </c>
      <c r="E40" s="125" t="str">
        <f>IF(ISNUMBER(SEARCH(",",VLOOKUP($A40,Aina!$A:$I,9,0))),"multistakeholders",VLOOKUP($A40,Aina!$A:$I,9,0))</f>
        <v>multistakeholders</v>
      </c>
      <c r="F40" s="125" t="str">
        <f>IF(ISNUMBER(SEARCH(",",VLOOKUP($A40,Tiphaine!$A:$I,9,0))),"multistakeholders",VLOOKUP($A40,Tiphaine!$A:$I,9,0))</f>
        <v>international organisation</v>
      </c>
      <c r="G40" s="14" t="b">
        <f t="shared" si="4"/>
        <v>0</v>
      </c>
      <c r="H40" s="126">
        <f t="shared" ref="H40:I40" si="79">COUNTIF($B40:$F40,"*"&amp;H$3&amp;"*")</f>
        <v>0</v>
      </c>
      <c r="I40" s="126">
        <f t="shared" si="79"/>
        <v>0</v>
      </c>
      <c r="J40" s="126">
        <f t="shared" si="6"/>
        <v>3</v>
      </c>
      <c r="K40" s="126">
        <f t="shared" ref="K40:M40" si="80">COUNTIF($B40:$F40,"*"&amp;K$3&amp;"*")</f>
        <v>0</v>
      </c>
      <c r="L40" s="126">
        <f t="shared" si="80"/>
        <v>0</v>
      </c>
      <c r="M40" s="126">
        <f t="shared" si="80"/>
        <v>2</v>
      </c>
      <c r="N40" s="14">
        <f t="shared" si="8"/>
        <v>0.6666666667</v>
      </c>
      <c r="X40" s="14" t="str">
        <f t="shared" si="1"/>
        <v>international organisation &gt; eu institution</v>
      </c>
      <c r="Y40" s="14" t="str">
        <f t="shared" si="9"/>
        <v>international organisation</v>
      </c>
    </row>
    <row r="41">
      <c r="A41" s="129" t="s">
        <v>277</v>
      </c>
      <c r="B41" s="125" t="str">
        <f>IF(ISNUMBER(SEARCH(",",VLOOKUP($A41,'List of documents'!A:F,6,0))),"multistakeholders",VLOOKUP($A41,'List of documents'!A:F,6,0))</f>
        <v>civil society &gt; NGO</v>
      </c>
      <c r="C41" s="125" t="str">
        <f>IF(ISNUMBER(SEARCH(",",VLOOKUP($A41,Matthieu!$A:$I,9,0))),"multistakeholders",VLOOKUP($A41,Matthieu!$A:$I,9,0))</f>
        <v>Civil Society</v>
      </c>
      <c r="D41" s="125" t="str">
        <f>IF(ISNUMBER(SEARCH(",",VLOOKUP($A41,Maria!$A:$I,9,0))),"multistakeholders",VLOOKUP($A41,Maria!$A:$I,9,0))</f>
        <v>multistakeholders</v>
      </c>
      <c r="E41" s="125" t="str">
        <f>IF(ISNUMBER(SEARCH(",",VLOOKUP($A41,Aina!$A:$I,9,0))),"multistakeholders",VLOOKUP($A41,Aina!$A:$I,9,0))</f>
        <v>civil society</v>
      </c>
      <c r="F41" s="125" t="str">
        <f>IF(ISNUMBER(SEARCH(",",VLOOKUP($A41,Tiphaine!$A:$I,9,0))),"multistakeholders",VLOOKUP($A41,Tiphaine!$A:$I,9,0))</f>
        <v>civil society</v>
      </c>
      <c r="G41" s="14" t="b">
        <f t="shared" si="4"/>
        <v>0</v>
      </c>
      <c r="H41" s="126">
        <f t="shared" ref="H41:I41" si="81">COUNTIF($B41:$F41,"*"&amp;H$3&amp;"*")</f>
        <v>0</v>
      </c>
      <c r="I41" s="126">
        <f t="shared" si="81"/>
        <v>4</v>
      </c>
      <c r="J41" s="126">
        <f t="shared" si="6"/>
        <v>0</v>
      </c>
      <c r="K41" s="126">
        <f t="shared" ref="K41:M41" si="82">COUNTIF($B41:$F41,"*"&amp;K$3&amp;"*")</f>
        <v>0</v>
      </c>
      <c r="L41" s="126">
        <f t="shared" si="82"/>
        <v>0</v>
      </c>
      <c r="M41" s="126">
        <f t="shared" si="82"/>
        <v>1</v>
      </c>
      <c r="N41" s="14">
        <f t="shared" si="8"/>
        <v>1</v>
      </c>
      <c r="X41" s="14" t="str">
        <f t="shared" si="1"/>
        <v>civil society &gt; ngo</v>
      </c>
      <c r="Y41" s="14" t="str">
        <f t="shared" si="9"/>
        <v>civil society</v>
      </c>
    </row>
    <row r="42">
      <c r="A42" s="129" t="s">
        <v>285</v>
      </c>
      <c r="B42" s="125" t="str">
        <f>IF(ISNUMBER(SEARCH(",",VLOOKUP($A42,'List of documents'!A:F,6,0))),"multistakeholders",VLOOKUP($A42,'List of documents'!A:F,6,0))</f>
        <v>national authority</v>
      </c>
      <c r="C42" s="125" t="str">
        <f>IF(ISNUMBER(SEARCH(",",VLOOKUP($A42,Matthieu!$A:$I,9,0))),"multistakeholders",VLOOKUP($A42,Matthieu!$A:$I,9,0))</f>
        <v>National authority</v>
      </c>
      <c r="D42" s="125" t="str">
        <f>IF(ISNUMBER(SEARCH(",",VLOOKUP($A42,Maria!$A:$I,9,0))),"multistakeholders",VLOOKUP($A42,Maria!$A:$I,9,0))</f>
        <v>multistakeholders</v>
      </c>
      <c r="E42" s="125" t="str">
        <f>IF(ISNUMBER(SEARCH(",",VLOOKUP($A42,Aina!$A:$I,9,0))),"multistakeholders",VLOOKUP($A42,Aina!$A:$I,9,0))</f>
        <v>national authority</v>
      </c>
      <c r="F42" s="125" t="str">
        <f>IF(ISNUMBER(SEARCH(",",VLOOKUP($A42,Tiphaine!$A:$I,9,0))),"multistakeholders",VLOOKUP($A42,Tiphaine!$A:$I,9,0))</f>
        <v/>
      </c>
      <c r="G42" s="14" t="b">
        <f t="shared" si="4"/>
        <v>1</v>
      </c>
      <c r="H42" s="126">
        <f t="shared" ref="H42:I42" si="83">COUNTIF($B42:$F42,"*"&amp;H$3&amp;"*")</f>
        <v>0</v>
      </c>
      <c r="I42" s="126">
        <f t="shared" si="83"/>
        <v>0</v>
      </c>
      <c r="J42" s="126">
        <f t="shared" si="6"/>
        <v>0</v>
      </c>
      <c r="K42" s="126">
        <f t="shared" ref="K42:M42" si="84">COUNTIF($B42:$F42,"*"&amp;K$3&amp;"*")</f>
        <v>3</v>
      </c>
      <c r="L42" s="126">
        <f t="shared" si="84"/>
        <v>0</v>
      </c>
      <c r="M42" s="126">
        <f t="shared" si="84"/>
        <v>1</v>
      </c>
      <c r="N42" s="14">
        <f t="shared" si="8"/>
        <v>0.5</v>
      </c>
      <c r="X42" s="14" t="str">
        <f t="shared" si="1"/>
        <v>national authority</v>
      </c>
      <c r="Y42" s="14" t="str">
        <f t="shared" si="9"/>
        <v>national authority</v>
      </c>
    </row>
    <row r="43">
      <c r="A43" s="129" t="s">
        <v>296</v>
      </c>
      <c r="B43" s="125" t="str">
        <f>IF(ISNUMBER(SEARCH(",",VLOOKUP($A43,'List of documents'!A:F,6,0))),"multistakeholders",VLOOKUP($A43,'List of documents'!A:F,6,0))</f>
        <v>civil society &gt; other</v>
      </c>
      <c r="C43" s="125" t="str">
        <f>IF(ISNUMBER(SEARCH(",",VLOOKUP($A43,Matthieu!$A:$I,9,0))),"multistakeholders",VLOOKUP($A43,Matthieu!$A:$I,9,0))</f>
        <v>Civil Society</v>
      </c>
      <c r="D43" s="125" t="str">
        <f>IF(ISNUMBER(SEARCH(",",VLOOKUP($A43,Maria!$A:$I,9,0))),"multistakeholders",VLOOKUP($A43,Maria!$A:$I,9,0))</f>
        <v>civil society</v>
      </c>
      <c r="E43" s="125" t="str">
        <f>IF(ISNUMBER(SEARCH(",",VLOOKUP($A43,Aina!$A:$I,9,0))),"multistakeholders",VLOOKUP($A43,Aina!$A:$I,9,0))</f>
        <v>civil society</v>
      </c>
      <c r="F43" s="125" t="str">
        <f>IF(ISNUMBER(SEARCH(",",VLOOKUP($A43,Tiphaine!$A:$I,9,0))),"multistakeholders",VLOOKUP($A43,Tiphaine!$A:$I,9,0))</f>
        <v/>
      </c>
      <c r="G43" s="14" t="b">
        <f t="shared" si="4"/>
        <v>1</v>
      </c>
      <c r="H43" s="126">
        <f t="shared" ref="H43:I43" si="85">COUNTIF($B43:$F43,"*"&amp;H$3&amp;"*")</f>
        <v>0</v>
      </c>
      <c r="I43" s="126">
        <f t="shared" si="85"/>
        <v>4</v>
      </c>
      <c r="J43" s="126">
        <f t="shared" si="6"/>
        <v>0</v>
      </c>
      <c r="K43" s="126">
        <f t="shared" ref="K43:M43" si="86">COUNTIF($B43:$F43,"*"&amp;K$3&amp;"*")</f>
        <v>0</v>
      </c>
      <c r="L43" s="126">
        <f t="shared" si="86"/>
        <v>0</v>
      </c>
      <c r="M43" s="126">
        <f t="shared" si="86"/>
        <v>0</v>
      </c>
      <c r="N43" s="14">
        <f t="shared" si="8"/>
        <v>1</v>
      </c>
      <c r="X43" s="14" t="str">
        <f t="shared" si="1"/>
        <v>civil society &gt; other</v>
      </c>
      <c r="Y43" s="14" t="str">
        <f t="shared" si="9"/>
        <v>civil society</v>
      </c>
    </row>
    <row r="44">
      <c r="A44" s="124" t="s">
        <v>309</v>
      </c>
      <c r="B44" s="125" t="str">
        <f>IF(ISNUMBER(SEARCH(",",VLOOKUP($A44,'List of documents'!A:F,6,0))),"multistakeholders",VLOOKUP($A44,'List of documents'!A:F,6,0))</f>
        <v>international organisation &gt; EU institution</v>
      </c>
      <c r="C44" s="125" t="str">
        <f>IF(ISNUMBER(SEARCH(",",VLOOKUP($A44,Matthieu!$A:$I,9,0))),"multistakeholders",VLOOKUP($A44,Matthieu!$A:$I,9,0))</f>
        <v>International organisation</v>
      </c>
      <c r="D44" s="125" t="str">
        <f>IF(ISNUMBER(SEARCH(",",VLOOKUP($A44,Maria!$A:$I,9,0))),"multistakeholders",VLOOKUP($A44,Maria!$A:$I,9,0))</f>
        <v>international organisation</v>
      </c>
      <c r="E44" s="125" t="str">
        <f>IF(ISNUMBER(SEARCH(",",VLOOKUP($A44,Aina!$A:$I,9,0))),"multistakeholders",VLOOKUP($A44,Aina!$A:$I,9,0))</f>
        <v>international organisation</v>
      </c>
      <c r="F44" s="125" t="str">
        <f>IF(ISNUMBER(SEARCH(",",VLOOKUP($A44,Tiphaine!$A:$I,9,0))),"multistakeholders",VLOOKUP($A44,Tiphaine!$A:$I,9,0))</f>
        <v>international organisation</v>
      </c>
      <c r="G44" s="14" t="b">
        <f t="shared" si="4"/>
        <v>0</v>
      </c>
      <c r="H44" s="126">
        <f t="shared" ref="H44:I44" si="87">COUNTIF($B44:$F44,"*"&amp;H$3&amp;"*")</f>
        <v>0</v>
      </c>
      <c r="I44" s="126">
        <f t="shared" si="87"/>
        <v>0</v>
      </c>
      <c r="J44" s="126">
        <f t="shared" si="6"/>
        <v>5</v>
      </c>
      <c r="K44" s="126">
        <f t="shared" ref="K44:M44" si="88">COUNTIF($B44:$F44,"*"&amp;K$3&amp;"*")</f>
        <v>0</v>
      </c>
      <c r="L44" s="126">
        <f t="shared" si="88"/>
        <v>0</v>
      </c>
      <c r="M44" s="126">
        <f t="shared" si="88"/>
        <v>0</v>
      </c>
      <c r="N44" s="14">
        <f t="shared" si="8"/>
        <v>1.666666667</v>
      </c>
      <c r="X44" s="14" t="str">
        <f t="shared" si="1"/>
        <v>international organisation &gt; eu institution</v>
      </c>
      <c r="Y44" s="14" t="str">
        <f t="shared" si="9"/>
        <v>international organisation</v>
      </c>
    </row>
    <row r="45">
      <c r="A45" s="129" t="s">
        <v>314</v>
      </c>
      <c r="B45" s="125" t="str">
        <f>IF(ISNUMBER(SEARCH(",",VLOOKUP($A45,'List of documents'!A:F,6,0))),"multistakeholders",VLOOKUP($A45,'List of documents'!A:F,6,0))</f>
        <v>civil society &gt; other</v>
      </c>
      <c r="C45" s="125" t="str">
        <f>IF(ISNUMBER(SEARCH(",",VLOOKUP($A45,Matthieu!$A:$I,9,0))),"multistakeholders",VLOOKUP($A45,Matthieu!$A:$I,9,0))</f>
        <v>Civil society</v>
      </c>
      <c r="D45" s="125" t="str">
        <f>IF(ISNUMBER(SEARCH(",",VLOOKUP($A45,Maria!$A:$I,9,0))),"multistakeholders",VLOOKUP($A45,Maria!$A:$I,9,0))</f>
        <v>civil society</v>
      </c>
      <c r="E45" s="125" t="str">
        <f>IF(ISNUMBER(SEARCH(",",VLOOKUP($A45,Aina!$A:$I,9,0))),"multistakeholders",VLOOKUP($A45,Aina!$A:$I,9,0))</f>
        <v>civil society</v>
      </c>
      <c r="F45" s="125" t="str">
        <f>IF(ISNUMBER(SEARCH(",",VLOOKUP($A45,Tiphaine!$A:$I,9,0))),"multistakeholders",VLOOKUP($A45,Tiphaine!$A:$I,9,0))</f>
        <v/>
      </c>
      <c r="G45" s="14" t="b">
        <f t="shared" si="4"/>
        <v>1</v>
      </c>
      <c r="H45" s="126">
        <f t="shared" ref="H45:I45" si="89">COUNTIF($B45:$F45,"*"&amp;H$3&amp;"*")</f>
        <v>0</v>
      </c>
      <c r="I45" s="126">
        <f t="shared" si="89"/>
        <v>4</v>
      </c>
      <c r="J45" s="126">
        <f t="shared" si="6"/>
        <v>0</v>
      </c>
      <c r="K45" s="126">
        <f t="shared" ref="K45:M45" si="90">COUNTIF($B45:$F45,"*"&amp;K$3&amp;"*")</f>
        <v>0</v>
      </c>
      <c r="L45" s="126">
        <f t="shared" si="90"/>
        <v>0</v>
      </c>
      <c r="M45" s="126">
        <f t="shared" si="90"/>
        <v>0</v>
      </c>
      <c r="N45" s="14">
        <f t="shared" si="8"/>
        <v>1</v>
      </c>
      <c r="X45" s="14" t="str">
        <f t="shared" si="1"/>
        <v>civil society &gt; other</v>
      </c>
      <c r="Y45" s="14" t="str">
        <f t="shared" si="9"/>
        <v>civil society</v>
      </c>
    </row>
    <row r="46">
      <c r="A46" s="124" t="s">
        <v>317</v>
      </c>
      <c r="B46" s="125" t="str">
        <f>IF(ISNUMBER(SEARCH(",",VLOOKUP($A46,'List of documents'!A:F,6,0))),"multistakeholders",VLOOKUP($A46,'List of documents'!A:F,6,0))</f>
        <v>national authority</v>
      </c>
      <c r="C46" s="125" t="str">
        <f>IF(ISNUMBER(SEARCH(",",VLOOKUP($A46,Matthieu!$A:$I,9,0))),"multistakeholders",VLOOKUP($A46,Matthieu!$A:$I,9,0))</f>
        <v>National authority</v>
      </c>
      <c r="D46" s="125" t="str">
        <f>IF(ISNUMBER(SEARCH(",",VLOOKUP($A46,Maria!$A:$I,9,0))),"multistakeholders",VLOOKUP($A46,Maria!$A:$I,9,0))</f>
        <v>national authority</v>
      </c>
      <c r="E46" s="125" t="str">
        <f>IF(ISNUMBER(SEARCH(",",VLOOKUP($A46,Aina!$A:$I,9,0))),"multistakeholders",VLOOKUP($A46,Aina!$A:$I,9,0))</f>
        <v>national authority</v>
      </c>
      <c r="F46" s="125" t="str">
        <f>IF(ISNUMBER(SEARCH(",",VLOOKUP($A46,Tiphaine!$A:$I,9,0))),"multistakeholders",VLOOKUP($A46,Tiphaine!$A:$I,9,0))</f>
        <v>national authority</v>
      </c>
      <c r="G46" s="14" t="b">
        <f t="shared" si="4"/>
        <v>0</v>
      </c>
      <c r="H46" s="126">
        <f t="shared" ref="H46:I46" si="91">COUNTIF($B46:$F46,"*"&amp;H$3&amp;"*")</f>
        <v>0</v>
      </c>
      <c r="I46" s="126">
        <f t="shared" si="91"/>
        <v>0</v>
      </c>
      <c r="J46" s="126">
        <f t="shared" si="6"/>
        <v>0</v>
      </c>
      <c r="K46" s="126">
        <f t="shared" ref="K46:M46" si="92">COUNTIF($B46:$F46,"*"&amp;K$3&amp;"*")</f>
        <v>5</v>
      </c>
      <c r="L46" s="126">
        <f t="shared" si="92"/>
        <v>0</v>
      </c>
      <c r="M46" s="126">
        <f t="shared" si="92"/>
        <v>0</v>
      </c>
      <c r="N46" s="14">
        <f t="shared" si="8"/>
        <v>1.666666667</v>
      </c>
      <c r="X46" s="14" t="str">
        <f t="shared" si="1"/>
        <v>national authority</v>
      </c>
      <c r="Y46" s="14" t="str">
        <f t="shared" si="9"/>
        <v>national authority</v>
      </c>
    </row>
    <row r="47">
      <c r="A47" s="124" t="s">
        <v>326</v>
      </c>
      <c r="B47" s="125" t="str">
        <f>IF(ISNUMBER(SEARCH(",",VLOOKUP($A47,'List of documents'!A:F,6,0))),"multistakeholders",VLOOKUP($A47,'List of documents'!A:F,6,0))</f>
        <v>international organisation &gt; IGO</v>
      </c>
      <c r="C47" s="125" t="str">
        <f>IF(ISNUMBER(SEARCH(",",VLOOKUP($A47,Matthieu!$A:$I,9,0))),"multistakeholders",VLOOKUP($A47,Matthieu!$A:$I,9,0))</f>
        <v>International organisation</v>
      </c>
      <c r="D47" s="125" t="str">
        <f>IF(ISNUMBER(SEARCH(",",VLOOKUP($A47,Maria!$A:$I,9,0))),"multistakeholders",VLOOKUP($A47,Maria!$A:$I,9,0))</f>
        <v>international organisation</v>
      </c>
      <c r="E47" s="125" t="str">
        <f>IF(ISNUMBER(SEARCH(",",VLOOKUP($A47,Aina!$A:$I,9,0))),"multistakeholders",VLOOKUP($A47,Aina!$A:$I,9,0))</f>
        <v>international organisation</v>
      </c>
      <c r="F47" s="125" t="str">
        <f>IF(ISNUMBER(SEARCH(",",VLOOKUP($A47,Tiphaine!$A:$I,9,0))),"multistakeholders",VLOOKUP($A47,Tiphaine!$A:$I,9,0))</f>
        <v>international organisation</v>
      </c>
      <c r="G47" s="14" t="b">
        <f t="shared" si="4"/>
        <v>0</v>
      </c>
      <c r="H47" s="126">
        <f t="shared" ref="H47:I47" si="93">COUNTIF($B47:$F47,"*"&amp;H$3&amp;"*")</f>
        <v>0</v>
      </c>
      <c r="I47" s="126">
        <f t="shared" si="93"/>
        <v>0</v>
      </c>
      <c r="J47" s="126">
        <f t="shared" si="6"/>
        <v>5</v>
      </c>
      <c r="K47" s="126">
        <f t="shared" ref="K47:M47" si="94">COUNTIF($B47:$F47,"*"&amp;K$3&amp;"*")</f>
        <v>0</v>
      </c>
      <c r="L47" s="126">
        <f t="shared" si="94"/>
        <v>0</v>
      </c>
      <c r="M47" s="126">
        <f t="shared" si="94"/>
        <v>0</v>
      </c>
      <c r="N47" s="14">
        <f t="shared" si="8"/>
        <v>1.666666667</v>
      </c>
      <c r="X47" s="14" t="str">
        <f t="shared" si="1"/>
        <v>international organisation &gt; igo</v>
      </c>
      <c r="Y47" s="14" t="str">
        <f t="shared" si="9"/>
        <v>international organisation</v>
      </c>
    </row>
    <row r="48">
      <c r="A48" s="132"/>
      <c r="X48" s="14" t="str">
        <f t="shared" si="1"/>
        <v/>
      </c>
    </row>
    <row r="49">
      <c r="A49" s="132"/>
      <c r="G49" s="133" t="s">
        <v>2467</v>
      </c>
      <c r="H49" s="134">
        <f t="shared" ref="H49:M49" si="95">SUM(H4:H47) / ($B$1*$B$2)</f>
        <v>0.1704545455</v>
      </c>
      <c r="I49" s="134">
        <f t="shared" si="95"/>
        <v>0.2329545455</v>
      </c>
      <c r="J49" s="134">
        <f t="shared" si="95"/>
        <v>0.2840909091</v>
      </c>
      <c r="K49" s="134">
        <f t="shared" si="95"/>
        <v>0.1704545455</v>
      </c>
      <c r="L49" s="134">
        <f t="shared" si="95"/>
        <v>0.06818181818</v>
      </c>
      <c r="M49" s="134">
        <f t="shared" si="95"/>
        <v>0.2215909091</v>
      </c>
      <c r="X49" s="14" t="str">
        <f t="shared" si="1"/>
        <v/>
      </c>
    </row>
    <row r="50">
      <c r="A50" s="132"/>
      <c r="G50" s="118" t="s">
        <v>2468</v>
      </c>
      <c r="H50" s="14" t="b">
        <f>sum(H49:M49)=1</f>
        <v>0</v>
      </c>
      <c r="X50" s="14" t="str">
        <f t="shared" si="1"/>
        <v/>
      </c>
    </row>
    <row r="51">
      <c r="A51" s="132"/>
      <c r="X51" s="14" t="str">
        <f t="shared" si="1"/>
        <v/>
      </c>
    </row>
    <row r="52">
      <c r="A52" s="132"/>
      <c r="X52" s="14" t="str">
        <f t="shared" si="1"/>
        <v/>
      </c>
    </row>
    <row r="53">
      <c r="A53" s="132"/>
      <c r="X53" s="14" t="str">
        <f t="shared" si="1"/>
        <v/>
      </c>
    </row>
    <row r="54">
      <c r="A54" s="132"/>
      <c r="X54" s="14" t="str">
        <f t="shared" si="1"/>
        <v/>
      </c>
    </row>
    <row r="55">
      <c r="A55" s="132"/>
      <c r="X55" s="14" t="str">
        <f t="shared" si="1"/>
        <v/>
      </c>
    </row>
    <row r="56">
      <c r="A56" s="132"/>
      <c r="X56" s="14" t="str">
        <f t="shared" si="1"/>
        <v/>
      </c>
    </row>
    <row r="57">
      <c r="A57" s="132"/>
      <c r="X57" s="14" t="str">
        <f t="shared" si="1"/>
        <v/>
      </c>
    </row>
    <row r="58">
      <c r="A58" s="132"/>
      <c r="X58" s="14" t="str">
        <f t="shared" si="1"/>
        <v/>
      </c>
    </row>
    <row r="59">
      <c r="A59" s="132"/>
      <c r="X59" s="14" t="str">
        <f t="shared" si="1"/>
        <v/>
      </c>
    </row>
    <row r="60">
      <c r="A60" s="132"/>
      <c r="X60" s="14" t="str">
        <f t="shared" si="1"/>
        <v/>
      </c>
    </row>
    <row r="61">
      <c r="A61" s="132"/>
      <c r="X61" s="14" t="str">
        <f t="shared" si="1"/>
        <v/>
      </c>
    </row>
    <row r="62">
      <c r="A62" s="132"/>
      <c r="X62" s="14" t="str">
        <f t="shared" si="1"/>
        <v/>
      </c>
    </row>
    <row r="63">
      <c r="A63" s="132"/>
      <c r="X63" s="14" t="str">
        <f t="shared" si="1"/>
        <v/>
      </c>
    </row>
    <row r="64">
      <c r="A64" s="132"/>
      <c r="X64" s="14" t="str">
        <f t="shared" si="1"/>
        <v/>
      </c>
    </row>
    <row r="65">
      <c r="A65" s="132"/>
      <c r="X65" s="14" t="str">
        <f t="shared" si="1"/>
        <v/>
      </c>
    </row>
    <row r="66">
      <c r="A66" s="132"/>
      <c r="X66" s="14" t="str">
        <f t="shared" si="1"/>
        <v/>
      </c>
    </row>
    <row r="67">
      <c r="A67" s="132"/>
      <c r="X67" s="14" t="str">
        <f t="shared" si="1"/>
        <v/>
      </c>
    </row>
    <row r="68">
      <c r="A68" s="132"/>
      <c r="X68" s="14" t="str">
        <f t="shared" si="1"/>
        <v/>
      </c>
    </row>
    <row r="69">
      <c r="A69" s="132"/>
      <c r="X69" s="14" t="str">
        <f t="shared" si="1"/>
        <v/>
      </c>
    </row>
    <row r="70">
      <c r="A70" s="132"/>
      <c r="X70" s="14" t="str">
        <f t="shared" si="1"/>
        <v/>
      </c>
    </row>
    <row r="71">
      <c r="A71" s="132"/>
      <c r="X71" s="14" t="str">
        <f t="shared" si="1"/>
        <v/>
      </c>
    </row>
    <row r="72">
      <c r="A72" s="132"/>
      <c r="X72" s="14" t="str">
        <f t="shared" si="1"/>
        <v/>
      </c>
    </row>
    <row r="73">
      <c r="A73" s="132"/>
      <c r="X73" s="14" t="str">
        <f t="shared" si="1"/>
        <v/>
      </c>
    </row>
    <row r="74">
      <c r="A74" s="132"/>
      <c r="X74" s="14" t="str">
        <f t="shared" si="1"/>
        <v/>
      </c>
    </row>
    <row r="75">
      <c r="A75" s="132"/>
      <c r="X75" s="14" t="str">
        <f t="shared" si="1"/>
        <v/>
      </c>
    </row>
    <row r="76">
      <c r="A76" s="132"/>
      <c r="X76" s="14" t="str">
        <f t="shared" si="1"/>
        <v/>
      </c>
    </row>
    <row r="77">
      <c r="A77" s="132"/>
      <c r="X77" s="14" t="str">
        <f t="shared" si="1"/>
        <v/>
      </c>
    </row>
    <row r="78">
      <c r="A78" s="132"/>
      <c r="X78" s="14" t="str">
        <f t="shared" si="1"/>
        <v/>
      </c>
    </row>
    <row r="79">
      <c r="A79" s="132"/>
      <c r="X79" s="14" t="str">
        <f t="shared" si="1"/>
        <v/>
      </c>
    </row>
    <row r="80">
      <c r="A80" s="132"/>
    </row>
    <row r="81">
      <c r="A81" s="132"/>
    </row>
    <row r="82">
      <c r="A82" s="132"/>
    </row>
    <row r="83">
      <c r="A83" s="132"/>
    </row>
    <row r="84">
      <c r="A84" s="132"/>
    </row>
    <row r="85">
      <c r="A85" s="132"/>
    </row>
    <row r="86">
      <c r="A86" s="132"/>
    </row>
    <row r="87">
      <c r="A87" s="132"/>
    </row>
    <row r="88">
      <c r="A88" s="132"/>
    </row>
    <row r="89">
      <c r="A89" s="132"/>
    </row>
    <row r="90">
      <c r="A90" s="132"/>
    </row>
    <row r="91">
      <c r="A91" s="132"/>
    </row>
    <row r="92">
      <c r="A92" s="132"/>
    </row>
    <row r="93">
      <c r="A93" s="132"/>
    </row>
    <row r="94">
      <c r="A94" s="132"/>
    </row>
    <row r="95">
      <c r="A95" s="132"/>
    </row>
    <row r="96">
      <c r="A96" s="132"/>
    </row>
    <row r="97">
      <c r="A97" s="132"/>
    </row>
    <row r="98">
      <c r="A98" s="132"/>
    </row>
    <row r="99">
      <c r="A99" s="132"/>
    </row>
    <row r="100">
      <c r="A100" s="132"/>
    </row>
    <row r="101">
      <c r="A101" s="132"/>
    </row>
    <row r="102">
      <c r="A102" s="132"/>
    </row>
    <row r="103">
      <c r="A103" s="132"/>
    </row>
    <row r="104">
      <c r="A104" s="132"/>
    </row>
    <row r="105">
      <c r="A105" s="132"/>
    </row>
    <row r="106">
      <c r="A106" s="132"/>
    </row>
    <row r="107">
      <c r="A107" s="132"/>
    </row>
    <row r="108">
      <c r="A108" s="132"/>
    </row>
    <row r="109">
      <c r="A109" s="132"/>
    </row>
    <row r="110">
      <c r="A110" s="132"/>
    </row>
    <row r="111">
      <c r="A111" s="132"/>
    </row>
    <row r="112">
      <c r="A112" s="132"/>
    </row>
    <row r="113">
      <c r="A113" s="132"/>
    </row>
    <row r="114">
      <c r="A114" s="132"/>
    </row>
    <row r="115">
      <c r="A115" s="132"/>
    </row>
    <row r="116">
      <c r="A116" s="132"/>
    </row>
    <row r="117">
      <c r="A117" s="132"/>
    </row>
    <row r="118">
      <c r="A118" s="132"/>
    </row>
    <row r="119">
      <c r="A119" s="132"/>
    </row>
    <row r="120">
      <c r="A120" s="132"/>
    </row>
    <row r="121">
      <c r="A121" s="132"/>
    </row>
    <row r="122">
      <c r="A122" s="132"/>
    </row>
    <row r="123">
      <c r="A123" s="132"/>
    </row>
    <row r="124">
      <c r="A124" s="132"/>
    </row>
    <row r="125">
      <c r="A125" s="132"/>
    </row>
    <row r="126">
      <c r="A126" s="132"/>
    </row>
    <row r="127">
      <c r="A127" s="132"/>
    </row>
    <row r="128">
      <c r="A128" s="132"/>
    </row>
    <row r="129">
      <c r="A129" s="132"/>
    </row>
    <row r="130">
      <c r="A130" s="132"/>
    </row>
    <row r="131">
      <c r="A131" s="132"/>
    </row>
    <row r="132">
      <c r="A132" s="132"/>
    </row>
    <row r="133">
      <c r="A133" s="132"/>
    </row>
    <row r="134">
      <c r="A134" s="132"/>
    </row>
    <row r="135">
      <c r="A135" s="132"/>
    </row>
    <row r="136">
      <c r="A136" s="132"/>
    </row>
    <row r="137">
      <c r="A137" s="132"/>
    </row>
    <row r="138">
      <c r="A138" s="132"/>
    </row>
    <row r="139">
      <c r="A139" s="132"/>
    </row>
    <row r="140">
      <c r="A140" s="132"/>
    </row>
    <row r="141">
      <c r="A141" s="132"/>
    </row>
    <row r="142">
      <c r="A142" s="132"/>
    </row>
    <row r="143">
      <c r="A143" s="132"/>
    </row>
    <row r="144">
      <c r="A144" s="132"/>
    </row>
    <row r="145">
      <c r="A145" s="132"/>
    </row>
    <row r="146">
      <c r="A146" s="132"/>
    </row>
    <row r="147">
      <c r="A147" s="132"/>
    </row>
    <row r="148">
      <c r="A148" s="132"/>
    </row>
    <row r="149">
      <c r="A149" s="132"/>
    </row>
    <row r="150">
      <c r="A150" s="132"/>
    </row>
    <row r="151">
      <c r="A151" s="132"/>
    </row>
    <row r="152">
      <c r="A152" s="132"/>
    </row>
    <row r="153">
      <c r="A153" s="132"/>
    </row>
    <row r="154">
      <c r="A154" s="132"/>
    </row>
    <row r="155">
      <c r="A155" s="132"/>
    </row>
    <row r="156">
      <c r="A156" s="132"/>
    </row>
    <row r="157">
      <c r="A157" s="132"/>
    </row>
    <row r="158">
      <c r="A158" s="132"/>
    </row>
    <row r="159">
      <c r="A159" s="132"/>
    </row>
    <row r="160">
      <c r="A160" s="132"/>
    </row>
    <row r="161">
      <c r="A161" s="132"/>
    </row>
    <row r="162">
      <c r="A162" s="132"/>
    </row>
    <row r="163">
      <c r="A163" s="132"/>
    </row>
    <row r="164">
      <c r="A164" s="132"/>
    </row>
    <row r="165">
      <c r="A165" s="132"/>
    </row>
    <row r="166">
      <c r="A166" s="132"/>
    </row>
    <row r="167">
      <c r="A167" s="132"/>
    </row>
    <row r="168">
      <c r="A168" s="132"/>
    </row>
    <row r="169">
      <c r="A169" s="132"/>
    </row>
    <row r="170">
      <c r="A170" s="132"/>
    </row>
    <row r="171">
      <c r="A171" s="132"/>
    </row>
    <row r="172">
      <c r="A172" s="132"/>
    </row>
    <row r="173">
      <c r="A173" s="132"/>
    </row>
    <row r="174">
      <c r="A174" s="132"/>
    </row>
    <row r="175">
      <c r="A175" s="132"/>
    </row>
    <row r="176">
      <c r="A176" s="132"/>
    </row>
    <row r="177">
      <c r="A177" s="132"/>
    </row>
    <row r="178">
      <c r="A178" s="132"/>
    </row>
    <row r="179">
      <c r="A179" s="132"/>
    </row>
    <row r="180">
      <c r="A180" s="132"/>
    </row>
    <row r="181">
      <c r="A181" s="132"/>
    </row>
    <row r="182">
      <c r="A182" s="132"/>
    </row>
    <row r="183">
      <c r="A183" s="132"/>
    </row>
    <row r="184">
      <c r="A184" s="132"/>
    </row>
    <row r="185">
      <c r="A185" s="132"/>
    </row>
    <row r="186">
      <c r="A186" s="132"/>
    </row>
    <row r="187">
      <c r="A187" s="132"/>
    </row>
    <row r="188">
      <c r="A188" s="132"/>
    </row>
    <row r="189">
      <c r="A189" s="132"/>
    </row>
    <row r="190">
      <c r="A190" s="132"/>
    </row>
    <row r="191">
      <c r="A191" s="132"/>
    </row>
    <row r="192">
      <c r="A192" s="132"/>
    </row>
    <row r="193">
      <c r="A193" s="132"/>
    </row>
    <row r="194">
      <c r="A194" s="132"/>
    </row>
    <row r="195">
      <c r="A195" s="132"/>
    </row>
    <row r="196">
      <c r="A196" s="132"/>
    </row>
    <row r="197">
      <c r="A197" s="132"/>
    </row>
    <row r="198">
      <c r="A198" s="132"/>
    </row>
    <row r="199">
      <c r="A199" s="132"/>
    </row>
    <row r="200">
      <c r="A200" s="132"/>
    </row>
    <row r="201">
      <c r="A201" s="132"/>
    </row>
    <row r="202">
      <c r="A202" s="132"/>
    </row>
    <row r="203">
      <c r="A203" s="132"/>
    </row>
    <row r="204">
      <c r="A204" s="132"/>
    </row>
    <row r="205">
      <c r="A205" s="132"/>
    </row>
    <row r="206">
      <c r="A206" s="132"/>
    </row>
    <row r="207">
      <c r="A207" s="132"/>
    </row>
    <row r="208">
      <c r="A208" s="132"/>
    </row>
    <row r="209">
      <c r="A209" s="132"/>
    </row>
    <row r="210">
      <c r="A210" s="132"/>
    </row>
    <row r="211">
      <c r="A211" s="132"/>
    </row>
    <row r="212">
      <c r="A212" s="132"/>
    </row>
    <row r="213">
      <c r="A213" s="132"/>
    </row>
    <row r="214">
      <c r="A214" s="132"/>
    </row>
    <row r="215">
      <c r="A215" s="132"/>
    </row>
    <row r="216">
      <c r="A216" s="132"/>
    </row>
    <row r="217">
      <c r="A217" s="132"/>
    </row>
    <row r="218">
      <c r="A218" s="132"/>
    </row>
    <row r="219">
      <c r="A219" s="132"/>
    </row>
    <row r="220">
      <c r="A220" s="132"/>
    </row>
    <row r="221">
      <c r="A221" s="132"/>
    </row>
    <row r="222">
      <c r="A222" s="132"/>
    </row>
    <row r="223">
      <c r="A223" s="132"/>
    </row>
    <row r="224">
      <c r="A224" s="132"/>
    </row>
    <row r="225">
      <c r="A225" s="132"/>
    </row>
    <row r="226">
      <c r="A226" s="132"/>
    </row>
    <row r="227">
      <c r="A227" s="132"/>
    </row>
    <row r="228">
      <c r="A228" s="132"/>
    </row>
    <row r="229">
      <c r="A229" s="132"/>
    </row>
    <row r="230">
      <c r="A230" s="132"/>
    </row>
    <row r="231">
      <c r="A231" s="132"/>
    </row>
    <row r="232">
      <c r="A232" s="132"/>
    </row>
    <row r="233">
      <c r="A233" s="132"/>
    </row>
    <row r="234">
      <c r="A234" s="132"/>
    </row>
    <row r="235">
      <c r="A235" s="132"/>
    </row>
    <row r="236">
      <c r="A236" s="132"/>
    </row>
    <row r="237">
      <c r="A237" s="132"/>
    </row>
    <row r="238">
      <c r="A238" s="132"/>
    </row>
    <row r="239">
      <c r="A239" s="132"/>
    </row>
    <row r="240">
      <c r="A240" s="132"/>
    </row>
    <row r="241">
      <c r="A241" s="132"/>
    </row>
    <row r="242">
      <c r="A242" s="132"/>
    </row>
    <row r="243">
      <c r="A243" s="132"/>
    </row>
    <row r="244">
      <c r="A244" s="132"/>
    </row>
    <row r="245">
      <c r="A245" s="132"/>
    </row>
    <row r="246">
      <c r="A246" s="132"/>
    </row>
    <row r="247">
      <c r="A247" s="132"/>
    </row>
    <row r="248">
      <c r="A248" s="132"/>
    </row>
    <row r="249">
      <c r="A249" s="132"/>
    </row>
    <row r="250">
      <c r="A250" s="132"/>
    </row>
    <row r="251">
      <c r="A251" s="132"/>
    </row>
    <row r="252">
      <c r="A252" s="132"/>
    </row>
    <row r="253">
      <c r="A253" s="132"/>
    </row>
    <row r="254">
      <c r="A254" s="132"/>
    </row>
    <row r="255">
      <c r="A255" s="132"/>
    </row>
    <row r="256">
      <c r="A256" s="132"/>
    </row>
    <row r="257">
      <c r="A257" s="132"/>
    </row>
    <row r="258">
      <c r="A258" s="132"/>
    </row>
    <row r="259">
      <c r="A259" s="132"/>
    </row>
    <row r="260">
      <c r="A260" s="132"/>
    </row>
    <row r="261">
      <c r="A261" s="132"/>
    </row>
    <row r="262">
      <c r="A262" s="132"/>
    </row>
    <row r="263">
      <c r="A263" s="132"/>
    </row>
    <row r="264">
      <c r="A264" s="132"/>
    </row>
    <row r="265">
      <c r="A265" s="132"/>
    </row>
    <row r="266">
      <c r="A266" s="132"/>
    </row>
    <row r="267">
      <c r="A267" s="132"/>
    </row>
    <row r="268">
      <c r="A268" s="132"/>
    </row>
    <row r="269">
      <c r="A269" s="132"/>
    </row>
    <row r="270">
      <c r="A270" s="132"/>
    </row>
    <row r="271">
      <c r="A271" s="132"/>
    </row>
    <row r="272">
      <c r="A272" s="132"/>
    </row>
    <row r="273">
      <c r="A273" s="132"/>
    </row>
    <row r="274">
      <c r="A274" s="132"/>
    </row>
    <row r="275">
      <c r="A275" s="132"/>
    </row>
    <row r="276">
      <c r="A276" s="132"/>
    </row>
    <row r="277">
      <c r="A277" s="132"/>
    </row>
    <row r="278">
      <c r="A278" s="132"/>
    </row>
    <row r="279">
      <c r="A279" s="132"/>
    </row>
    <row r="280">
      <c r="A280" s="132"/>
    </row>
    <row r="281">
      <c r="A281" s="132"/>
    </row>
    <row r="282">
      <c r="A282" s="132"/>
    </row>
    <row r="283">
      <c r="A283" s="132"/>
    </row>
    <row r="284">
      <c r="A284" s="132"/>
    </row>
    <row r="285">
      <c r="A285" s="132"/>
    </row>
    <row r="286">
      <c r="A286" s="132"/>
    </row>
    <row r="287">
      <c r="A287" s="132"/>
    </row>
    <row r="288">
      <c r="A288" s="132"/>
    </row>
    <row r="289">
      <c r="A289" s="132"/>
    </row>
    <row r="290">
      <c r="A290" s="132"/>
    </row>
    <row r="291">
      <c r="A291" s="132"/>
    </row>
    <row r="292">
      <c r="A292" s="132"/>
    </row>
    <row r="293">
      <c r="A293" s="132"/>
    </row>
    <row r="294">
      <c r="A294" s="132"/>
    </row>
    <row r="295">
      <c r="A295" s="132"/>
    </row>
    <row r="296">
      <c r="A296" s="132"/>
    </row>
    <row r="297">
      <c r="A297" s="132"/>
    </row>
    <row r="298">
      <c r="A298" s="132"/>
    </row>
    <row r="299">
      <c r="A299" s="132"/>
    </row>
    <row r="300">
      <c r="A300" s="132"/>
    </row>
    <row r="301">
      <c r="A301" s="132"/>
    </row>
    <row r="302">
      <c r="A302" s="132"/>
    </row>
    <row r="303">
      <c r="A303" s="132"/>
    </row>
    <row r="304">
      <c r="A304" s="132"/>
    </row>
    <row r="305">
      <c r="A305" s="132"/>
    </row>
    <row r="306">
      <c r="A306" s="132"/>
    </row>
    <row r="307">
      <c r="A307" s="132"/>
    </row>
    <row r="308">
      <c r="A308" s="132"/>
    </row>
    <row r="309">
      <c r="A309" s="132"/>
    </row>
    <row r="310">
      <c r="A310" s="132"/>
    </row>
    <row r="311">
      <c r="A311" s="132"/>
    </row>
    <row r="312">
      <c r="A312" s="132"/>
    </row>
    <row r="313">
      <c r="A313" s="132"/>
    </row>
    <row r="314">
      <c r="A314" s="132"/>
    </row>
    <row r="315">
      <c r="A315" s="132"/>
    </row>
    <row r="316">
      <c r="A316" s="132"/>
    </row>
    <row r="317">
      <c r="A317" s="132"/>
    </row>
    <row r="318">
      <c r="A318" s="132"/>
    </row>
    <row r="319">
      <c r="A319" s="132"/>
    </row>
    <row r="320">
      <c r="A320" s="132"/>
    </row>
    <row r="321">
      <c r="A321" s="132"/>
    </row>
    <row r="322">
      <c r="A322" s="132"/>
    </row>
    <row r="323">
      <c r="A323" s="132"/>
    </row>
    <row r="324">
      <c r="A324" s="132"/>
    </row>
    <row r="325">
      <c r="A325" s="132"/>
    </row>
    <row r="326">
      <c r="A326" s="132"/>
    </row>
    <row r="327">
      <c r="A327" s="132"/>
    </row>
    <row r="328">
      <c r="A328" s="132"/>
    </row>
    <row r="329">
      <c r="A329" s="132"/>
    </row>
    <row r="330">
      <c r="A330" s="132"/>
    </row>
    <row r="331">
      <c r="A331" s="132"/>
    </row>
    <row r="332">
      <c r="A332" s="132"/>
    </row>
    <row r="333">
      <c r="A333" s="132"/>
    </row>
    <row r="334">
      <c r="A334" s="132"/>
    </row>
    <row r="335">
      <c r="A335" s="132"/>
    </row>
    <row r="336">
      <c r="A336" s="132"/>
    </row>
    <row r="337">
      <c r="A337" s="132"/>
    </row>
    <row r="338">
      <c r="A338" s="132"/>
    </row>
    <row r="339">
      <c r="A339" s="132"/>
    </row>
    <row r="340">
      <c r="A340" s="132"/>
    </row>
    <row r="341">
      <c r="A341" s="132"/>
    </row>
    <row r="342">
      <c r="A342" s="132"/>
    </row>
    <row r="343">
      <c r="A343" s="132"/>
    </row>
    <row r="344">
      <c r="A344" s="132"/>
    </row>
    <row r="345">
      <c r="A345" s="132"/>
    </row>
    <row r="346">
      <c r="A346" s="132"/>
    </row>
    <row r="347">
      <c r="A347" s="132"/>
    </row>
    <row r="348">
      <c r="A348" s="132"/>
    </row>
    <row r="349">
      <c r="A349" s="132"/>
    </row>
    <row r="350">
      <c r="A350" s="132"/>
    </row>
    <row r="351">
      <c r="A351" s="132"/>
    </row>
    <row r="352">
      <c r="A352" s="132"/>
    </row>
    <row r="353">
      <c r="A353" s="132"/>
    </row>
    <row r="354">
      <c r="A354" s="132"/>
    </row>
    <row r="355">
      <c r="A355" s="132"/>
    </row>
    <row r="356">
      <c r="A356" s="132"/>
    </row>
    <row r="357">
      <c r="A357" s="132"/>
    </row>
    <row r="358">
      <c r="A358" s="132"/>
    </row>
    <row r="359">
      <c r="A359" s="132"/>
    </row>
    <row r="360">
      <c r="A360" s="132"/>
    </row>
    <row r="361">
      <c r="A361" s="132"/>
    </row>
    <row r="362">
      <c r="A362" s="132"/>
    </row>
    <row r="363">
      <c r="A363" s="132"/>
    </row>
    <row r="364">
      <c r="A364" s="132"/>
    </row>
    <row r="365">
      <c r="A365" s="132"/>
    </row>
    <row r="366">
      <c r="A366" s="132"/>
    </row>
    <row r="367">
      <c r="A367" s="132"/>
    </row>
    <row r="368">
      <c r="A368" s="132"/>
    </row>
    <row r="369">
      <c r="A369" s="132"/>
    </row>
    <row r="370">
      <c r="A370" s="132"/>
    </row>
    <row r="371">
      <c r="A371" s="132"/>
    </row>
    <row r="372">
      <c r="A372" s="132"/>
    </row>
    <row r="373">
      <c r="A373" s="132"/>
    </row>
    <row r="374">
      <c r="A374" s="132"/>
    </row>
    <row r="375">
      <c r="A375" s="132"/>
    </row>
    <row r="376">
      <c r="A376" s="132"/>
    </row>
    <row r="377">
      <c r="A377" s="132"/>
    </row>
    <row r="378">
      <c r="A378" s="132"/>
    </row>
    <row r="379">
      <c r="A379" s="132"/>
    </row>
    <row r="380">
      <c r="A380" s="132"/>
    </row>
    <row r="381">
      <c r="A381" s="132"/>
    </row>
    <row r="382">
      <c r="A382" s="132"/>
    </row>
    <row r="383">
      <c r="A383" s="132"/>
    </row>
    <row r="384">
      <c r="A384" s="132"/>
    </row>
    <row r="385">
      <c r="A385" s="132"/>
    </row>
    <row r="386">
      <c r="A386" s="132"/>
    </row>
    <row r="387">
      <c r="A387" s="132"/>
    </row>
    <row r="388">
      <c r="A388" s="132"/>
    </row>
    <row r="389">
      <c r="A389" s="132"/>
    </row>
    <row r="390">
      <c r="A390" s="132"/>
    </row>
    <row r="391">
      <c r="A391" s="132"/>
    </row>
    <row r="392">
      <c r="A392" s="132"/>
    </row>
    <row r="393">
      <c r="A393" s="132"/>
    </row>
    <row r="394">
      <c r="A394" s="132"/>
    </row>
    <row r="395">
      <c r="A395" s="132"/>
    </row>
    <row r="396">
      <c r="A396" s="132"/>
    </row>
    <row r="397">
      <c r="A397" s="132"/>
    </row>
    <row r="398">
      <c r="A398" s="132"/>
    </row>
    <row r="399">
      <c r="A399" s="132"/>
    </row>
    <row r="400">
      <c r="A400" s="132"/>
    </row>
    <row r="401">
      <c r="A401" s="132"/>
    </row>
    <row r="402">
      <c r="A402" s="132"/>
    </row>
    <row r="403">
      <c r="A403" s="132"/>
    </row>
    <row r="404">
      <c r="A404" s="132"/>
    </row>
    <row r="405">
      <c r="A405" s="132"/>
    </row>
    <row r="406">
      <c r="A406" s="132"/>
    </row>
    <row r="407">
      <c r="A407" s="132"/>
    </row>
    <row r="408">
      <c r="A408" s="132"/>
    </row>
    <row r="409">
      <c r="A409" s="132"/>
    </row>
    <row r="410">
      <c r="A410" s="132"/>
    </row>
    <row r="411">
      <c r="A411" s="132"/>
    </row>
    <row r="412">
      <c r="A412" s="132"/>
    </row>
    <row r="413">
      <c r="A413" s="132"/>
    </row>
    <row r="414">
      <c r="A414" s="132"/>
    </row>
    <row r="415">
      <c r="A415" s="132"/>
    </row>
    <row r="416">
      <c r="A416" s="132"/>
    </row>
    <row r="417">
      <c r="A417" s="132"/>
    </row>
    <row r="418">
      <c r="A418" s="132"/>
    </row>
    <row r="419">
      <c r="A419" s="132"/>
    </row>
    <row r="420">
      <c r="A420" s="132"/>
    </row>
    <row r="421">
      <c r="A421" s="132"/>
    </row>
    <row r="422">
      <c r="A422" s="132"/>
    </row>
    <row r="423">
      <c r="A423" s="132"/>
    </row>
    <row r="424">
      <c r="A424" s="132"/>
    </row>
    <row r="425">
      <c r="A425" s="132"/>
    </row>
    <row r="426">
      <c r="A426" s="132"/>
    </row>
    <row r="427">
      <c r="A427" s="132"/>
    </row>
    <row r="428">
      <c r="A428" s="132"/>
    </row>
    <row r="429">
      <c r="A429" s="132"/>
    </row>
    <row r="430">
      <c r="A430" s="132"/>
    </row>
    <row r="431">
      <c r="A431" s="132"/>
    </row>
    <row r="432">
      <c r="A432" s="132"/>
    </row>
    <row r="433">
      <c r="A433" s="132"/>
    </row>
    <row r="434">
      <c r="A434" s="132"/>
    </row>
    <row r="435">
      <c r="A435" s="132"/>
    </row>
    <row r="436">
      <c r="A436" s="132"/>
    </row>
    <row r="437">
      <c r="A437" s="132"/>
    </row>
    <row r="438">
      <c r="A438" s="132"/>
    </row>
    <row r="439">
      <c r="A439" s="132"/>
    </row>
    <row r="440">
      <c r="A440" s="132"/>
    </row>
    <row r="441">
      <c r="A441" s="132"/>
    </row>
    <row r="442">
      <c r="A442" s="132"/>
    </row>
    <row r="443">
      <c r="A443" s="132"/>
    </row>
    <row r="444">
      <c r="A444" s="132"/>
    </row>
    <row r="445">
      <c r="A445" s="132"/>
    </row>
    <row r="446">
      <c r="A446" s="132"/>
    </row>
    <row r="447">
      <c r="A447" s="132"/>
    </row>
    <row r="448">
      <c r="A448" s="132"/>
    </row>
    <row r="449">
      <c r="A449" s="132"/>
    </row>
    <row r="450">
      <c r="A450" s="132"/>
    </row>
    <row r="451">
      <c r="A451" s="132"/>
    </row>
    <row r="452">
      <c r="A452" s="132"/>
    </row>
    <row r="453">
      <c r="A453" s="132"/>
    </row>
    <row r="454">
      <c r="A454" s="132"/>
    </row>
    <row r="455">
      <c r="A455" s="132"/>
    </row>
    <row r="456">
      <c r="A456" s="132"/>
    </row>
    <row r="457">
      <c r="A457" s="132"/>
    </row>
    <row r="458">
      <c r="A458" s="132"/>
    </row>
    <row r="459">
      <c r="A459" s="132"/>
    </row>
    <row r="460">
      <c r="A460" s="132"/>
    </row>
    <row r="461">
      <c r="A461" s="132"/>
    </row>
    <row r="462">
      <c r="A462" s="132"/>
    </row>
    <row r="463">
      <c r="A463" s="132"/>
    </row>
    <row r="464">
      <c r="A464" s="132"/>
    </row>
    <row r="465">
      <c r="A465" s="132"/>
    </row>
    <row r="466">
      <c r="A466" s="132"/>
    </row>
    <row r="467">
      <c r="A467" s="132"/>
    </row>
    <row r="468">
      <c r="A468" s="132"/>
    </row>
    <row r="469">
      <c r="A469" s="132"/>
    </row>
    <row r="470">
      <c r="A470" s="132"/>
    </row>
    <row r="471">
      <c r="A471" s="132"/>
    </row>
    <row r="472">
      <c r="A472" s="132"/>
    </row>
    <row r="473">
      <c r="A473" s="132"/>
    </row>
    <row r="474">
      <c r="A474" s="132"/>
    </row>
    <row r="475">
      <c r="A475" s="132"/>
    </row>
    <row r="476">
      <c r="A476" s="132"/>
    </row>
    <row r="477">
      <c r="A477" s="132"/>
    </row>
    <row r="478">
      <c r="A478" s="132"/>
    </row>
    <row r="479">
      <c r="A479" s="132"/>
    </row>
    <row r="480">
      <c r="A480" s="132"/>
    </row>
    <row r="481">
      <c r="A481" s="132"/>
    </row>
    <row r="482">
      <c r="A482" s="132"/>
    </row>
    <row r="483">
      <c r="A483" s="132"/>
    </row>
    <row r="484">
      <c r="A484" s="132"/>
    </row>
    <row r="485">
      <c r="A485" s="132"/>
    </row>
    <row r="486">
      <c r="A486" s="132"/>
    </row>
    <row r="487">
      <c r="A487" s="132"/>
    </row>
    <row r="488">
      <c r="A488" s="132"/>
    </row>
    <row r="489">
      <c r="A489" s="132"/>
    </row>
    <row r="490">
      <c r="A490" s="132"/>
    </row>
    <row r="491">
      <c r="A491" s="132"/>
    </row>
    <row r="492">
      <c r="A492" s="132"/>
    </row>
    <row r="493">
      <c r="A493" s="132"/>
    </row>
    <row r="494">
      <c r="A494" s="132"/>
    </row>
    <row r="495">
      <c r="A495" s="132"/>
    </row>
    <row r="496">
      <c r="A496" s="132"/>
    </row>
    <row r="497">
      <c r="A497" s="132"/>
    </row>
    <row r="498">
      <c r="A498" s="132"/>
    </row>
    <row r="499">
      <c r="A499" s="132"/>
    </row>
    <row r="500">
      <c r="A500" s="132"/>
    </row>
    <row r="501">
      <c r="A501" s="132"/>
    </row>
    <row r="502">
      <c r="A502" s="132"/>
    </row>
    <row r="503">
      <c r="A503" s="132"/>
    </row>
    <row r="504">
      <c r="A504" s="132"/>
    </row>
    <row r="505">
      <c r="A505" s="132"/>
    </row>
    <row r="506">
      <c r="A506" s="132"/>
    </row>
    <row r="507">
      <c r="A507" s="132"/>
    </row>
    <row r="508">
      <c r="A508" s="132"/>
    </row>
    <row r="509">
      <c r="A509" s="132"/>
    </row>
    <row r="510">
      <c r="A510" s="132"/>
    </row>
    <row r="511">
      <c r="A511" s="132"/>
    </row>
    <row r="512">
      <c r="A512" s="132"/>
    </row>
    <row r="513">
      <c r="A513" s="132"/>
    </row>
    <row r="514">
      <c r="A514" s="132"/>
    </row>
    <row r="515">
      <c r="A515" s="132"/>
    </row>
    <row r="516">
      <c r="A516" s="132"/>
    </row>
    <row r="517">
      <c r="A517" s="132"/>
    </row>
    <row r="518">
      <c r="A518" s="132"/>
    </row>
    <row r="519">
      <c r="A519" s="132"/>
    </row>
    <row r="520">
      <c r="A520" s="132"/>
    </row>
    <row r="521">
      <c r="A521" s="132"/>
    </row>
    <row r="522">
      <c r="A522" s="132"/>
    </row>
    <row r="523">
      <c r="A523" s="132"/>
    </row>
    <row r="524">
      <c r="A524" s="132"/>
    </row>
    <row r="525">
      <c r="A525" s="132"/>
    </row>
    <row r="526">
      <c r="A526" s="132"/>
    </row>
    <row r="527">
      <c r="A527" s="132"/>
    </row>
    <row r="528">
      <c r="A528" s="132"/>
    </row>
    <row r="529">
      <c r="A529" s="132"/>
    </row>
    <row r="530">
      <c r="A530" s="132"/>
    </row>
    <row r="531">
      <c r="A531" s="132"/>
    </row>
    <row r="532">
      <c r="A532" s="132"/>
    </row>
    <row r="533">
      <c r="A533" s="132"/>
    </row>
    <row r="534">
      <c r="A534" s="132"/>
    </row>
    <row r="535">
      <c r="A535" s="132"/>
    </row>
    <row r="536">
      <c r="A536" s="132"/>
    </row>
    <row r="537">
      <c r="A537" s="132"/>
    </row>
    <row r="538">
      <c r="A538" s="132"/>
    </row>
    <row r="539">
      <c r="A539" s="132"/>
    </row>
    <row r="540">
      <c r="A540" s="132"/>
    </row>
    <row r="541">
      <c r="A541" s="132"/>
    </row>
    <row r="542">
      <c r="A542" s="132"/>
    </row>
    <row r="543">
      <c r="A543" s="132"/>
    </row>
    <row r="544">
      <c r="A544" s="132"/>
    </row>
    <row r="545">
      <c r="A545" s="132"/>
    </row>
    <row r="546">
      <c r="A546" s="132"/>
    </row>
    <row r="547">
      <c r="A547" s="132"/>
    </row>
    <row r="548">
      <c r="A548" s="132"/>
    </row>
    <row r="549">
      <c r="A549" s="132"/>
    </row>
    <row r="550">
      <c r="A550" s="132"/>
    </row>
    <row r="551">
      <c r="A551" s="132"/>
    </row>
    <row r="552">
      <c r="A552" s="132"/>
    </row>
    <row r="553">
      <c r="A553" s="132"/>
    </row>
    <row r="554">
      <c r="A554" s="132"/>
    </row>
    <row r="555">
      <c r="A555" s="132"/>
    </row>
    <row r="556">
      <c r="A556" s="132"/>
    </row>
    <row r="557">
      <c r="A557" s="132"/>
    </row>
    <row r="558">
      <c r="A558" s="132"/>
    </row>
    <row r="559">
      <c r="A559" s="132"/>
    </row>
    <row r="560">
      <c r="A560" s="132"/>
    </row>
    <row r="561">
      <c r="A561" s="132"/>
    </row>
    <row r="562">
      <c r="A562" s="132"/>
    </row>
    <row r="563">
      <c r="A563" s="132"/>
    </row>
    <row r="564">
      <c r="A564" s="132"/>
    </row>
    <row r="565">
      <c r="A565" s="132"/>
    </row>
    <row r="566">
      <c r="A566" s="132"/>
    </row>
    <row r="567">
      <c r="A567" s="132"/>
    </row>
    <row r="568">
      <c r="A568" s="132"/>
    </row>
    <row r="569">
      <c r="A569" s="132"/>
    </row>
    <row r="570">
      <c r="A570" s="132"/>
    </row>
    <row r="571">
      <c r="A571" s="132"/>
    </row>
    <row r="572">
      <c r="A572" s="132"/>
    </row>
    <row r="573">
      <c r="A573" s="132"/>
    </row>
    <row r="574">
      <c r="A574" s="132"/>
    </row>
    <row r="575">
      <c r="A575" s="132"/>
    </row>
    <row r="576">
      <c r="A576" s="132"/>
    </row>
    <row r="577">
      <c r="A577" s="132"/>
    </row>
    <row r="578">
      <c r="A578" s="132"/>
    </row>
    <row r="579">
      <c r="A579" s="132"/>
    </row>
    <row r="580">
      <c r="A580" s="132"/>
    </row>
    <row r="581">
      <c r="A581" s="132"/>
    </row>
    <row r="582">
      <c r="A582" s="132"/>
    </row>
    <row r="583">
      <c r="A583" s="132"/>
    </row>
    <row r="584">
      <c r="A584" s="132"/>
    </row>
    <row r="585">
      <c r="A585" s="132"/>
    </row>
    <row r="586">
      <c r="A586" s="132"/>
    </row>
    <row r="587">
      <c r="A587" s="132"/>
    </row>
    <row r="588">
      <c r="A588" s="132"/>
    </row>
    <row r="589">
      <c r="A589" s="132"/>
    </row>
    <row r="590">
      <c r="A590" s="132"/>
    </row>
    <row r="591">
      <c r="A591" s="132"/>
    </row>
    <row r="592">
      <c r="A592" s="132"/>
    </row>
    <row r="593">
      <c r="A593" s="132"/>
    </row>
    <row r="594">
      <c r="A594" s="132"/>
    </row>
    <row r="595">
      <c r="A595" s="132"/>
    </row>
    <row r="596">
      <c r="A596" s="132"/>
    </row>
    <row r="597">
      <c r="A597" s="132"/>
    </row>
    <row r="598">
      <c r="A598" s="132"/>
    </row>
    <row r="599">
      <c r="A599" s="132"/>
    </row>
    <row r="600">
      <c r="A600" s="132"/>
    </row>
    <row r="601">
      <c r="A601" s="132"/>
    </row>
    <row r="602">
      <c r="A602" s="132"/>
    </row>
    <row r="603">
      <c r="A603" s="132"/>
    </row>
    <row r="604">
      <c r="A604" s="132"/>
    </row>
    <row r="605">
      <c r="A605" s="132"/>
    </row>
    <row r="606">
      <c r="A606" s="132"/>
    </row>
    <row r="607">
      <c r="A607" s="132"/>
    </row>
    <row r="608">
      <c r="A608" s="132"/>
    </row>
    <row r="609">
      <c r="A609" s="132"/>
    </row>
    <row r="610">
      <c r="A610" s="132"/>
    </row>
    <row r="611">
      <c r="A611" s="132"/>
    </row>
    <row r="612">
      <c r="A612" s="132"/>
    </row>
    <row r="613">
      <c r="A613" s="132"/>
    </row>
    <row r="614">
      <c r="A614" s="132"/>
    </row>
    <row r="615">
      <c r="A615" s="132"/>
    </row>
    <row r="616">
      <c r="A616" s="132"/>
    </row>
    <row r="617">
      <c r="A617" s="132"/>
    </row>
    <row r="618">
      <c r="A618" s="132"/>
    </row>
    <row r="619">
      <c r="A619" s="132"/>
    </row>
    <row r="620">
      <c r="A620" s="132"/>
    </row>
    <row r="621">
      <c r="A621" s="132"/>
    </row>
    <row r="622">
      <c r="A622" s="132"/>
    </row>
    <row r="623">
      <c r="A623" s="132"/>
    </row>
    <row r="624">
      <c r="A624" s="132"/>
    </row>
    <row r="625">
      <c r="A625" s="132"/>
    </row>
    <row r="626">
      <c r="A626" s="132"/>
    </row>
    <row r="627">
      <c r="A627" s="132"/>
    </row>
    <row r="628">
      <c r="A628" s="132"/>
    </row>
    <row r="629">
      <c r="A629" s="132"/>
    </row>
    <row r="630">
      <c r="A630" s="132"/>
    </row>
    <row r="631">
      <c r="A631" s="132"/>
    </row>
    <row r="632">
      <c r="A632" s="132"/>
    </row>
    <row r="633">
      <c r="A633" s="132"/>
    </row>
    <row r="634">
      <c r="A634" s="132"/>
    </row>
    <row r="635">
      <c r="A635" s="132"/>
    </row>
    <row r="636">
      <c r="A636" s="132"/>
    </row>
    <row r="637">
      <c r="A637" s="132"/>
    </row>
    <row r="638">
      <c r="A638" s="132"/>
    </row>
    <row r="639">
      <c r="A639" s="132"/>
    </row>
    <row r="640">
      <c r="A640" s="132"/>
    </row>
    <row r="641">
      <c r="A641" s="132"/>
    </row>
    <row r="642">
      <c r="A642" s="132"/>
    </row>
    <row r="643">
      <c r="A643" s="132"/>
    </row>
    <row r="644">
      <c r="A644" s="132"/>
    </row>
    <row r="645">
      <c r="A645" s="132"/>
    </row>
    <row r="646">
      <c r="A646" s="132"/>
    </row>
    <row r="647">
      <c r="A647" s="132"/>
    </row>
    <row r="648">
      <c r="A648" s="132"/>
    </row>
    <row r="649">
      <c r="A649" s="132"/>
    </row>
    <row r="650">
      <c r="A650" s="132"/>
    </row>
    <row r="651">
      <c r="A651" s="132"/>
    </row>
    <row r="652">
      <c r="A652" s="132"/>
    </row>
    <row r="653">
      <c r="A653" s="132"/>
    </row>
    <row r="654">
      <c r="A654" s="132"/>
    </row>
    <row r="655">
      <c r="A655" s="132"/>
    </row>
    <row r="656">
      <c r="A656" s="132"/>
    </row>
    <row r="657">
      <c r="A657" s="132"/>
    </row>
    <row r="658">
      <c r="A658" s="132"/>
    </row>
    <row r="659">
      <c r="A659" s="132"/>
    </row>
    <row r="660">
      <c r="A660" s="132"/>
    </row>
    <row r="661">
      <c r="A661" s="132"/>
    </row>
    <row r="662">
      <c r="A662" s="132"/>
    </row>
    <row r="663">
      <c r="A663" s="132"/>
    </row>
    <row r="664">
      <c r="A664" s="132"/>
    </row>
    <row r="665">
      <c r="A665" s="132"/>
    </row>
    <row r="666">
      <c r="A666" s="132"/>
    </row>
    <row r="667">
      <c r="A667" s="132"/>
    </row>
    <row r="668">
      <c r="A668" s="132"/>
    </row>
    <row r="669">
      <c r="A669" s="132"/>
    </row>
    <row r="670">
      <c r="A670" s="132"/>
    </row>
    <row r="671">
      <c r="A671" s="132"/>
    </row>
    <row r="672">
      <c r="A672" s="132"/>
    </row>
    <row r="673">
      <c r="A673" s="132"/>
    </row>
    <row r="674">
      <c r="A674" s="132"/>
    </row>
    <row r="675">
      <c r="A675" s="132"/>
    </row>
    <row r="676">
      <c r="A676" s="132"/>
    </row>
    <row r="677">
      <c r="A677" s="132"/>
    </row>
    <row r="678">
      <c r="A678" s="132"/>
    </row>
    <row r="679">
      <c r="A679" s="132"/>
    </row>
    <row r="680">
      <c r="A680" s="132"/>
    </row>
    <row r="681">
      <c r="A681" s="132"/>
    </row>
    <row r="682">
      <c r="A682" s="132"/>
    </row>
    <row r="683">
      <c r="A683" s="132"/>
    </row>
    <row r="684">
      <c r="A684" s="132"/>
    </row>
    <row r="685">
      <c r="A685" s="132"/>
    </row>
    <row r="686">
      <c r="A686" s="132"/>
    </row>
    <row r="687">
      <c r="A687" s="132"/>
    </row>
    <row r="688">
      <c r="A688" s="132"/>
    </row>
    <row r="689">
      <c r="A689" s="132"/>
    </row>
    <row r="690">
      <c r="A690" s="132"/>
    </row>
    <row r="691">
      <c r="A691" s="132"/>
    </row>
    <row r="692">
      <c r="A692" s="132"/>
    </row>
    <row r="693">
      <c r="A693" s="132"/>
    </row>
    <row r="694">
      <c r="A694" s="132"/>
    </row>
    <row r="695">
      <c r="A695" s="132"/>
    </row>
    <row r="696">
      <c r="A696" s="132"/>
    </row>
    <row r="697">
      <c r="A697" s="132"/>
    </row>
    <row r="698">
      <c r="A698" s="132"/>
    </row>
    <row r="699">
      <c r="A699" s="132"/>
    </row>
    <row r="700">
      <c r="A700" s="132"/>
    </row>
    <row r="701">
      <c r="A701" s="132"/>
    </row>
    <row r="702">
      <c r="A702" s="132"/>
    </row>
    <row r="703">
      <c r="A703" s="132"/>
    </row>
    <row r="704">
      <c r="A704" s="132"/>
    </row>
    <row r="705">
      <c r="A705" s="132"/>
    </row>
    <row r="706">
      <c r="A706" s="132"/>
    </row>
    <row r="707">
      <c r="A707" s="132"/>
    </row>
    <row r="708">
      <c r="A708" s="132"/>
    </row>
    <row r="709">
      <c r="A709" s="132"/>
    </row>
    <row r="710">
      <c r="A710" s="132"/>
    </row>
    <row r="711">
      <c r="A711" s="132"/>
    </row>
    <row r="712">
      <c r="A712" s="132"/>
    </row>
    <row r="713">
      <c r="A713" s="132"/>
    </row>
    <row r="714">
      <c r="A714" s="132"/>
    </row>
    <row r="715">
      <c r="A715" s="132"/>
    </row>
    <row r="716">
      <c r="A716" s="132"/>
    </row>
    <row r="717">
      <c r="A717" s="132"/>
    </row>
    <row r="718">
      <c r="A718" s="132"/>
    </row>
    <row r="719">
      <c r="A719" s="132"/>
    </row>
    <row r="720">
      <c r="A720" s="132"/>
    </row>
    <row r="721">
      <c r="A721" s="132"/>
    </row>
    <row r="722">
      <c r="A722" s="132"/>
    </row>
    <row r="723">
      <c r="A723" s="132"/>
    </row>
    <row r="724">
      <c r="A724" s="132"/>
    </row>
    <row r="725">
      <c r="A725" s="132"/>
    </row>
    <row r="726">
      <c r="A726" s="132"/>
    </row>
    <row r="727">
      <c r="A727" s="132"/>
    </row>
    <row r="728">
      <c r="A728" s="132"/>
    </row>
    <row r="729">
      <c r="A729" s="132"/>
    </row>
    <row r="730">
      <c r="A730" s="132"/>
    </row>
    <row r="731">
      <c r="A731" s="132"/>
    </row>
    <row r="732">
      <c r="A732" s="132"/>
    </row>
    <row r="733">
      <c r="A733" s="132"/>
    </row>
    <row r="734">
      <c r="A734" s="132"/>
    </row>
    <row r="735">
      <c r="A735" s="132"/>
    </row>
    <row r="736">
      <c r="A736" s="132"/>
    </row>
    <row r="737">
      <c r="A737" s="132"/>
    </row>
    <row r="738">
      <c r="A738" s="132"/>
    </row>
    <row r="739">
      <c r="A739" s="132"/>
    </row>
    <row r="740">
      <c r="A740" s="132"/>
    </row>
    <row r="741">
      <c r="A741" s="132"/>
    </row>
    <row r="742">
      <c r="A742" s="132"/>
    </row>
    <row r="743">
      <c r="A743" s="132"/>
    </row>
    <row r="744">
      <c r="A744" s="132"/>
    </row>
    <row r="745">
      <c r="A745" s="132"/>
    </row>
    <row r="746">
      <c r="A746" s="132"/>
    </row>
    <row r="747">
      <c r="A747" s="132"/>
    </row>
    <row r="748">
      <c r="A748" s="132"/>
    </row>
    <row r="749">
      <c r="A749" s="132"/>
    </row>
    <row r="750">
      <c r="A750" s="132"/>
    </row>
    <row r="751">
      <c r="A751" s="132"/>
    </row>
    <row r="752">
      <c r="A752" s="132"/>
    </row>
    <row r="753">
      <c r="A753" s="132"/>
    </row>
    <row r="754">
      <c r="A754" s="132"/>
    </row>
    <row r="755">
      <c r="A755" s="132"/>
    </row>
    <row r="756">
      <c r="A756" s="132"/>
    </row>
    <row r="757">
      <c r="A757" s="132"/>
    </row>
    <row r="758">
      <c r="A758" s="132"/>
    </row>
    <row r="759">
      <c r="A759" s="132"/>
    </row>
    <row r="760">
      <c r="A760" s="132"/>
    </row>
    <row r="761">
      <c r="A761" s="132"/>
    </row>
    <row r="762">
      <c r="A762" s="132"/>
    </row>
    <row r="763">
      <c r="A763" s="132"/>
    </row>
    <row r="764">
      <c r="A764" s="132"/>
    </row>
    <row r="765">
      <c r="A765" s="132"/>
    </row>
    <row r="766">
      <c r="A766" s="132"/>
    </row>
    <row r="767">
      <c r="A767" s="132"/>
    </row>
    <row r="768">
      <c r="A768" s="132"/>
    </row>
    <row r="769">
      <c r="A769" s="132"/>
    </row>
    <row r="770">
      <c r="A770" s="132"/>
    </row>
    <row r="771">
      <c r="A771" s="132"/>
    </row>
    <row r="772">
      <c r="A772" s="132"/>
    </row>
    <row r="773">
      <c r="A773" s="132"/>
    </row>
    <row r="774">
      <c r="A774" s="132"/>
    </row>
    <row r="775">
      <c r="A775" s="132"/>
    </row>
    <row r="776">
      <c r="A776" s="132"/>
    </row>
    <row r="777">
      <c r="A777" s="132"/>
    </row>
    <row r="778">
      <c r="A778" s="132"/>
    </row>
    <row r="779">
      <c r="A779" s="132"/>
    </row>
    <row r="780">
      <c r="A780" s="132"/>
    </row>
    <row r="781">
      <c r="A781" s="132"/>
    </row>
    <row r="782">
      <c r="A782" s="132"/>
    </row>
    <row r="783">
      <c r="A783" s="132"/>
    </row>
    <row r="784">
      <c r="A784" s="132"/>
    </row>
    <row r="785">
      <c r="A785" s="132"/>
    </row>
    <row r="786">
      <c r="A786" s="132"/>
    </row>
    <row r="787">
      <c r="A787" s="132"/>
    </row>
    <row r="788">
      <c r="A788" s="132"/>
    </row>
    <row r="789">
      <c r="A789" s="132"/>
    </row>
    <row r="790">
      <c r="A790" s="132"/>
    </row>
    <row r="791">
      <c r="A791" s="132"/>
    </row>
    <row r="792">
      <c r="A792" s="132"/>
    </row>
    <row r="793">
      <c r="A793" s="132"/>
    </row>
    <row r="794">
      <c r="A794" s="132"/>
    </row>
    <row r="795">
      <c r="A795" s="132"/>
    </row>
    <row r="796">
      <c r="A796" s="132"/>
    </row>
    <row r="797">
      <c r="A797" s="132"/>
    </row>
    <row r="798">
      <c r="A798" s="132"/>
    </row>
    <row r="799">
      <c r="A799" s="132"/>
    </row>
    <row r="800">
      <c r="A800" s="132"/>
    </row>
    <row r="801">
      <c r="A801" s="132"/>
    </row>
    <row r="802">
      <c r="A802" s="132"/>
    </row>
    <row r="803">
      <c r="A803" s="132"/>
    </row>
    <row r="804">
      <c r="A804" s="132"/>
    </row>
    <row r="805">
      <c r="A805" s="132"/>
    </row>
    <row r="806">
      <c r="A806" s="132"/>
    </row>
    <row r="807">
      <c r="A807" s="132"/>
    </row>
    <row r="808">
      <c r="A808" s="132"/>
    </row>
    <row r="809">
      <c r="A809" s="132"/>
    </row>
    <row r="810">
      <c r="A810" s="132"/>
    </row>
    <row r="811">
      <c r="A811" s="132"/>
    </row>
    <row r="812">
      <c r="A812" s="132"/>
    </row>
    <row r="813">
      <c r="A813" s="132"/>
    </row>
    <row r="814">
      <c r="A814" s="132"/>
    </row>
    <row r="815">
      <c r="A815" s="132"/>
    </row>
    <row r="816">
      <c r="A816" s="132"/>
    </row>
    <row r="817">
      <c r="A817" s="132"/>
    </row>
    <row r="818">
      <c r="A818" s="132"/>
    </row>
    <row r="819">
      <c r="A819" s="132"/>
    </row>
    <row r="820">
      <c r="A820" s="132"/>
    </row>
    <row r="821">
      <c r="A821" s="132"/>
    </row>
    <row r="822">
      <c r="A822" s="132"/>
    </row>
    <row r="823">
      <c r="A823" s="132"/>
    </row>
    <row r="824">
      <c r="A824" s="132"/>
    </row>
    <row r="825">
      <c r="A825" s="132"/>
    </row>
    <row r="826">
      <c r="A826" s="132"/>
    </row>
    <row r="827">
      <c r="A827" s="132"/>
    </row>
    <row r="828">
      <c r="A828" s="132"/>
    </row>
    <row r="829">
      <c r="A829" s="132"/>
    </row>
    <row r="830">
      <c r="A830" s="132"/>
    </row>
    <row r="831">
      <c r="A831" s="132"/>
    </row>
    <row r="832">
      <c r="A832" s="132"/>
    </row>
    <row r="833">
      <c r="A833" s="132"/>
    </row>
    <row r="834">
      <c r="A834" s="132"/>
    </row>
    <row r="835">
      <c r="A835" s="132"/>
    </row>
    <row r="836">
      <c r="A836" s="132"/>
    </row>
    <row r="837">
      <c r="A837" s="132"/>
    </row>
    <row r="838">
      <c r="A838" s="132"/>
    </row>
    <row r="839">
      <c r="A839" s="132"/>
    </row>
    <row r="840">
      <c r="A840" s="132"/>
    </row>
    <row r="841">
      <c r="A841" s="132"/>
    </row>
    <row r="842">
      <c r="A842" s="132"/>
    </row>
    <row r="843">
      <c r="A843" s="132"/>
    </row>
    <row r="844">
      <c r="A844" s="132"/>
    </row>
    <row r="845">
      <c r="A845" s="132"/>
    </row>
    <row r="846">
      <c r="A846" s="132"/>
    </row>
    <row r="847">
      <c r="A847" s="132"/>
    </row>
    <row r="848">
      <c r="A848" s="132"/>
    </row>
    <row r="849">
      <c r="A849" s="132"/>
    </row>
    <row r="850">
      <c r="A850" s="132"/>
    </row>
    <row r="851">
      <c r="A851" s="132"/>
    </row>
    <row r="852">
      <c r="A852" s="132"/>
    </row>
    <row r="853">
      <c r="A853" s="132"/>
    </row>
    <row r="854">
      <c r="A854" s="132"/>
    </row>
    <row r="855">
      <c r="A855" s="132"/>
    </row>
    <row r="856">
      <c r="A856" s="132"/>
    </row>
    <row r="857">
      <c r="A857" s="132"/>
    </row>
    <row r="858">
      <c r="A858" s="132"/>
    </row>
    <row r="859">
      <c r="A859" s="132"/>
    </row>
    <row r="860">
      <c r="A860" s="132"/>
    </row>
    <row r="861">
      <c r="A861" s="132"/>
    </row>
    <row r="862">
      <c r="A862" s="132"/>
    </row>
    <row r="863">
      <c r="A863" s="132"/>
    </row>
    <row r="864">
      <c r="A864" s="132"/>
    </row>
    <row r="865">
      <c r="A865" s="132"/>
    </row>
    <row r="866">
      <c r="A866" s="132"/>
    </row>
    <row r="867">
      <c r="A867" s="132"/>
    </row>
    <row r="868">
      <c r="A868" s="132"/>
    </row>
    <row r="869">
      <c r="A869" s="132"/>
    </row>
    <row r="870">
      <c r="A870" s="132"/>
    </row>
    <row r="871">
      <c r="A871" s="132"/>
    </row>
    <row r="872">
      <c r="A872" s="132"/>
    </row>
    <row r="873">
      <c r="A873" s="132"/>
    </row>
    <row r="874">
      <c r="A874" s="132"/>
    </row>
    <row r="875">
      <c r="A875" s="132"/>
    </row>
    <row r="876">
      <c r="A876" s="132"/>
    </row>
    <row r="877">
      <c r="A877" s="132"/>
    </row>
    <row r="878">
      <c r="A878" s="132"/>
    </row>
    <row r="879">
      <c r="A879" s="132"/>
    </row>
    <row r="880">
      <c r="A880" s="132"/>
    </row>
    <row r="881">
      <c r="A881" s="132"/>
    </row>
    <row r="882">
      <c r="A882" s="132"/>
    </row>
    <row r="883">
      <c r="A883" s="132"/>
    </row>
    <row r="884">
      <c r="A884" s="132"/>
    </row>
    <row r="885">
      <c r="A885" s="132"/>
    </row>
    <row r="886">
      <c r="A886" s="132"/>
    </row>
    <row r="887">
      <c r="A887" s="132"/>
    </row>
    <row r="888">
      <c r="A888" s="132"/>
    </row>
    <row r="889">
      <c r="A889" s="132"/>
    </row>
    <row r="890">
      <c r="A890" s="132"/>
    </row>
    <row r="891">
      <c r="A891" s="132"/>
    </row>
    <row r="892">
      <c r="A892" s="132"/>
    </row>
    <row r="893">
      <c r="A893" s="132"/>
    </row>
    <row r="894">
      <c r="A894" s="132"/>
    </row>
    <row r="895">
      <c r="A895" s="132"/>
    </row>
    <row r="896">
      <c r="A896" s="132"/>
    </row>
    <row r="897">
      <c r="A897" s="132"/>
    </row>
    <row r="898">
      <c r="A898" s="132"/>
    </row>
    <row r="899">
      <c r="A899" s="132"/>
    </row>
    <row r="900">
      <c r="A900" s="132"/>
    </row>
    <row r="901">
      <c r="A901" s="132"/>
    </row>
    <row r="902">
      <c r="A902" s="132"/>
    </row>
    <row r="903">
      <c r="A903" s="132"/>
    </row>
    <row r="904">
      <c r="A904" s="132"/>
    </row>
    <row r="905">
      <c r="A905" s="132"/>
    </row>
    <row r="906">
      <c r="A906" s="132"/>
    </row>
    <row r="907">
      <c r="A907" s="132"/>
    </row>
    <row r="908">
      <c r="A908" s="132"/>
    </row>
    <row r="909">
      <c r="A909" s="132"/>
    </row>
    <row r="910">
      <c r="A910" s="132"/>
    </row>
    <row r="911">
      <c r="A911" s="132"/>
    </row>
    <row r="912">
      <c r="A912" s="132"/>
    </row>
    <row r="913">
      <c r="A913" s="132"/>
    </row>
    <row r="914">
      <c r="A914" s="132"/>
    </row>
    <row r="915">
      <c r="A915" s="132"/>
    </row>
    <row r="916">
      <c r="A916" s="132"/>
    </row>
    <row r="917">
      <c r="A917" s="132"/>
    </row>
    <row r="918">
      <c r="A918" s="132"/>
    </row>
    <row r="919">
      <c r="A919" s="132"/>
    </row>
    <row r="920">
      <c r="A920" s="132"/>
    </row>
    <row r="921">
      <c r="A921" s="132"/>
    </row>
    <row r="922">
      <c r="A922" s="132"/>
    </row>
    <row r="923">
      <c r="A923" s="132"/>
    </row>
    <row r="924">
      <c r="A924" s="132"/>
    </row>
    <row r="925">
      <c r="A925" s="132"/>
    </row>
    <row r="926">
      <c r="A926" s="132"/>
    </row>
    <row r="927">
      <c r="A927" s="132"/>
    </row>
    <row r="928">
      <c r="A928" s="132"/>
    </row>
    <row r="929">
      <c r="A929" s="132"/>
    </row>
    <row r="930">
      <c r="A930" s="132"/>
    </row>
    <row r="931">
      <c r="A931" s="132"/>
    </row>
    <row r="932">
      <c r="A932" s="132"/>
    </row>
    <row r="933">
      <c r="A933" s="132"/>
    </row>
    <row r="934">
      <c r="A934" s="132"/>
    </row>
    <row r="935">
      <c r="A935" s="132"/>
    </row>
    <row r="936">
      <c r="A936" s="132"/>
    </row>
    <row r="937">
      <c r="A937" s="132"/>
    </row>
    <row r="938">
      <c r="A938" s="132"/>
    </row>
    <row r="939">
      <c r="A939" s="132"/>
    </row>
    <row r="940">
      <c r="A940" s="132"/>
    </row>
    <row r="941">
      <c r="A941" s="132"/>
    </row>
    <row r="942">
      <c r="A942" s="132"/>
    </row>
    <row r="943">
      <c r="A943" s="132"/>
    </row>
    <row r="944">
      <c r="A944" s="132"/>
    </row>
    <row r="945">
      <c r="A945" s="132"/>
    </row>
    <row r="946">
      <c r="A946" s="132"/>
    </row>
    <row r="947">
      <c r="A947" s="132"/>
    </row>
    <row r="948">
      <c r="A948" s="132"/>
    </row>
    <row r="949">
      <c r="A949" s="132"/>
    </row>
    <row r="950">
      <c r="A950" s="132"/>
    </row>
    <row r="951">
      <c r="A951" s="132"/>
    </row>
    <row r="952">
      <c r="A952" s="132"/>
    </row>
    <row r="953">
      <c r="A953" s="132"/>
    </row>
    <row r="954">
      <c r="A954" s="132"/>
    </row>
    <row r="955">
      <c r="A955" s="132"/>
    </row>
    <row r="956">
      <c r="A956" s="132"/>
    </row>
    <row r="957">
      <c r="A957" s="132"/>
    </row>
    <row r="958">
      <c r="A958" s="132"/>
    </row>
    <row r="959">
      <c r="A959" s="132"/>
    </row>
    <row r="960">
      <c r="A960" s="132"/>
    </row>
    <row r="961">
      <c r="A961" s="132"/>
    </row>
    <row r="962">
      <c r="A962" s="132"/>
    </row>
    <row r="963">
      <c r="A963" s="132"/>
    </row>
    <row r="964">
      <c r="A964" s="132"/>
    </row>
    <row r="965">
      <c r="A965" s="132"/>
    </row>
    <row r="966">
      <c r="A966" s="132"/>
    </row>
    <row r="967">
      <c r="A967" s="132"/>
    </row>
    <row r="968">
      <c r="A968" s="132"/>
    </row>
    <row r="969">
      <c r="A969" s="132"/>
    </row>
    <row r="970">
      <c r="A970" s="132"/>
    </row>
    <row r="971">
      <c r="A971" s="132"/>
    </row>
    <row r="972">
      <c r="A972" s="132"/>
    </row>
    <row r="973">
      <c r="A973" s="132"/>
    </row>
    <row r="974">
      <c r="A974" s="132"/>
    </row>
    <row r="975">
      <c r="A975" s="132"/>
    </row>
    <row r="976">
      <c r="A976" s="132"/>
    </row>
    <row r="977">
      <c r="A977" s="132"/>
    </row>
    <row r="978">
      <c r="A978" s="132"/>
    </row>
    <row r="979">
      <c r="A979" s="132"/>
    </row>
    <row r="980">
      <c r="A980" s="132"/>
    </row>
    <row r="981">
      <c r="A981" s="132"/>
    </row>
    <row r="982">
      <c r="A982" s="132"/>
    </row>
    <row r="983">
      <c r="A983" s="132"/>
    </row>
    <row r="984">
      <c r="A984" s="132"/>
    </row>
    <row r="985">
      <c r="A985" s="132"/>
    </row>
    <row r="986">
      <c r="A986" s="132"/>
    </row>
    <row r="987">
      <c r="A987" s="132"/>
    </row>
    <row r="988">
      <c r="A988" s="132"/>
    </row>
    <row r="989">
      <c r="A989" s="132"/>
    </row>
    <row r="990">
      <c r="A990" s="132"/>
    </row>
    <row r="991">
      <c r="A991" s="132"/>
    </row>
    <row r="992">
      <c r="A992" s="132"/>
    </row>
    <row r="993">
      <c r="A993" s="132"/>
    </row>
    <row r="994">
      <c r="A994" s="132"/>
    </row>
    <row r="995">
      <c r="A995" s="132"/>
    </row>
    <row r="996">
      <c r="A996" s="132"/>
    </row>
    <row r="997">
      <c r="A997" s="132"/>
    </row>
    <row r="998">
      <c r="A998" s="132"/>
    </row>
    <row r="999">
      <c r="A999" s="132"/>
    </row>
    <row r="1000">
      <c r="A1000" s="132"/>
    </row>
  </sheetData>
  <conditionalFormatting sqref="R7">
    <cfRule type="cellIs" dxfId="0" priority="1" operator="greaterThan">
      <formula>0.8</formula>
    </cfRule>
  </conditionalFormatting>
  <conditionalFormatting sqref="R7">
    <cfRule type="cellIs" dxfId="1" priority="2" operator="lessThanOrEqual">
      <formula>0.6</formula>
    </cfRule>
  </conditionalFormatting>
  <conditionalFormatting sqref="R7">
    <cfRule type="cellIs" dxfId="2" priority="3" operator="notBetween">
      <formula>0.6</formula>
      <formula>0.8</formula>
    </cfRule>
  </conditionalFormatting>
  <conditionalFormatting sqref="G4:G47">
    <cfRule type="containsText" dxfId="3" priority="4" operator="containsText" text="FALSE">
      <formula>NOT(ISERROR(SEARCH(("FALSE"),(G4))))</formula>
    </cfRule>
  </conditionalFormatting>
  <conditionalFormatting sqref="N4:N47">
    <cfRule type="colorScale" priority="5">
      <colorScale>
        <cfvo type="formula" val="0.1"/>
        <cfvo type="formula" val="0.5"/>
        <cfvo type="formula" val="1"/>
        <color rgb="FFDD7E6B"/>
        <color rgb="FFFFF2CC"/>
        <color rgb="FF57BB8A"/>
      </colorScale>
    </cfRule>
  </conditionalFormatting>
  <conditionalFormatting sqref="AC5:AC10">
    <cfRule type="colorScale" priority="6">
      <colorScale>
        <cfvo type="min"/>
        <cfvo type="percentile" val="50"/>
        <cfvo type="max"/>
        <color rgb="FFE67C73"/>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ht="15.0" customHeight="1">
      <c r="A1" s="135" t="s">
        <v>2469</v>
      </c>
      <c r="B1" s="136"/>
      <c r="C1" s="136"/>
      <c r="D1" s="136"/>
      <c r="E1" s="136"/>
      <c r="F1" s="137"/>
    </row>
    <row r="2">
      <c r="H2" s="118" t="s">
        <v>2470</v>
      </c>
    </row>
    <row r="3">
      <c r="A3" s="138"/>
      <c r="B3" s="139" t="s">
        <v>2471</v>
      </c>
      <c r="C3" s="140" t="s">
        <v>2472</v>
      </c>
      <c r="D3" s="140" t="s">
        <v>31</v>
      </c>
      <c r="E3" s="140" t="s">
        <v>2473</v>
      </c>
    </row>
    <row r="4">
      <c r="A4" s="141" t="s">
        <v>2475</v>
      </c>
      <c r="B4" s="142">
        <f t="array" ref="B4">SUM(IF('List of documents'!$K:$K=Statistics!B$3,1,0))</f>
        <v>0</v>
      </c>
      <c r="C4" s="142">
        <f t="array" ref="C4">SUM(IF('List of documents'!$K:$K=Statistics!C$3,1,0))</f>
        <v>0</v>
      </c>
      <c r="D4" s="142">
        <f t="array" ref="D4">SUM(IF('List of documents'!$K:$K=Statistics!D$3,1,0))</f>
        <v>294</v>
      </c>
      <c r="E4" s="142">
        <f t="shared" ref="E4:E8" si="1">SUM(B4:D4)</f>
        <v>294</v>
      </c>
    </row>
    <row r="5">
      <c r="A5" s="140" t="s">
        <v>13</v>
      </c>
      <c r="B5" s="142">
        <f t="array" ref="B5">SUM(IF('List of documents'!$K:$K=Statistics!B$3,IF('List of documents'!$N:$N=1,1,0)))</f>
        <v>0</v>
      </c>
      <c r="C5" s="142">
        <f t="array" ref="C5">SUM(IF('List of documents'!$K:$K=Statistics!C$3,IF('List of documents'!$N:$N=1,1,0)))</f>
        <v>0</v>
      </c>
      <c r="D5" s="142">
        <f t="array" ref="D5">SUM(IF('List of documents'!$K:$K=Statistics!D$3,IF('List of documents'!$N:$N=1,1,0)))</f>
        <v>9</v>
      </c>
      <c r="E5" s="142">
        <f t="shared" si="1"/>
        <v>9</v>
      </c>
      <c r="N5" s="14" t="str">
        <f t="shared" ref="N5:N10" si="2">J5/M5</f>
        <v>#DIV/0!</v>
      </c>
    </row>
    <row r="6">
      <c r="A6" s="140" t="s">
        <v>14</v>
      </c>
      <c r="B6" s="142">
        <f t="array" ref="B6">SUM(IF('List of documents'!$K:$K=Statistics!B$3,IF('List of documents'!$O:$O=1,1,0)))</f>
        <v>0</v>
      </c>
      <c r="C6" s="142">
        <f t="array" ref="C6">SUM(IF('List of documents'!$K:$K=Statistics!C$3,IF('List of documents'!$O:$O=1,1,0)))</f>
        <v>0</v>
      </c>
      <c r="D6" s="142">
        <f t="array" ref="D6">SUM(IF('List of documents'!$K:$K=Statistics!D$3,IF('List of documents'!$O:$O=1,1,0)))</f>
        <v>5</v>
      </c>
      <c r="E6" s="142">
        <f t="shared" si="1"/>
        <v>5</v>
      </c>
      <c r="N6" s="14" t="str">
        <f t="shared" si="2"/>
        <v>#DIV/0!</v>
      </c>
    </row>
    <row r="7">
      <c r="A7" s="140" t="s">
        <v>15</v>
      </c>
      <c r="B7" s="142">
        <f t="array" ref="B7">SUM(IF('List of documents'!$K:$K=Statistics!B$3,IF('List of documents'!$P:$P=1,1,0)))</f>
        <v>0</v>
      </c>
      <c r="C7" s="142">
        <f t="array" ref="C7">SUM(IF('List of documents'!$K:$K=Statistics!C$3,IF('List of documents'!$P:$P=1,1,0)))</f>
        <v>0</v>
      </c>
      <c r="D7" s="142">
        <f t="array" ref="D7">SUM(IF('List of documents'!$K:$K=Statistics!D$3,IF('List of documents'!$P:$P=1,1,0)))</f>
        <v>14</v>
      </c>
      <c r="E7" s="142">
        <f t="shared" si="1"/>
        <v>14</v>
      </c>
      <c r="N7" s="14" t="str">
        <f t="shared" si="2"/>
        <v>#DIV/0!</v>
      </c>
    </row>
    <row r="8">
      <c r="A8" s="140" t="s">
        <v>22</v>
      </c>
      <c r="B8" s="142">
        <f t="array" ref="B8">SUM(IF('List of documents'!$K:$K=Statistics!B$3,IF('List of documents'!$W:$W=1,1,0)))</f>
        <v>0</v>
      </c>
      <c r="C8" s="142">
        <f t="array" ref="C8">SUM(IF('List of documents'!$K:$K=Statistics!C$3,IF('List of documents'!$W:$W=1,1,0)))</f>
        <v>0</v>
      </c>
      <c r="D8" s="142">
        <f t="array" ref="D8">SUM(IF('List of documents'!$K:$K=Statistics!D$3,IF('List of documents'!$W:$W=1,1,0)))</f>
        <v>235</v>
      </c>
      <c r="E8" s="142">
        <f t="shared" si="1"/>
        <v>235</v>
      </c>
      <c r="N8" s="14" t="str">
        <f t="shared" si="2"/>
        <v>#DIV/0!</v>
      </c>
    </row>
    <row r="9">
      <c r="A9" s="143"/>
      <c r="N9" s="14" t="str">
        <f t="shared" si="2"/>
        <v>#DIV/0!</v>
      </c>
    </row>
    <row r="10" ht="15.0" customHeight="1">
      <c r="A10" s="144" t="s">
        <v>2476</v>
      </c>
      <c r="B10" s="136"/>
      <c r="C10" s="136"/>
      <c r="D10" s="136"/>
      <c r="E10" s="136"/>
      <c r="F10" s="137"/>
      <c r="N10" s="14" t="str">
        <f t="shared" si="2"/>
        <v>#DIV/0!</v>
      </c>
    </row>
    <row r="12" ht="15.0" customHeight="1">
      <c r="A12" s="138"/>
      <c r="B12" s="139" t="s">
        <v>2475</v>
      </c>
      <c r="C12" s="140" t="s">
        <v>13</v>
      </c>
      <c r="D12" s="140" t="s">
        <v>14</v>
      </c>
      <c r="E12" s="140" t="s">
        <v>15</v>
      </c>
      <c r="F12" s="140" t="s">
        <v>22</v>
      </c>
    </row>
    <row r="13" ht="15.0" customHeight="1">
      <c r="A13" s="141" t="s">
        <v>2475</v>
      </c>
      <c r="B13" s="142">
        <f>E4</f>
        <v>294</v>
      </c>
      <c r="C13" s="142">
        <f>C14</f>
        <v>9</v>
      </c>
      <c r="D13" s="142">
        <f>D15</f>
        <v>5</v>
      </c>
      <c r="E13" s="142">
        <f>E16</f>
        <v>14</v>
      </c>
      <c r="F13" s="142">
        <f>F17</f>
        <v>235</v>
      </c>
    </row>
    <row r="14" ht="15.0" customHeight="1">
      <c r="A14" s="140" t="s">
        <v>13</v>
      </c>
      <c r="B14" s="142"/>
      <c r="C14" s="142">
        <f>E5</f>
        <v>9</v>
      </c>
      <c r="D14" s="142">
        <f t="array" ref="D14">SUM(IF('List of documents'!$N:$N=1,IF('List of documents'!$O:$O=1,1,0)))</f>
        <v>20</v>
      </c>
      <c r="E14" s="142">
        <f t="array" ref="E14">SUM(IF('List of documents'!$N:$N=1,IF('List of documents'!$P:$P=1,1,0)))</f>
        <v>3</v>
      </c>
      <c r="F14" s="142">
        <f t="array" ref="F14">SUM(IF('List of documents'!$N:$N=1,IF('List of documents'!$W:$W=1,1,0)))</f>
        <v>69</v>
      </c>
    </row>
    <row r="15" ht="15.0" customHeight="1">
      <c r="A15" s="140" t="s">
        <v>14</v>
      </c>
      <c r="B15" s="142"/>
      <c r="C15" s="142"/>
      <c r="D15" s="142">
        <f>E6</f>
        <v>5</v>
      </c>
      <c r="E15" s="142">
        <f t="array" ref="E15">SUM(IF('List of documents'!$O:$O=1,IF('List of documents'!$P:$P=1,1,0)))</f>
        <v>2</v>
      </c>
      <c r="F15" s="142">
        <f t="array" ref="F15">SUM(IF('List of documents'!$O:$O=1,IF('List of documents'!$W:$W=1,1,0)))</f>
        <v>31</v>
      </c>
    </row>
    <row r="16" ht="15.0" customHeight="1">
      <c r="A16" s="140" t="s">
        <v>15</v>
      </c>
      <c r="B16" s="142"/>
      <c r="C16" s="142"/>
      <c r="D16" s="142"/>
      <c r="E16" s="142">
        <f>E7</f>
        <v>14</v>
      </c>
      <c r="F16" s="142">
        <f t="array" ref="F16">SUM(IF('List of documents'!$P:$P=1,IF('List of documents'!$W:$W=1,1,0)))</f>
        <v>8</v>
      </c>
    </row>
    <row r="17" ht="15.0" customHeight="1">
      <c r="A17" s="140" t="s">
        <v>22</v>
      </c>
      <c r="B17" s="142"/>
      <c r="C17" s="142"/>
      <c r="D17" s="142"/>
      <c r="E17" s="142"/>
      <c r="F17" s="142">
        <f>E8</f>
        <v>235</v>
      </c>
    </row>
    <row r="18" ht="15.0" customHeight="1">
      <c r="A18" s="143"/>
    </row>
    <row r="19" ht="15.0" customHeight="1">
      <c r="A19" s="145" t="s">
        <v>2481</v>
      </c>
      <c r="B19" s="136"/>
      <c r="C19" s="136"/>
      <c r="D19" s="136"/>
      <c r="E19" s="136"/>
      <c r="F19" s="137"/>
    </row>
    <row r="20" ht="15.0" customHeight="1">
      <c r="A20" s="146"/>
      <c r="B20" s="147"/>
      <c r="C20" s="147"/>
      <c r="D20" s="147"/>
      <c r="E20" s="147"/>
      <c r="F20" s="147"/>
    </row>
    <row r="21" ht="15.0" customHeight="1">
      <c r="A21" s="148"/>
      <c r="B21" s="149" t="s">
        <v>2475</v>
      </c>
      <c r="C21" s="149" t="s">
        <v>13</v>
      </c>
      <c r="D21" s="149" t="s">
        <v>14</v>
      </c>
      <c r="E21" s="149" t="s">
        <v>15</v>
      </c>
      <c r="F21" s="149" t="s">
        <v>22</v>
      </c>
    </row>
    <row r="22" ht="15.0" customHeight="1">
      <c r="A22" s="150" t="s">
        <v>2475</v>
      </c>
      <c r="B22" s="151">
        <f>B4</f>
        <v>0</v>
      </c>
      <c r="C22" s="151">
        <f>B5</f>
        <v>0</v>
      </c>
      <c r="D22" s="151">
        <f>B6</f>
        <v>0</v>
      </c>
      <c r="E22" s="151">
        <f>B7</f>
        <v>0</v>
      </c>
      <c r="F22" s="151">
        <f>B8</f>
        <v>0</v>
      </c>
    </row>
    <row r="23" ht="15.0" customHeight="1">
      <c r="A23" s="150" t="s">
        <v>13</v>
      </c>
      <c r="B23" s="152"/>
      <c r="C23" s="151">
        <f t="shared" ref="C23:F23" si="3">C14</f>
        <v>9</v>
      </c>
      <c r="D23" s="151">
        <f t="shared" si="3"/>
        <v>20</v>
      </c>
      <c r="E23" s="151">
        <f t="shared" si="3"/>
        <v>3</v>
      </c>
      <c r="F23" s="151">
        <f t="shared" si="3"/>
        <v>69</v>
      </c>
    </row>
    <row r="24" ht="15.0" customHeight="1">
      <c r="A24" s="150" t="s">
        <v>14</v>
      </c>
      <c r="B24" s="152"/>
      <c r="C24" s="152"/>
      <c r="D24" s="151">
        <f t="shared" ref="D24:F24" si="4">D15</f>
        <v>5</v>
      </c>
      <c r="E24" s="151">
        <f t="shared" si="4"/>
        <v>2</v>
      </c>
      <c r="F24" s="151">
        <f t="shared" si="4"/>
        <v>31</v>
      </c>
    </row>
    <row r="25" ht="15.0" customHeight="1">
      <c r="A25" s="150" t="s">
        <v>15</v>
      </c>
      <c r="B25" s="152"/>
      <c r="C25" s="152"/>
      <c r="D25" s="152"/>
      <c r="E25" s="151">
        <f t="shared" ref="E25:F25" si="5">E16</f>
        <v>14</v>
      </c>
      <c r="F25" s="151">
        <f t="shared" si="5"/>
        <v>8</v>
      </c>
    </row>
    <row r="26" ht="15.0" customHeight="1">
      <c r="A26" s="150" t="s">
        <v>22</v>
      </c>
      <c r="B26" s="152"/>
      <c r="C26" s="152"/>
      <c r="D26" s="152"/>
      <c r="E26" s="151" t="str">
        <f t="shared" ref="E26:F26" si="6">E17</f>
        <v/>
      </c>
      <c r="F26" s="151">
        <f t="shared" si="6"/>
        <v>235</v>
      </c>
    </row>
    <row r="27" ht="15.0" customHeight="1">
      <c r="A27" s="143"/>
    </row>
    <row r="28" ht="15.0" customHeight="1">
      <c r="A28" s="135" t="s">
        <v>2482</v>
      </c>
      <c r="B28" s="136"/>
      <c r="C28" s="136"/>
      <c r="D28" s="136"/>
      <c r="E28" s="136"/>
      <c r="F28" s="137"/>
    </row>
    <row r="30" ht="15.0" customHeight="1">
      <c r="A30" s="138"/>
      <c r="B30" s="139"/>
      <c r="C30" s="140"/>
      <c r="D30" s="140"/>
      <c r="E30" s="140"/>
      <c r="F30" s="140"/>
    </row>
    <row r="31" ht="15.0" customHeight="1">
      <c r="A31" s="141" t="s">
        <v>2475</v>
      </c>
      <c r="B31" s="142"/>
      <c r="C31" s="142"/>
      <c r="D31" s="142"/>
      <c r="E31" s="142"/>
      <c r="F31" s="142"/>
    </row>
    <row r="32" ht="15.0" customHeight="1">
      <c r="A32" s="140" t="s">
        <v>13</v>
      </c>
      <c r="B32" s="142"/>
      <c r="C32" s="142"/>
      <c r="D32" s="142"/>
      <c r="E32" s="142"/>
      <c r="F32" s="142"/>
    </row>
    <row r="33" ht="15.0" customHeight="1">
      <c r="A33" s="140" t="s">
        <v>14</v>
      </c>
      <c r="B33" s="142"/>
      <c r="C33" s="142"/>
      <c r="D33" s="142"/>
      <c r="E33" s="142"/>
      <c r="F33" s="142"/>
    </row>
    <row r="34" ht="15.0" customHeight="1">
      <c r="A34" s="140" t="s">
        <v>15</v>
      </c>
      <c r="B34" s="142"/>
      <c r="C34" s="142"/>
      <c r="D34" s="142"/>
      <c r="E34" s="142"/>
      <c r="F34" s="142"/>
    </row>
    <row r="35" ht="15.0" customHeight="1">
      <c r="A35" s="140" t="s">
        <v>22</v>
      </c>
      <c r="B35" s="142"/>
      <c r="C35" s="142"/>
      <c r="D35" s="142"/>
      <c r="E35" s="142"/>
      <c r="F35" s="142"/>
    </row>
    <row r="37" ht="15.0" customHeight="1">
      <c r="A37" s="135" t="s">
        <v>2483</v>
      </c>
      <c r="B37" s="136"/>
      <c r="C37" s="136"/>
      <c r="D37" s="136"/>
      <c r="E37" s="136"/>
      <c r="F37" s="137"/>
    </row>
    <row r="39" ht="15.0" customHeight="1">
      <c r="A39" s="138"/>
      <c r="B39" s="139"/>
      <c r="C39" s="140"/>
      <c r="D39" s="140"/>
      <c r="E39" s="140"/>
      <c r="F39" s="140"/>
    </row>
    <row r="40" ht="15.0" customHeight="1">
      <c r="A40" s="141" t="s">
        <v>2475</v>
      </c>
      <c r="B40" s="142"/>
      <c r="C40" s="142"/>
      <c r="D40" s="142"/>
      <c r="E40" s="142"/>
      <c r="F40" s="142"/>
    </row>
    <row r="41" ht="15.0" customHeight="1">
      <c r="A41" s="140" t="s">
        <v>13</v>
      </c>
      <c r="B41" s="142"/>
      <c r="C41" s="142"/>
      <c r="D41" s="142"/>
      <c r="E41" s="142"/>
      <c r="F41" s="142"/>
    </row>
    <row r="42" ht="15.0" customHeight="1">
      <c r="A42" s="140" t="s">
        <v>14</v>
      </c>
      <c r="B42" s="142"/>
      <c r="C42" s="142"/>
      <c r="D42" s="142"/>
      <c r="E42" s="142"/>
      <c r="F42" s="142"/>
    </row>
    <row r="43" ht="15.0" customHeight="1">
      <c r="A43" s="140" t="s">
        <v>15</v>
      </c>
      <c r="B43" s="142"/>
      <c r="C43" s="142"/>
      <c r="D43" s="142"/>
      <c r="E43" s="142"/>
      <c r="F43" s="142"/>
    </row>
    <row r="44" ht="15.0" customHeight="1">
      <c r="A44" s="140" t="s">
        <v>22</v>
      </c>
      <c r="B44" s="142"/>
      <c r="C44" s="142"/>
      <c r="D44" s="142"/>
      <c r="E44" s="142"/>
      <c r="F44" s="142"/>
    </row>
    <row r="46" ht="15.0" customHeight="1">
      <c r="A46" s="135" t="s">
        <v>2484</v>
      </c>
      <c r="B46" s="136"/>
      <c r="C46" s="136"/>
      <c r="D46" s="136"/>
      <c r="E46" s="136"/>
      <c r="F46" s="137"/>
    </row>
    <row r="48" ht="15.0" customHeight="1">
      <c r="A48" s="138"/>
      <c r="B48" s="139"/>
      <c r="C48" s="140"/>
      <c r="D48" s="140"/>
      <c r="E48" s="140"/>
      <c r="F48" s="140"/>
    </row>
    <row r="49" ht="15.0" customHeight="1">
      <c r="A49" s="141" t="s">
        <v>2475</v>
      </c>
      <c r="B49" s="142"/>
      <c r="C49" s="142"/>
      <c r="D49" s="142"/>
      <c r="E49" s="142"/>
      <c r="F49" s="142"/>
    </row>
    <row r="50" ht="15.0" customHeight="1">
      <c r="A50" s="140" t="s">
        <v>13</v>
      </c>
      <c r="B50" s="142"/>
      <c r="C50" s="142"/>
      <c r="D50" s="142"/>
      <c r="E50" s="142"/>
      <c r="F50" s="142"/>
    </row>
    <row r="51" ht="15.0" customHeight="1">
      <c r="A51" s="140" t="s">
        <v>14</v>
      </c>
      <c r="B51" s="142"/>
      <c r="C51" s="142"/>
      <c r="D51" s="142"/>
      <c r="E51" s="142"/>
      <c r="F51" s="142"/>
    </row>
    <row r="52" ht="15.0" customHeight="1">
      <c r="A52" s="140" t="s">
        <v>15</v>
      </c>
      <c r="B52" s="142"/>
      <c r="C52" s="142"/>
      <c r="D52" s="142"/>
      <c r="E52" s="142"/>
      <c r="F52" s="142"/>
    </row>
    <row r="53" ht="15.0" customHeight="1">
      <c r="A53" s="140" t="s">
        <v>22</v>
      </c>
      <c r="B53" s="142"/>
      <c r="C53" s="142"/>
      <c r="D53" s="142"/>
      <c r="E53" s="142"/>
      <c r="F53" s="142"/>
    </row>
  </sheetData>
  <mergeCells count="6">
    <mergeCell ref="A1:F1"/>
    <mergeCell ref="A10:F10"/>
    <mergeCell ref="A19:F19"/>
    <mergeCell ref="A28:F28"/>
    <mergeCell ref="A37:F37"/>
    <mergeCell ref="A46:F46"/>
  </mergeCells>
  <conditionalFormatting sqref="H14">
    <cfRule type="notContainsBlanks" dxfId="4" priority="1">
      <formula>LEN(TRIM(H14))&gt;0</formula>
    </cfRule>
  </conditionalFormatting>
  <conditionalFormatting sqref="H3">
    <cfRule type="notContainsBlanks" dxfId="4" priority="2">
      <formula>LEN(TRIM(H3))&gt;0</formula>
    </cfRule>
  </conditionalFormatting>
  <conditionalFormatting sqref="O1:O10">
    <cfRule type="cellIs" dxfId="1" priority="3" operator="lessThan">
      <formula>181</formula>
    </cfRule>
  </conditionalFormatting>
  <conditionalFormatting sqref="O1:O1009">
    <cfRule type="cellIs" dxfId="4" priority="4" operator="greaterThan">
      <formula>181</formula>
    </cfRule>
  </conditionalFormatting>
  <printOptions/>
  <pageMargins bottom="0.0" footer="0.0" header="0.0" left="0.0" right="0.0" top="0.0"/>
  <pageSetup paperSize="9" orientation="portrait"/>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1" max="1" width="83.57"/>
    <col customWidth="1" min="13" max="13" width="13.57"/>
  </cols>
  <sheetData>
    <row r="1">
      <c r="A1" s="4" t="s">
        <v>2</v>
      </c>
      <c r="B1" s="15" t="s">
        <v>2485</v>
      </c>
      <c r="C1" s="15" t="s">
        <v>2486</v>
      </c>
      <c r="D1" s="153" t="s">
        <v>10</v>
      </c>
      <c r="E1" s="154" t="s">
        <v>91</v>
      </c>
      <c r="F1" s="155" t="s">
        <v>33</v>
      </c>
      <c r="G1" s="153" t="s">
        <v>52</v>
      </c>
      <c r="H1" s="154" t="s">
        <v>91</v>
      </c>
      <c r="I1" s="155" t="s">
        <v>33</v>
      </c>
      <c r="J1" s="15" t="s">
        <v>2487</v>
      </c>
      <c r="K1" s="15" t="s">
        <v>2488</v>
      </c>
      <c r="L1" s="15" t="s">
        <v>2489</v>
      </c>
      <c r="M1" s="15" t="s">
        <v>2490</v>
      </c>
    </row>
    <row r="2" hidden="1">
      <c r="A2" s="34" t="s">
        <v>2491</v>
      </c>
      <c r="B2" s="15">
        <v>0.0</v>
      </c>
      <c r="E2" s="156" t="str">
        <f>VLOOKUP(A2,'List of documents'!C:K,9,0)</f>
        <v>not included</v>
      </c>
      <c r="F2" s="157" t="str">
        <f>VLOOKUP(A2,'Annotation-old-Maria'!A:D,4,0)</f>
        <v/>
      </c>
      <c r="G2" s="14">
        <f t="shared" ref="G2:I2" si="1">IF(LOWER(D2)="included",1,0)</f>
        <v>0</v>
      </c>
      <c r="H2" s="14">
        <f t="shared" si="1"/>
        <v>0</v>
      </c>
      <c r="I2" s="14">
        <f t="shared" si="1"/>
        <v>0</v>
      </c>
    </row>
    <row r="3">
      <c r="A3" s="13" t="s">
        <v>2306</v>
      </c>
      <c r="B3" s="15">
        <v>1.0</v>
      </c>
      <c r="C3" s="15">
        <v>1.0</v>
      </c>
      <c r="D3" s="15" t="s">
        <v>50</v>
      </c>
      <c r="E3" s="156" t="str">
        <f>VLOOKUP(A3,'List of documents'!C:K,9,0)</f>
        <v>included</v>
      </c>
      <c r="F3" s="157" t="str">
        <f>VLOOKUP(A3,'Annotation-old-Maria'!A:D,4,0)</f>
        <v>Included</v>
      </c>
      <c r="G3" s="14">
        <f t="shared" ref="G3:I3" si="2">IF(LOWER(D3)="included",1,0)</f>
        <v>1</v>
      </c>
      <c r="H3" s="14">
        <f t="shared" si="2"/>
        <v>1</v>
      </c>
      <c r="I3" s="14">
        <f t="shared" si="2"/>
        <v>1</v>
      </c>
      <c r="J3" s="14">
        <f t="shared" ref="J3:J4" si="4">IF(G3=H3,1,0)</f>
        <v>1</v>
      </c>
      <c r="K3" s="14">
        <f t="shared" ref="K3:K4" si="5">IF(G3=I3,1,0)</f>
        <v>1</v>
      </c>
      <c r="L3" s="14">
        <f t="shared" ref="L3:L4" si="6">IF(H3=I3,1,0)</f>
        <v>1</v>
      </c>
      <c r="M3" s="14">
        <f t="shared" ref="M3:M4" si="7">sum(J3:L3)/3</f>
        <v>1</v>
      </c>
      <c r="O3" s="158" t="s">
        <v>2492</v>
      </c>
      <c r="P3" s="159"/>
    </row>
    <row r="4">
      <c r="A4" s="16" t="s">
        <v>1370</v>
      </c>
      <c r="B4" s="15">
        <v>2.0</v>
      </c>
      <c r="C4" s="15">
        <v>1.0</v>
      </c>
      <c r="D4" s="15" t="s">
        <v>50</v>
      </c>
      <c r="E4" s="156" t="str">
        <f>VLOOKUP(A4,'List of documents'!C:K,9,0)</f>
        <v>included</v>
      </c>
      <c r="F4" s="157" t="str">
        <f>VLOOKUP(A4,'Annotation-old-Maria'!A:D,4,0)</f>
        <v>Included</v>
      </c>
      <c r="G4" s="14">
        <f t="shared" ref="G4:I4" si="3">IF(LOWER(D4)="included",1,0)</f>
        <v>1</v>
      </c>
      <c r="H4" s="14">
        <f t="shared" si="3"/>
        <v>1</v>
      </c>
      <c r="I4" s="14">
        <f t="shared" si="3"/>
        <v>1</v>
      </c>
      <c r="J4" s="14">
        <f t="shared" si="4"/>
        <v>1</v>
      </c>
      <c r="K4" s="14">
        <f t="shared" si="5"/>
        <v>1</v>
      </c>
      <c r="L4" s="14">
        <f t="shared" si="6"/>
        <v>1</v>
      </c>
      <c r="M4" s="14">
        <f t="shared" si="7"/>
        <v>1</v>
      </c>
      <c r="O4" s="160">
        <f>AVERAGE(M3:M205) * 100</f>
        <v>85.71428571</v>
      </c>
      <c r="P4" s="161"/>
    </row>
    <row r="5" hidden="1">
      <c r="A5" s="162" t="s">
        <v>605</v>
      </c>
      <c r="B5" s="15">
        <v>3.0</v>
      </c>
      <c r="E5" s="156" t="str">
        <f>VLOOKUP(A5,'List of documents'!C:K,9,0)</f>
        <v>included</v>
      </c>
      <c r="F5" s="157" t="str">
        <f>VLOOKUP(A5,'Annotation-old-Maria'!A:D,4,0)</f>
        <v/>
      </c>
      <c r="G5" s="14">
        <f t="shared" ref="G5:I5" si="8">IF(LOWER(D5)="included",1,0)</f>
        <v>0</v>
      </c>
      <c r="H5" s="14">
        <f t="shared" si="8"/>
        <v>1</v>
      </c>
      <c r="I5" s="14">
        <f t="shared" si="8"/>
        <v>0</v>
      </c>
    </row>
    <row r="6" hidden="1">
      <c r="A6" s="52" t="s">
        <v>224</v>
      </c>
      <c r="B6" s="15">
        <v>4.0</v>
      </c>
      <c r="E6" s="156" t="str">
        <f>VLOOKUP(A6,'List of documents'!C:K,9,0)</f>
        <v>included</v>
      </c>
      <c r="F6" s="157" t="str">
        <f>VLOOKUP(A6,'Annotation-old-Maria'!A:D,4,0)</f>
        <v/>
      </c>
      <c r="G6" s="14">
        <f t="shared" ref="G6:I6" si="9">IF(LOWER(D6)="included",1,0)</f>
        <v>0</v>
      </c>
      <c r="H6" s="14">
        <f t="shared" si="9"/>
        <v>1</v>
      </c>
      <c r="I6" s="14">
        <f t="shared" si="9"/>
        <v>0</v>
      </c>
    </row>
    <row r="7">
      <c r="A7" s="40" t="s">
        <v>118</v>
      </c>
      <c r="B7" s="15">
        <v>5.0</v>
      </c>
      <c r="C7" s="15">
        <v>1.0</v>
      </c>
      <c r="D7" s="15" t="s">
        <v>50</v>
      </c>
      <c r="E7" s="156" t="str">
        <f>VLOOKUP(A7,'List of documents'!C:K,9,0)</f>
        <v>not included</v>
      </c>
      <c r="F7" s="157" t="str">
        <f>VLOOKUP(A7,'Annotation-old-Maria'!A:D,4,0)</f>
        <v>Included</v>
      </c>
      <c r="G7" s="14">
        <f t="shared" ref="G7:I7" si="10">IF(LOWER(D7)="included",1,0)</f>
        <v>1</v>
      </c>
      <c r="H7" s="14">
        <f t="shared" si="10"/>
        <v>0</v>
      </c>
      <c r="I7" s="14">
        <f t="shared" si="10"/>
        <v>1</v>
      </c>
      <c r="J7" s="14">
        <f>IF(G7=H7,1,0)</f>
        <v>0</v>
      </c>
      <c r="K7" s="14">
        <f>IF(G7=I7,1,0)</f>
        <v>1</v>
      </c>
      <c r="L7" s="14">
        <f>IF(H7=I7,1,0)</f>
        <v>0</v>
      </c>
      <c r="M7" s="14">
        <f>sum(J7:L7)/3</f>
        <v>0.3333333333</v>
      </c>
    </row>
    <row r="8" hidden="1">
      <c r="A8" s="52" t="s">
        <v>1124</v>
      </c>
      <c r="B8" s="15">
        <v>6.0</v>
      </c>
      <c r="E8" s="156" t="str">
        <f>VLOOKUP(A8,'List of documents'!C:K,9,0)</f>
        <v>included</v>
      </c>
      <c r="F8" s="157" t="str">
        <f>VLOOKUP(A8,'Annotation-old-Maria'!A:D,4,0)</f>
        <v/>
      </c>
      <c r="G8" s="14">
        <f t="shared" ref="G8:I8" si="11">IF(LOWER(D8)="included",1,0)</f>
        <v>0</v>
      </c>
      <c r="H8" s="14">
        <f t="shared" si="11"/>
        <v>1</v>
      </c>
      <c r="I8" s="14">
        <f t="shared" si="11"/>
        <v>0</v>
      </c>
    </row>
    <row r="9" hidden="1">
      <c r="A9" s="42" t="s">
        <v>127</v>
      </c>
      <c r="B9" s="15">
        <v>7.0</v>
      </c>
      <c r="E9" s="156" t="str">
        <f>VLOOKUP(A9,'List of documents'!C:K,9,0)</f>
        <v>not included</v>
      </c>
      <c r="F9" s="157" t="str">
        <f>VLOOKUP(A9,'Annotation-old-Maria'!A:D,4,0)</f>
        <v/>
      </c>
      <c r="G9" s="14">
        <f t="shared" ref="G9:I9" si="12">IF(LOWER(D9)="included",1,0)</f>
        <v>0</v>
      </c>
      <c r="H9" s="14">
        <f t="shared" si="12"/>
        <v>0</v>
      </c>
      <c r="I9" s="14">
        <f t="shared" si="12"/>
        <v>0</v>
      </c>
    </row>
    <row r="10">
      <c r="A10" s="34" t="s">
        <v>131</v>
      </c>
      <c r="B10" s="15">
        <v>8.0</v>
      </c>
      <c r="C10" s="15">
        <v>1.0</v>
      </c>
      <c r="D10" s="15" t="s">
        <v>89</v>
      </c>
      <c r="E10" s="156" t="str">
        <f>VLOOKUP(A10,'List of documents'!C:K,9,0)</f>
        <v>not included</v>
      </c>
      <c r="F10" s="157" t="str">
        <f>VLOOKUP(A10,'Annotation-old-Maria'!A:D,4,0)</f>
        <v>Not included</v>
      </c>
      <c r="G10" s="14">
        <f t="shared" ref="G10:I10" si="13">IF(LOWER(D10)="included",1,0)</f>
        <v>0</v>
      </c>
      <c r="H10" s="14">
        <f t="shared" si="13"/>
        <v>0</v>
      </c>
      <c r="I10" s="14">
        <f t="shared" si="13"/>
        <v>0</v>
      </c>
      <c r="J10" s="14">
        <f>IF(G10=H10,1,0)</f>
        <v>1</v>
      </c>
      <c r="K10" s="14">
        <f>IF(G10=I10,1,0)</f>
        <v>1</v>
      </c>
      <c r="L10" s="14">
        <f>IF(H10=I10,1,0)</f>
        <v>1</v>
      </c>
      <c r="M10" s="14">
        <f>sum(J10:L10)/3</f>
        <v>1</v>
      </c>
    </row>
    <row r="11" hidden="1">
      <c r="A11" s="13" t="s">
        <v>907</v>
      </c>
      <c r="B11" s="15">
        <v>9.0</v>
      </c>
      <c r="E11" s="156" t="str">
        <f>VLOOKUP(A11,'List of documents'!C:K,9,0)</f>
        <v>included</v>
      </c>
      <c r="F11" s="157" t="str">
        <f>VLOOKUP(A11,'Annotation-old-Maria'!A:D,4,0)</f>
        <v/>
      </c>
      <c r="G11" s="14">
        <f t="shared" ref="G11:I11" si="14">IF(LOWER(D11)="included",1,0)</f>
        <v>0</v>
      </c>
      <c r="H11" s="14">
        <f t="shared" si="14"/>
        <v>1</v>
      </c>
      <c r="I11" s="14">
        <f t="shared" si="14"/>
        <v>0</v>
      </c>
    </row>
    <row r="12">
      <c r="A12" s="16" t="s">
        <v>910</v>
      </c>
      <c r="B12" s="15">
        <v>10.0</v>
      </c>
      <c r="C12" s="15">
        <v>1.0</v>
      </c>
      <c r="D12" s="15" t="s">
        <v>89</v>
      </c>
      <c r="E12" s="156" t="str">
        <f>VLOOKUP(A12,'List of documents'!C:K,9,0)</f>
        <v>included</v>
      </c>
      <c r="F12" s="157" t="str">
        <f>VLOOKUP(A12,'Annotation-old-Maria'!A:D,4,0)</f>
        <v>Not included</v>
      </c>
      <c r="G12" s="14">
        <f t="shared" ref="G12:I12" si="15">IF(LOWER(D12)="included",1,0)</f>
        <v>0</v>
      </c>
      <c r="H12" s="14">
        <f t="shared" si="15"/>
        <v>1</v>
      </c>
      <c r="I12" s="14">
        <f t="shared" si="15"/>
        <v>0</v>
      </c>
      <c r="J12" s="14">
        <f>IF(G12=H12,1,0)</f>
        <v>0</v>
      </c>
      <c r="K12" s="14">
        <f>IF(G12=I12,1,0)</f>
        <v>1</v>
      </c>
      <c r="L12" s="14">
        <f>IF(H12=I12,1,0)</f>
        <v>0</v>
      </c>
      <c r="M12" s="14">
        <f>sum(J12:L12)/3</f>
        <v>0.3333333333</v>
      </c>
    </row>
    <row r="13" hidden="1">
      <c r="A13" s="13" t="s">
        <v>2053</v>
      </c>
      <c r="B13" s="15">
        <v>11.0</v>
      </c>
      <c r="E13" s="156" t="str">
        <f>VLOOKUP(A13,'List of documents'!C:K,9,0)</f>
        <v>included</v>
      </c>
      <c r="F13" s="157" t="str">
        <f>VLOOKUP(A13,'Annotation-old-Maria'!A:D,4,0)</f>
        <v/>
      </c>
      <c r="G13" s="14">
        <f t="shared" ref="G13:I13" si="16">IF(LOWER(D13)="included",1,0)</f>
        <v>0</v>
      </c>
      <c r="H13" s="14">
        <f t="shared" si="16"/>
        <v>1</v>
      </c>
      <c r="I13" s="14">
        <f t="shared" si="16"/>
        <v>0</v>
      </c>
    </row>
    <row r="14">
      <c r="A14" s="30" t="s">
        <v>162</v>
      </c>
      <c r="B14" s="15">
        <v>12.0</v>
      </c>
      <c r="C14" s="15">
        <v>1.0</v>
      </c>
      <c r="D14" s="15" t="s">
        <v>50</v>
      </c>
      <c r="E14" s="156" t="str">
        <f>VLOOKUP(A14,'List of documents'!C:K,9,0)</f>
        <v>included</v>
      </c>
      <c r="F14" s="157" t="str">
        <f>VLOOKUP(A14,'Annotation-old-Maria'!A:D,4,0)</f>
        <v>Included</v>
      </c>
      <c r="G14" s="14">
        <f t="shared" ref="G14:I14" si="17">IF(LOWER(D14)="included",1,0)</f>
        <v>1</v>
      </c>
      <c r="H14" s="14">
        <f t="shared" si="17"/>
        <v>1</v>
      </c>
      <c r="I14" s="14">
        <f t="shared" si="17"/>
        <v>1</v>
      </c>
      <c r="J14" s="14">
        <f>IF(G14=H14,1,0)</f>
        <v>1</v>
      </c>
      <c r="K14" s="14">
        <f>IF(G14=I14,1,0)</f>
        <v>1</v>
      </c>
      <c r="L14" s="14">
        <f>IF(H14=I14,1,0)</f>
        <v>1</v>
      </c>
      <c r="M14" s="14">
        <f>sum(J14:L14)/3</f>
        <v>1</v>
      </c>
    </row>
    <row r="15" hidden="1">
      <c r="A15" s="80" t="s">
        <v>627</v>
      </c>
      <c r="B15" s="15">
        <v>13.0</v>
      </c>
      <c r="E15" s="156" t="str">
        <f>VLOOKUP(A15,'List of documents'!C:K,9,0)</f>
        <v>included</v>
      </c>
      <c r="F15" s="157" t="str">
        <f>VLOOKUP(A15,'Annotation-old-Maria'!A:D,4,0)</f>
        <v/>
      </c>
      <c r="G15" s="14">
        <f t="shared" ref="G15:I15" si="18">IF(LOWER(D15)="included",1,0)</f>
        <v>0</v>
      </c>
      <c r="H15" s="14">
        <f t="shared" si="18"/>
        <v>1</v>
      </c>
      <c r="I15" s="14">
        <f t="shared" si="18"/>
        <v>0</v>
      </c>
    </row>
    <row r="16" hidden="1">
      <c r="A16" s="51" t="s">
        <v>170</v>
      </c>
      <c r="B16" s="15">
        <v>14.0</v>
      </c>
      <c r="E16" s="156" t="str">
        <f>VLOOKUP(A16,'List of documents'!C:K,9,0)</f>
        <v>included</v>
      </c>
      <c r="F16" s="157" t="str">
        <f>VLOOKUP(A16,'Annotation-old-Maria'!A:D,4,0)</f>
        <v/>
      </c>
      <c r="G16" s="14">
        <f t="shared" ref="G16:I16" si="19">IF(LOWER(D16)="included",1,0)</f>
        <v>0</v>
      </c>
      <c r="H16" s="14">
        <f t="shared" si="19"/>
        <v>1</v>
      </c>
      <c r="I16" s="14">
        <f t="shared" si="19"/>
        <v>0</v>
      </c>
    </row>
    <row r="17" hidden="1">
      <c r="A17" s="51" t="s">
        <v>2382</v>
      </c>
      <c r="B17" s="15">
        <v>15.0</v>
      </c>
      <c r="E17" s="156" t="str">
        <f>VLOOKUP(A17,'List of documents'!C:K,9,0)</f>
        <v>included</v>
      </c>
      <c r="F17" s="157" t="str">
        <f>VLOOKUP(A17,'Annotation-old-Maria'!A:D,4,0)</f>
        <v/>
      </c>
      <c r="G17" s="14">
        <f t="shared" ref="G17:I17" si="20">IF(LOWER(D17)="included",1,0)</f>
        <v>0</v>
      </c>
      <c r="H17" s="14">
        <f t="shared" si="20"/>
        <v>1</v>
      </c>
      <c r="I17" s="14">
        <f t="shared" si="20"/>
        <v>0</v>
      </c>
    </row>
    <row r="18">
      <c r="A18" s="51" t="s">
        <v>1009</v>
      </c>
      <c r="B18" s="15">
        <v>16.0</v>
      </c>
      <c r="C18" s="15">
        <v>1.0</v>
      </c>
      <c r="D18" s="15" t="s">
        <v>50</v>
      </c>
      <c r="E18" s="156" t="str">
        <f>VLOOKUP(A18,'List of documents'!C:K,9,0)</f>
        <v>included</v>
      </c>
      <c r="F18" s="157" t="str">
        <f>VLOOKUP(A18,'Annotation-old-Maria'!A:D,4,0)</f>
        <v>Included</v>
      </c>
      <c r="G18" s="14">
        <f t="shared" ref="G18:I18" si="21">IF(LOWER(D18)="included",1,0)</f>
        <v>1</v>
      </c>
      <c r="H18" s="14">
        <f t="shared" si="21"/>
        <v>1</v>
      </c>
      <c r="I18" s="14">
        <f t="shared" si="21"/>
        <v>1</v>
      </c>
      <c r="J18" s="14">
        <f t="shared" ref="J18:J19" si="23">IF(G18=H18,1,0)</f>
        <v>1</v>
      </c>
      <c r="K18" s="14">
        <f t="shared" ref="K18:K19" si="24">IF(G18=I18,1,0)</f>
        <v>1</v>
      </c>
      <c r="L18" s="14">
        <f t="shared" ref="L18:L19" si="25">IF(H18=I18,1,0)</f>
        <v>1</v>
      </c>
      <c r="M18" s="14">
        <f t="shared" ref="M18:M19" si="26">sum(J18:L18)/3</f>
        <v>1</v>
      </c>
    </row>
    <row r="19">
      <c r="A19" s="51" t="s">
        <v>415</v>
      </c>
      <c r="B19" s="15">
        <v>17.0</v>
      </c>
      <c r="C19" s="15">
        <v>1.0</v>
      </c>
      <c r="D19" s="15" t="s">
        <v>50</v>
      </c>
      <c r="E19" s="156" t="str">
        <f>VLOOKUP(A19,'List of documents'!C:K,9,0)</f>
        <v>included</v>
      </c>
      <c r="F19" s="157" t="str">
        <f>VLOOKUP(A19,'Annotation-old-Maria'!A:D,4,0)</f>
        <v>Included</v>
      </c>
      <c r="G19" s="14">
        <f t="shared" ref="G19:I19" si="22">IF(LOWER(D19)="included",1,0)</f>
        <v>1</v>
      </c>
      <c r="H19" s="14">
        <f t="shared" si="22"/>
        <v>1</v>
      </c>
      <c r="I19" s="14">
        <f t="shared" si="22"/>
        <v>1</v>
      </c>
      <c r="J19" s="14">
        <f t="shared" si="23"/>
        <v>1</v>
      </c>
      <c r="K19" s="14">
        <f t="shared" si="24"/>
        <v>1</v>
      </c>
      <c r="L19" s="14">
        <f t="shared" si="25"/>
        <v>1</v>
      </c>
      <c r="M19" s="14">
        <f t="shared" si="26"/>
        <v>1</v>
      </c>
    </row>
    <row r="20" hidden="1">
      <c r="A20" s="51" t="s">
        <v>2493</v>
      </c>
      <c r="B20" s="15">
        <v>18.0</v>
      </c>
      <c r="E20" s="156" t="str">
        <f>VLOOKUP(A20,'List of documents'!C:K,9,0)</f>
        <v>#N/A</v>
      </c>
      <c r="F20" s="157" t="str">
        <f>VLOOKUP(A20,'Annotation-old-Maria'!A:D,4,0)</f>
        <v/>
      </c>
      <c r="G20" s="14">
        <f t="shared" ref="G20:I20" si="27">IF(LOWER(D20)="included",1,0)</f>
        <v>0</v>
      </c>
      <c r="H20" s="14" t="str">
        <f t="shared" si="27"/>
        <v>#N/A</v>
      </c>
      <c r="I20" s="14">
        <f t="shared" si="27"/>
        <v>0</v>
      </c>
    </row>
    <row r="21">
      <c r="A21" s="57" t="s">
        <v>2091</v>
      </c>
      <c r="B21" s="15">
        <v>19.0</v>
      </c>
      <c r="C21" s="15">
        <v>1.0</v>
      </c>
      <c r="D21" s="163" t="s">
        <v>50</v>
      </c>
      <c r="E21" s="156" t="str">
        <f>VLOOKUP(A21,'List of documents'!C:K,9,0)</f>
        <v>included</v>
      </c>
      <c r="F21" s="157" t="str">
        <f>VLOOKUP(A21,'Annotation-old-Maria'!A:D,4,0)</f>
        <v>Included</v>
      </c>
      <c r="G21" s="14">
        <f t="shared" ref="G21:I21" si="28">IF(LOWER(D21)="included",1,0)</f>
        <v>1</v>
      </c>
      <c r="H21" s="14">
        <f t="shared" si="28"/>
        <v>1</v>
      </c>
      <c r="I21" s="14">
        <f t="shared" si="28"/>
        <v>1</v>
      </c>
      <c r="J21" s="14">
        <f>IF(G21=H21,1,0)</f>
        <v>1</v>
      </c>
      <c r="K21" s="14">
        <f>IF(G21=I21,1,0)</f>
        <v>1</v>
      </c>
      <c r="L21" s="14">
        <f>IF(H21=I21,1,0)</f>
        <v>1</v>
      </c>
      <c r="M21" s="14">
        <f>sum(J21:L21)/3</f>
        <v>1</v>
      </c>
      <c r="O21" s="164" t="s">
        <v>2494</v>
      </c>
      <c r="P21" s="165"/>
      <c r="Q21" s="165"/>
      <c r="R21" s="165"/>
      <c r="S21" s="165"/>
      <c r="T21" s="165"/>
      <c r="U21" s="165"/>
      <c r="V21" s="166"/>
    </row>
    <row r="22" hidden="1">
      <c r="A22" s="42" t="s">
        <v>829</v>
      </c>
      <c r="B22" s="15">
        <v>20.0</v>
      </c>
      <c r="E22" s="156" t="str">
        <f>VLOOKUP(A22,'List of documents'!C:K,9,0)</f>
        <v>included</v>
      </c>
      <c r="F22" s="157" t="str">
        <f>VLOOKUP(A22,'Annotation-old-Maria'!A:D,4,0)</f>
        <v/>
      </c>
      <c r="G22" s="14">
        <f t="shared" ref="G22:I22" si="29">IF(LOWER(D22)="included",1,0)</f>
        <v>0</v>
      </c>
      <c r="H22" s="14">
        <f t="shared" si="29"/>
        <v>1</v>
      </c>
      <c r="I22" s="14">
        <f t="shared" si="29"/>
        <v>0</v>
      </c>
      <c r="O22" s="167"/>
      <c r="V22" s="168"/>
    </row>
    <row r="23">
      <c r="A23" s="51" t="s">
        <v>1900</v>
      </c>
      <c r="B23" s="15">
        <v>21.0</v>
      </c>
      <c r="C23" s="15">
        <v>1.0</v>
      </c>
      <c r="D23" s="15" t="s">
        <v>50</v>
      </c>
      <c r="E23" s="156" t="str">
        <f>VLOOKUP(A23,'List of documents'!C:K,9,0)</f>
        <v>included</v>
      </c>
      <c r="F23" s="157" t="str">
        <f>VLOOKUP(A23,'Annotation-old-Maria'!A:D,4,0)</f>
        <v>Included</v>
      </c>
      <c r="G23" s="14">
        <f t="shared" ref="G23:I23" si="30">IF(LOWER(D23)="included",1,0)</f>
        <v>1</v>
      </c>
      <c r="H23" s="14">
        <f t="shared" si="30"/>
        <v>1</v>
      </c>
      <c r="I23" s="14">
        <f t="shared" si="30"/>
        <v>1</v>
      </c>
      <c r="J23" s="14">
        <f t="shared" ref="J23:J25" si="32">IF(G23=H23,1,0)</f>
        <v>1</v>
      </c>
      <c r="K23" s="14">
        <f t="shared" ref="K23:K25" si="33">IF(G23=I23,1,0)</f>
        <v>1</v>
      </c>
      <c r="L23" s="14">
        <f t="shared" ref="L23:L25" si="34">IF(H23=I23,1,0)</f>
        <v>1</v>
      </c>
      <c r="M23" s="14">
        <f t="shared" ref="M23:M25" si="35">sum(J23:L23)/3</f>
        <v>1</v>
      </c>
      <c r="O23" s="169"/>
      <c r="P23" s="156"/>
      <c r="Q23" s="156"/>
      <c r="R23" s="156"/>
      <c r="S23" s="156"/>
      <c r="T23" s="156"/>
      <c r="U23" s="156"/>
      <c r="V23" s="170"/>
    </row>
    <row r="24">
      <c r="A24" s="81" t="s">
        <v>495</v>
      </c>
      <c r="B24" s="15">
        <v>22.0</v>
      </c>
      <c r="C24" s="15">
        <v>1.0</v>
      </c>
      <c r="D24" s="15" t="s">
        <v>50</v>
      </c>
      <c r="E24" s="156" t="str">
        <f>VLOOKUP(A24,'List of documents'!C:K,9,0)</f>
        <v>included</v>
      </c>
      <c r="F24" s="157" t="str">
        <f>VLOOKUP(A24,'Annotation-old-Maria'!A:D,4,0)</f>
        <v>Included</v>
      </c>
      <c r="G24" s="14">
        <f t="shared" ref="G24:I24" si="31">IF(LOWER(D24)="included",1,0)</f>
        <v>1</v>
      </c>
      <c r="H24" s="14">
        <f t="shared" si="31"/>
        <v>1</v>
      </c>
      <c r="I24" s="14">
        <f t="shared" si="31"/>
        <v>1</v>
      </c>
      <c r="J24" s="14">
        <f t="shared" si="32"/>
        <v>1</v>
      </c>
      <c r="K24" s="14">
        <f t="shared" si="33"/>
        <v>1</v>
      </c>
      <c r="L24" s="14">
        <f t="shared" si="34"/>
        <v>1</v>
      </c>
      <c r="M24" s="14">
        <f t="shared" si="35"/>
        <v>1</v>
      </c>
      <c r="O24" s="169"/>
      <c r="P24" s="156"/>
      <c r="Q24" s="156"/>
      <c r="R24" s="156"/>
      <c r="S24" s="156"/>
      <c r="T24" s="156"/>
      <c r="U24" s="156"/>
      <c r="V24" s="170"/>
    </row>
    <row r="25">
      <c r="A25" s="44" t="s">
        <v>195</v>
      </c>
      <c r="B25" s="15">
        <v>23.0</v>
      </c>
      <c r="C25" s="15">
        <v>1.0</v>
      </c>
      <c r="D25" s="15" t="s">
        <v>89</v>
      </c>
      <c r="E25" s="156" t="str">
        <f>VLOOKUP(A25,'List of documents'!C:K,9,0)</f>
        <v>not included</v>
      </c>
      <c r="F25" s="157" t="str">
        <f>VLOOKUP(A25,'Annotation-old-Maria'!A:D,4,0)</f>
        <v>Not included</v>
      </c>
      <c r="G25" s="14">
        <f t="shared" ref="G25:I25" si="36">IF(LOWER(D25)="included",1,0)</f>
        <v>0</v>
      </c>
      <c r="H25" s="14">
        <f t="shared" si="36"/>
        <v>0</v>
      </c>
      <c r="I25" s="14">
        <f t="shared" si="36"/>
        <v>0</v>
      </c>
      <c r="J25" s="14">
        <f t="shared" si="32"/>
        <v>1</v>
      </c>
      <c r="K25" s="14">
        <f t="shared" si="33"/>
        <v>1</v>
      </c>
      <c r="L25" s="14">
        <f t="shared" si="34"/>
        <v>1</v>
      </c>
      <c r="M25" s="14">
        <f t="shared" si="35"/>
        <v>1</v>
      </c>
      <c r="O25" s="169"/>
      <c r="P25" s="156"/>
      <c r="Q25" s="156"/>
      <c r="R25" s="156"/>
      <c r="S25" s="156"/>
      <c r="T25" s="156"/>
      <c r="U25" s="156"/>
      <c r="V25" s="170"/>
    </row>
    <row r="26" hidden="1">
      <c r="A26" s="46" t="s">
        <v>199</v>
      </c>
      <c r="B26" s="15">
        <v>24.0</v>
      </c>
      <c r="E26" s="156" t="str">
        <f>VLOOKUP(A26,'List of documents'!C:K,9,0)</f>
        <v>not included</v>
      </c>
      <c r="F26" s="157" t="str">
        <f>VLOOKUP(A26,'Annotation-old-Maria'!A:D,4,0)</f>
        <v/>
      </c>
      <c r="G26" s="14">
        <f t="shared" ref="G26:I26" si="37">IF(LOWER(D26)="included",1,0)</f>
        <v>0</v>
      </c>
      <c r="H26" s="14">
        <f t="shared" si="37"/>
        <v>0</v>
      </c>
      <c r="I26" s="14">
        <f t="shared" si="37"/>
        <v>0</v>
      </c>
      <c r="O26" s="167"/>
      <c r="V26" s="168"/>
    </row>
    <row r="27">
      <c r="A27" s="40" t="s">
        <v>1677</v>
      </c>
      <c r="B27" s="15">
        <v>25.0</v>
      </c>
      <c r="C27" s="15">
        <v>1.0</v>
      </c>
      <c r="D27" s="15" t="s">
        <v>50</v>
      </c>
      <c r="E27" s="156" t="str">
        <f>VLOOKUP(A27,'List of documents'!C:K,9,0)</f>
        <v>included</v>
      </c>
      <c r="F27" s="157" t="str">
        <f>VLOOKUP(A27,'Annotation-old-Maria'!A:D,4,0)</f>
        <v>Not included</v>
      </c>
      <c r="G27" s="14">
        <f t="shared" ref="G27:I27" si="38">IF(LOWER(D27)="included",1,0)</f>
        <v>1</v>
      </c>
      <c r="H27" s="14">
        <f t="shared" si="38"/>
        <v>1</v>
      </c>
      <c r="I27" s="14">
        <f t="shared" si="38"/>
        <v>0</v>
      </c>
      <c r="J27" s="14">
        <f>IF(G27=H27,1,0)</f>
        <v>1</v>
      </c>
      <c r="K27" s="14">
        <f>IF(G27=I27,1,0)</f>
        <v>0</v>
      </c>
      <c r="L27" s="14">
        <f>IF(H27=I27,1,0)</f>
        <v>0</v>
      </c>
      <c r="M27" s="14">
        <f>sum(J27:L27)/3</f>
        <v>0.3333333333</v>
      </c>
      <c r="O27" s="169"/>
      <c r="P27" s="156"/>
      <c r="Q27" s="156"/>
      <c r="R27" s="156"/>
      <c r="S27" s="156"/>
      <c r="T27" s="156"/>
      <c r="U27" s="156"/>
      <c r="V27" s="170"/>
    </row>
    <row r="28" hidden="1">
      <c r="A28" s="162" t="s">
        <v>2067</v>
      </c>
      <c r="B28" s="15">
        <v>26.0</v>
      </c>
      <c r="E28" s="156" t="str">
        <f>VLOOKUP(A28,'List of documents'!C:K,9,0)</f>
        <v>included</v>
      </c>
      <c r="F28" s="157" t="str">
        <f>VLOOKUP(A28,'Annotation-old-Maria'!A:D,4,0)</f>
        <v/>
      </c>
      <c r="G28" s="14">
        <f t="shared" ref="G28:I28" si="39">IF(LOWER(D28)="included",1,0)</f>
        <v>0</v>
      </c>
      <c r="H28" s="14">
        <f t="shared" si="39"/>
        <v>1</v>
      </c>
      <c r="I28" s="14">
        <f t="shared" si="39"/>
        <v>0</v>
      </c>
      <c r="O28" s="167"/>
      <c r="V28" s="168"/>
    </row>
    <row r="29" hidden="1">
      <c r="A29" s="48" t="s">
        <v>215</v>
      </c>
      <c r="B29" s="15">
        <v>27.0</v>
      </c>
      <c r="E29" s="156" t="str">
        <f>VLOOKUP(A29,'List of documents'!C:K,9,0)</f>
        <v>not included</v>
      </c>
      <c r="F29" s="157" t="str">
        <f>VLOOKUP(A29,'Annotation-old-Maria'!A:D,4,0)</f>
        <v/>
      </c>
      <c r="G29" s="14">
        <f t="shared" ref="G29:I29" si="40">IF(LOWER(D29)="included",1,0)</f>
        <v>0</v>
      </c>
      <c r="H29" s="14">
        <f t="shared" si="40"/>
        <v>0</v>
      </c>
      <c r="I29" s="14">
        <f t="shared" si="40"/>
        <v>0</v>
      </c>
      <c r="O29" s="167"/>
      <c r="V29" s="168"/>
    </row>
    <row r="30" hidden="1">
      <c r="A30" s="171" t="s">
        <v>2009</v>
      </c>
      <c r="B30" s="15">
        <v>28.0</v>
      </c>
      <c r="E30" s="156" t="str">
        <f>VLOOKUP(A30,'List of documents'!C:K,9,0)</f>
        <v>included</v>
      </c>
      <c r="F30" s="157" t="str">
        <f>VLOOKUP(A30,'Annotation-old-Maria'!A:D,4,0)</f>
        <v/>
      </c>
      <c r="G30" s="14">
        <f t="shared" ref="G30:I30" si="41">IF(LOWER(D30)="included",1,0)</f>
        <v>0</v>
      </c>
      <c r="H30" s="14">
        <f t="shared" si="41"/>
        <v>1</v>
      </c>
      <c r="I30" s="14">
        <f t="shared" si="41"/>
        <v>0</v>
      </c>
      <c r="O30" s="167"/>
      <c r="V30" s="168"/>
    </row>
    <row r="31">
      <c r="A31" s="42" t="s">
        <v>222</v>
      </c>
      <c r="B31" s="15">
        <v>29.0</v>
      </c>
      <c r="C31" s="15">
        <v>1.0</v>
      </c>
      <c r="D31" s="15" t="s">
        <v>89</v>
      </c>
      <c r="E31" s="156" t="str">
        <f>VLOOKUP(A31,'List of documents'!C:K,9,0)</f>
        <v>not included</v>
      </c>
      <c r="F31" s="157" t="str">
        <f>VLOOKUP(A31,'Annotation-old-Maria'!A:D,4,0)</f>
        <v>Included</v>
      </c>
      <c r="G31" s="14">
        <f t="shared" ref="G31:I31" si="42">IF(LOWER(D31)="included",1,0)</f>
        <v>0</v>
      </c>
      <c r="H31" s="14">
        <f t="shared" si="42"/>
        <v>0</v>
      </c>
      <c r="I31" s="14">
        <f t="shared" si="42"/>
        <v>1</v>
      </c>
      <c r="J31" s="14">
        <f t="shared" ref="J31:J33" si="44">IF(G31=H31,1,0)</f>
        <v>1</v>
      </c>
      <c r="K31" s="14">
        <f t="shared" ref="K31:K33" si="45">IF(G31=I31,1,0)</f>
        <v>0</v>
      </c>
      <c r="L31" s="14">
        <f t="shared" ref="L31:L33" si="46">IF(H31=I31,1,0)</f>
        <v>0</v>
      </c>
      <c r="M31" s="14">
        <f t="shared" ref="M31:M33" si="47">sum(J31:L31)/3</f>
        <v>0.3333333333</v>
      </c>
      <c r="O31" s="169"/>
      <c r="P31" s="156"/>
      <c r="Q31" s="156"/>
      <c r="R31" s="156"/>
      <c r="S31" s="156"/>
      <c r="T31" s="156"/>
      <c r="U31" s="156"/>
      <c r="V31" s="170"/>
    </row>
    <row r="32">
      <c r="A32" s="51" t="s">
        <v>422</v>
      </c>
      <c r="B32" s="15">
        <v>30.0</v>
      </c>
      <c r="C32" s="15">
        <v>1.0</v>
      </c>
      <c r="D32" s="15" t="s">
        <v>50</v>
      </c>
      <c r="E32" s="156" t="str">
        <f>VLOOKUP(A32,'List of documents'!C:K,9,0)</f>
        <v>included</v>
      </c>
      <c r="F32" s="157" t="str">
        <f>VLOOKUP(A32,'Annotation-old-Maria'!A:D,4,0)</f>
        <v>Included</v>
      </c>
      <c r="G32" s="14">
        <f t="shared" ref="G32:I32" si="43">IF(LOWER(D32)="included",1,0)</f>
        <v>1</v>
      </c>
      <c r="H32" s="14">
        <f t="shared" si="43"/>
        <v>1</v>
      </c>
      <c r="I32" s="14">
        <f t="shared" si="43"/>
        <v>1</v>
      </c>
      <c r="J32" s="14">
        <f t="shared" si="44"/>
        <v>1</v>
      </c>
      <c r="K32" s="14">
        <f t="shared" si="45"/>
        <v>1</v>
      </c>
      <c r="L32" s="14">
        <f t="shared" si="46"/>
        <v>1</v>
      </c>
      <c r="M32" s="14">
        <f t="shared" si="47"/>
        <v>1</v>
      </c>
      <c r="O32" s="169"/>
      <c r="P32" s="156"/>
      <c r="Q32" s="156"/>
      <c r="R32" s="156"/>
      <c r="S32" s="156"/>
      <c r="T32" s="156"/>
      <c r="U32" s="156"/>
      <c r="V32" s="170"/>
    </row>
    <row r="33">
      <c r="A33" s="16" t="s">
        <v>2495</v>
      </c>
      <c r="B33" s="15">
        <v>31.0</v>
      </c>
      <c r="C33" s="15">
        <v>1.0</v>
      </c>
      <c r="D33" s="15" t="s">
        <v>50</v>
      </c>
      <c r="E33" s="15" t="s">
        <v>50</v>
      </c>
      <c r="F33" s="157" t="str">
        <f>VLOOKUP(A33,'Annotation-old-Maria'!A:D,4,0)</f>
        <v>Included</v>
      </c>
      <c r="G33" s="14">
        <f t="shared" ref="G33:I33" si="48">IF(LOWER(D33)="included",1,0)</f>
        <v>1</v>
      </c>
      <c r="H33" s="14">
        <f t="shared" si="48"/>
        <v>1</v>
      </c>
      <c r="I33" s="14">
        <f t="shared" si="48"/>
        <v>1</v>
      </c>
      <c r="J33" s="14">
        <f t="shared" si="44"/>
        <v>1</v>
      </c>
      <c r="K33" s="14">
        <f t="shared" si="45"/>
        <v>1</v>
      </c>
      <c r="L33" s="14">
        <f t="shared" si="46"/>
        <v>1</v>
      </c>
      <c r="M33" s="14">
        <f t="shared" si="47"/>
        <v>1</v>
      </c>
      <c r="O33" s="169"/>
      <c r="P33" s="156"/>
      <c r="Q33" s="156"/>
      <c r="R33" s="156"/>
      <c r="S33" s="156"/>
      <c r="T33" s="156"/>
      <c r="U33" s="156"/>
      <c r="V33" s="170"/>
    </row>
    <row r="34" hidden="1">
      <c r="A34" s="16" t="s">
        <v>710</v>
      </c>
      <c r="B34" s="15">
        <v>32.0</v>
      </c>
      <c r="E34" s="156" t="str">
        <f>VLOOKUP(A34,'List of documents'!C:K,9,0)</f>
        <v>included</v>
      </c>
      <c r="F34" s="157" t="str">
        <f>VLOOKUP(A34,'Annotation-old-Maria'!A:D,4,0)</f>
        <v/>
      </c>
      <c r="G34" s="14">
        <f t="shared" ref="G34:I34" si="49">IF(LOWER(D34)="included",1,0)</f>
        <v>0</v>
      </c>
      <c r="H34" s="14">
        <f t="shared" si="49"/>
        <v>1</v>
      </c>
      <c r="I34" s="14">
        <f t="shared" si="49"/>
        <v>0</v>
      </c>
      <c r="O34" s="167"/>
      <c r="V34" s="168"/>
    </row>
    <row r="35" hidden="1">
      <c r="A35" s="44" t="s">
        <v>1601</v>
      </c>
      <c r="B35" s="15">
        <v>33.0</v>
      </c>
      <c r="E35" s="156" t="str">
        <f>VLOOKUP(A35,'List of documents'!C:K,9,0)</f>
        <v>included</v>
      </c>
      <c r="F35" s="157" t="str">
        <f>VLOOKUP(A35,'Annotation-old-Maria'!A:D,4,0)</f>
        <v/>
      </c>
      <c r="G35" s="14">
        <f t="shared" ref="G35:I35" si="50">IF(LOWER(D35)="included",1,0)</f>
        <v>0</v>
      </c>
      <c r="H35" s="14">
        <f t="shared" si="50"/>
        <v>1</v>
      </c>
      <c r="I35" s="14">
        <f t="shared" si="50"/>
        <v>0</v>
      </c>
      <c r="O35" s="167"/>
      <c r="V35" s="168"/>
    </row>
    <row r="36" hidden="1">
      <c r="A36" s="52" t="s">
        <v>2208</v>
      </c>
      <c r="B36" s="15">
        <v>34.0</v>
      </c>
      <c r="E36" s="156" t="str">
        <f>VLOOKUP(A36,'List of documents'!C:K,9,0)</f>
        <v>included</v>
      </c>
      <c r="F36" s="157" t="str">
        <f>VLOOKUP(A36,'Annotation-old-Maria'!A:D,4,0)</f>
        <v/>
      </c>
      <c r="G36" s="14">
        <f t="shared" ref="G36:I36" si="51">IF(LOWER(D36)="included",1,0)</f>
        <v>0</v>
      </c>
      <c r="H36" s="14">
        <f t="shared" si="51"/>
        <v>1</v>
      </c>
      <c r="I36" s="14">
        <f t="shared" si="51"/>
        <v>0</v>
      </c>
      <c r="O36" s="167"/>
      <c r="V36" s="168"/>
    </row>
    <row r="37" hidden="1">
      <c r="A37" s="40" t="s">
        <v>2155</v>
      </c>
      <c r="B37" s="15">
        <v>35.0</v>
      </c>
      <c r="E37" s="156" t="str">
        <f>VLOOKUP(A37,'List of documents'!C:K,9,0)</f>
        <v>included</v>
      </c>
      <c r="F37" s="157" t="str">
        <f>VLOOKUP(A37,'Annotation-old-Maria'!A:D,4,0)</f>
        <v/>
      </c>
      <c r="G37" s="14">
        <f t="shared" ref="G37:I37" si="52">IF(LOWER(D37)="included",1,0)</f>
        <v>0</v>
      </c>
      <c r="H37" s="14">
        <f t="shared" si="52"/>
        <v>1</v>
      </c>
      <c r="I37" s="14">
        <f t="shared" si="52"/>
        <v>0</v>
      </c>
      <c r="O37" s="167"/>
      <c r="V37" s="168"/>
    </row>
    <row r="38" hidden="1">
      <c r="A38" s="44" t="s">
        <v>1337</v>
      </c>
      <c r="B38" s="15">
        <v>36.0</v>
      </c>
      <c r="E38" s="156" t="str">
        <f>VLOOKUP(A38,'List of documents'!C:K,9,0)</f>
        <v>included</v>
      </c>
      <c r="F38" s="157" t="str">
        <f>VLOOKUP(A38,'Annotation-old-Maria'!A:D,4,0)</f>
        <v/>
      </c>
      <c r="G38" s="14">
        <f t="shared" ref="G38:I38" si="53">IF(LOWER(D38)="included",1,0)</f>
        <v>0</v>
      </c>
      <c r="H38" s="14">
        <f t="shared" si="53"/>
        <v>1</v>
      </c>
      <c r="I38" s="14">
        <f t="shared" si="53"/>
        <v>0</v>
      </c>
      <c r="O38" s="167"/>
      <c r="V38" s="168"/>
    </row>
    <row r="39" hidden="1">
      <c r="A39" s="40" t="s">
        <v>1062</v>
      </c>
      <c r="B39" s="15">
        <v>37.0</v>
      </c>
      <c r="E39" s="156" t="str">
        <f>VLOOKUP(A39,'List of documents'!C:K,9,0)</f>
        <v>included</v>
      </c>
      <c r="F39" s="157" t="str">
        <f>VLOOKUP(A39,'Annotation-old-Maria'!A:D,4,0)</f>
        <v/>
      </c>
      <c r="G39" s="14">
        <f t="shared" ref="G39:I39" si="54">IF(LOWER(D39)="included",1,0)</f>
        <v>0</v>
      </c>
      <c r="H39" s="14">
        <f t="shared" si="54"/>
        <v>1</v>
      </c>
      <c r="I39" s="14">
        <f t="shared" si="54"/>
        <v>0</v>
      </c>
      <c r="O39" s="167"/>
      <c r="V39" s="168"/>
    </row>
    <row r="40" hidden="1">
      <c r="A40" s="44" t="s">
        <v>674</v>
      </c>
      <c r="B40" s="15">
        <v>38.0</v>
      </c>
      <c r="E40" s="156" t="str">
        <f>VLOOKUP(A40,'List of documents'!C:K,9,0)</f>
        <v>included</v>
      </c>
      <c r="F40" s="157" t="str">
        <f>VLOOKUP(A40,'Annotation-old-Maria'!A:D,4,0)</f>
        <v/>
      </c>
      <c r="G40" s="14">
        <f t="shared" ref="G40:I40" si="55">IF(LOWER(D40)="included",1,0)</f>
        <v>0</v>
      </c>
      <c r="H40" s="14">
        <f t="shared" si="55"/>
        <v>1</v>
      </c>
      <c r="I40" s="14">
        <f t="shared" si="55"/>
        <v>0</v>
      </c>
      <c r="O40" s="167"/>
      <c r="V40" s="168"/>
    </row>
    <row r="41" hidden="1">
      <c r="A41" s="44" t="s">
        <v>585</v>
      </c>
      <c r="B41" s="15">
        <v>39.0</v>
      </c>
      <c r="E41" s="156" t="str">
        <f>VLOOKUP(A41,'List of documents'!C:K,9,0)</f>
        <v>maybe</v>
      </c>
      <c r="F41" s="157" t="str">
        <f>VLOOKUP(A41,'Annotation-old-Maria'!A:D,4,0)</f>
        <v/>
      </c>
      <c r="G41" s="14">
        <f t="shared" ref="G41:I41" si="56">IF(LOWER(D41)="included",1,0)</f>
        <v>0</v>
      </c>
      <c r="H41" s="14">
        <f t="shared" si="56"/>
        <v>0</v>
      </c>
      <c r="I41" s="14">
        <f t="shared" si="56"/>
        <v>0</v>
      </c>
      <c r="O41" s="167"/>
      <c r="V41" s="168"/>
    </row>
    <row r="42" hidden="1">
      <c r="A42" s="42" t="s">
        <v>588</v>
      </c>
      <c r="B42" s="15">
        <v>40.0</v>
      </c>
      <c r="E42" s="156" t="str">
        <f>VLOOKUP(A42,'List of documents'!C:K,9,0)</f>
        <v>not included</v>
      </c>
      <c r="F42" s="157" t="str">
        <f>VLOOKUP(A42,'Annotation-old-Maria'!A:D,4,0)</f>
        <v/>
      </c>
      <c r="G42" s="14">
        <f t="shared" ref="G42:I42" si="57">IF(LOWER(D42)="included",1,0)</f>
        <v>0</v>
      </c>
      <c r="H42" s="14">
        <f t="shared" si="57"/>
        <v>0</v>
      </c>
      <c r="I42" s="14">
        <f t="shared" si="57"/>
        <v>0</v>
      </c>
      <c r="O42" s="167"/>
      <c r="V42" s="168"/>
    </row>
    <row r="43">
      <c r="A43" s="40" t="s">
        <v>595</v>
      </c>
      <c r="B43" s="15">
        <v>41.0</v>
      </c>
      <c r="C43" s="15">
        <v>1.0</v>
      </c>
      <c r="D43" s="15" t="s">
        <v>89</v>
      </c>
      <c r="E43" s="156" t="str">
        <f>VLOOKUP(A43,'List of documents'!C:K,9,0)</f>
        <v>not included</v>
      </c>
      <c r="F43" s="157" t="str">
        <f>VLOOKUP(A43,'Annotation-old-Maria'!A:D,4,0)</f>
        <v>Not included</v>
      </c>
      <c r="G43" s="14">
        <f t="shared" ref="G43:I43" si="58">IF(LOWER(D43)="included",1,0)</f>
        <v>0</v>
      </c>
      <c r="H43" s="14">
        <f t="shared" si="58"/>
        <v>0</v>
      </c>
      <c r="I43" s="14">
        <f t="shared" si="58"/>
        <v>0</v>
      </c>
      <c r="J43" s="14">
        <f>IF(G43=H43,1,0)</f>
        <v>1</v>
      </c>
      <c r="K43" s="14">
        <f>IF(G43=I43,1,0)</f>
        <v>1</v>
      </c>
      <c r="L43" s="14">
        <f>IF(H43=I43,1,0)</f>
        <v>1</v>
      </c>
      <c r="M43" s="14">
        <f>sum(J43:L43)/3</f>
        <v>1</v>
      </c>
      <c r="O43" s="169"/>
      <c r="P43" s="156"/>
      <c r="Q43" s="156"/>
      <c r="R43" s="156"/>
      <c r="S43" s="156"/>
      <c r="T43" s="156"/>
      <c r="U43" s="156"/>
      <c r="V43" s="170"/>
    </row>
    <row r="44" hidden="1">
      <c r="A44" s="44" t="s">
        <v>597</v>
      </c>
      <c r="B44" s="15">
        <v>42.0</v>
      </c>
      <c r="E44" s="156" t="str">
        <f>VLOOKUP(A44,'List of documents'!C:K,9,0)</f>
        <v>not included</v>
      </c>
      <c r="F44" s="157" t="str">
        <f>VLOOKUP(A44,'Annotation-old-Maria'!A:D,4,0)</f>
        <v/>
      </c>
      <c r="G44" s="14">
        <f t="shared" ref="G44:I44" si="59">IF(LOWER(D44)="included",1,0)</f>
        <v>0</v>
      </c>
      <c r="H44" s="14">
        <f t="shared" si="59"/>
        <v>0</v>
      </c>
      <c r="I44" s="14">
        <f t="shared" si="59"/>
        <v>0</v>
      </c>
      <c r="O44" s="167"/>
      <c r="V44" s="168"/>
    </row>
    <row r="45">
      <c r="A45" s="44" t="s">
        <v>600</v>
      </c>
      <c r="B45" s="15">
        <v>43.0</v>
      </c>
      <c r="C45" s="15">
        <v>1.0</v>
      </c>
      <c r="D45" s="15" t="s">
        <v>50</v>
      </c>
      <c r="E45" s="156" t="str">
        <f>VLOOKUP(A45,'List of documents'!C:K,9,0)</f>
        <v>not included</v>
      </c>
      <c r="F45" s="157" t="str">
        <f>VLOOKUP(A45,'Annotation-old-Maria'!A:D,4,0)</f>
        <v>Included</v>
      </c>
      <c r="G45" s="14">
        <f t="shared" ref="G45:I45" si="60">IF(LOWER(D45)="included",1,0)</f>
        <v>1</v>
      </c>
      <c r="H45" s="14">
        <f t="shared" si="60"/>
        <v>0</v>
      </c>
      <c r="I45" s="14">
        <f t="shared" si="60"/>
        <v>1</v>
      </c>
      <c r="J45" s="14">
        <f t="shared" ref="J45:J46" si="62">IF(G45=H45,1,0)</f>
        <v>0</v>
      </c>
      <c r="K45" s="14">
        <f t="shared" ref="K45:K46" si="63">IF(G45=I45,1,0)</f>
        <v>1</v>
      </c>
      <c r="L45" s="14">
        <f t="shared" ref="L45:L46" si="64">IF(H45=I45,1,0)</f>
        <v>0</v>
      </c>
      <c r="M45" s="14">
        <f t="shared" ref="M45:M46" si="65">sum(J45:L45)/3</f>
        <v>0.3333333333</v>
      </c>
      <c r="O45" s="169"/>
      <c r="P45" s="156"/>
      <c r="Q45" s="156"/>
      <c r="R45" s="156"/>
      <c r="S45" s="156"/>
      <c r="T45" s="156"/>
      <c r="U45" s="156"/>
      <c r="V45" s="170"/>
    </row>
    <row r="46">
      <c r="A46" s="44" t="s">
        <v>228</v>
      </c>
      <c r="B46" s="15">
        <v>44.0</v>
      </c>
      <c r="C46" s="15">
        <v>1.0</v>
      </c>
      <c r="D46" s="15" t="s">
        <v>50</v>
      </c>
      <c r="E46" s="156" t="str">
        <f>VLOOKUP(A46,'List of documents'!C:K,9,0)</f>
        <v>included</v>
      </c>
      <c r="F46" s="157" t="str">
        <f>VLOOKUP(A46,'Annotation-old-Maria'!A:D,4,0)</f>
        <v>Included</v>
      </c>
      <c r="G46" s="14">
        <f t="shared" ref="G46:I46" si="61">IF(LOWER(D46)="included",1,0)</f>
        <v>1</v>
      </c>
      <c r="H46" s="14">
        <f t="shared" si="61"/>
        <v>1</v>
      </c>
      <c r="I46" s="14">
        <f t="shared" si="61"/>
        <v>1</v>
      </c>
      <c r="J46" s="14">
        <f t="shared" si="62"/>
        <v>1</v>
      </c>
      <c r="K46" s="14">
        <f t="shared" si="63"/>
        <v>1</v>
      </c>
      <c r="L46" s="14">
        <f t="shared" si="64"/>
        <v>1</v>
      </c>
      <c r="M46" s="14">
        <f t="shared" si="65"/>
        <v>1</v>
      </c>
      <c r="O46" s="172"/>
      <c r="P46" s="173"/>
      <c r="Q46" s="173"/>
      <c r="R46" s="173"/>
      <c r="S46" s="173"/>
      <c r="T46" s="173"/>
      <c r="U46" s="173"/>
      <c r="V46" s="174"/>
    </row>
    <row r="47" hidden="1">
      <c r="A47" s="40" t="s">
        <v>2250</v>
      </c>
      <c r="B47" s="15">
        <v>45.0</v>
      </c>
      <c r="E47" s="156" t="str">
        <f>VLOOKUP(A47,'List of documents'!C:K,9,0)</f>
        <v>included</v>
      </c>
      <c r="F47" s="157" t="str">
        <f>VLOOKUP(A47,'Annotation-old-Maria'!A:D,4,0)</f>
        <v/>
      </c>
      <c r="G47" s="14">
        <f t="shared" ref="G47:I47" si="66">IF(LOWER(D47)="included",1,0)</f>
        <v>0</v>
      </c>
      <c r="H47" s="14">
        <f t="shared" si="66"/>
        <v>1</v>
      </c>
      <c r="I47" s="14">
        <f t="shared" si="66"/>
        <v>0</v>
      </c>
    </row>
    <row r="48" hidden="1">
      <c r="A48" s="44" t="s">
        <v>2093</v>
      </c>
      <c r="B48" s="15">
        <v>46.0</v>
      </c>
      <c r="E48" s="156" t="str">
        <f>VLOOKUP(A48,'List of documents'!C:K,9,0)</f>
        <v>included</v>
      </c>
      <c r="F48" s="157" t="str">
        <f>VLOOKUP(A48,'Annotation-old-Maria'!A:D,4,0)</f>
        <v/>
      </c>
      <c r="G48" s="14">
        <f t="shared" ref="G48:I48" si="67">IF(LOWER(D48)="included",1,0)</f>
        <v>0</v>
      </c>
      <c r="H48" s="14">
        <f t="shared" si="67"/>
        <v>1</v>
      </c>
      <c r="I48" s="14">
        <f t="shared" si="67"/>
        <v>0</v>
      </c>
    </row>
    <row r="49" hidden="1">
      <c r="A49" s="40" t="s">
        <v>2390</v>
      </c>
      <c r="B49" s="15">
        <v>47.0</v>
      </c>
      <c r="E49" s="156" t="str">
        <f>VLOOKUP(A49,'List of documents'!C:K,9,0)</f>
        <v>included</v>
      </c>
      <c r="F49" s="157" t="str">
        <f>VLOOKUP(A49,'Annotation-old-Maria'!A:D,4,0)</f>
        <v/>
      </c>
      <c r="G49" s="14">
        <f t="shared" ref="G49:I49" si="68">IF(LOWER(D49)="included",1,0)</f>
        <v>0</v>
      </c>
      <c r="H49" s="14">
        <f t="shared" si="68"/>
        <v>1</v>
      </c>
      <c r="I49" s="14">
        <f t="shared" si="68"/>
        <v>0</v>
      </c>
    </row>
    <row r="50">
      <c r="A50" s="40" t="s">
        <v>1050</v>
      </c>
      <c r="B50" s="15">
        <v>48.0</v>
      </c>
      <c r="C50" s="15">
        <v>1.0</v>
      </c>
      <c r="D50" s="15" t="s">
        <v>50</v>
      </c>
      <c r="E50" s="156" t="str">
        <f>VLOOKUP(A50,'List of documents'!C:K,9,0)</f>
        <v>included</v>
      </c>
      <c r="F50" s="157" t="str">
        <f>VLOOKUP(A50,'Annotation-old-Maria'!A:D,4,0)</f>
        <v>Included</v>
      </c>
      <c r="G50" s="14">
        <f t="shared" ref="G50:I50" si="69">IF(LOWER(D50)="included",1,0)</f>
        <v>1</v>
      </c>
      <c r="H50" s="14">
        <f t="shared" si="69"/>
        <v>1</v>
      </c>
      <c r="I50" s="14">
        <f t="shared" si="69"/>
        <v>1</v>
      </c>
      <c r="J50" s="14">
        <f>IF(G50=H50,1,0)</f>
        <v>1</v>
      </c>
      <c r="K50" s="14">
        <f>IF(G50=I50,1,0)</f>
        <v>1</v>
      </c>
      <c r="L50" s="14">
        <f>IF(H50=I50,1,0)</f>
        <v>1</v>
      </c>
      <c r="M50" s="14">
        <f>sum(J50:L50)/3</f>
        <v>1</v>
      </c>
    </row>
    <row r="51" hidden="1">
      <c r="A51" s="40" t="s">
        <v>1918</v>
      </c>
      <c r="B51" s="15">
        <v>49.0</v>
      </c>
      <c r="E51" s="156" t="str">
        <f>VLOOKUP(A51,'List of documents'!C:K,9,0)</f>
        <v>included</v>
      </c>
      <c r="F51" s="157" t="str">
        <f>VLOOKUP(A51,'Annotation-old-Maria'!A:D,4,0)</f>
        <v/>
      </c>
      <c r="G51" s="14">
        <f t="shared" ref="G51:I51" si="70">IF(LOWER(D51)="included",1,0)</f>
        <v>0</v>
      </c>
      <c r="H51" s="14">
        <f t="shared" si="70"/>
        <v>1</v>
      </c>
      <c r="I51" s="14">
        <f t="shared" si="70"/>
        <v>0</v>
      </c>
    </row>
    <row r="52" hidden="1">
      <c r="A52" s="42" t="s">
        <v>527</v>
      </c>
      <c r="B52" s="15">
        <v>50.0</v>
      </c>
      <c r="E52" s="156" t="str">
        <f>VLOOKUP(A52,'List of documents'!C:K,9,0)</f>
        <v>included</v>
      </c>
      <c r="F52" s="157" t="str">
        <f>VLOOKUP(A52,'Annotation-old-Maria'!A:D,4,0)</f>
        <v/>
      </c>
      <c r="G52" s="14">
        <f t="shared" ref="G52:I52" si="71">IF(LOWER(D52)="included",1,0)</f>
        <v>0</v>
      </c>
      <c r="H52" s="14">
        <f t="shared" si="71"/>
        <v>1</v>
      </c>
      <c r="I52" s="14">
        <f t="shared" si="71"/>
        <v>0</v>
      </c>
    </row>
    <row r="53">
      <c r="A53" s="42" t="s">
        <v>637</v>
      </c>
      <c r="B53" s="15">
        <v>51.0</v>
      </c>
      <c r="C53" s="15">
        <v>1.0</v>
      </c>
      <c r="D53" s="15" t="s">
        <v>89</v>
      </c>
      <c r="E53" s="156" t="str">
        <f>VLOOKUP(A53,'List of documents'!C:K,9,0)</f>
        <v>not included</v>
      </c>
      <c r="F53" s="157" t="str">
        <f>VLOOKUP(A53,'Annotation-old-Maria'!A:D,4,0)</f>
        <v>Not included</v>
      </c>
      <c r="G53" s="14">
        <f t="shared" ref="G53:I53" si="72">IF(LOWER(D53)="included",1,0)</f>
        <v>0</v>
      </c>
      <c r="H53" s="14">
        <f t="shared" si="72"/>
        <v>0</v>
      </c>
      <c r="I53" s="14">
        <f t="shared" si="72"/>
        <v>0</v>
      </c>
      <c r="J53" s="14">
        <f>IF(G53=H53,1,0)</f>
        <v>1</v>
      </c>
      <c r="K53" s="14">
        <f>IF(G53=I53,1,0)</f>
        <v>1</v>
      </c>
      <c r="L53" s="14">
        <f>IF(H53=I53,1,0)</f>
        <v>1</v>
      </c>
      <c r="M53" s="14">
        <f>sum(J53:L53)/3</f>
        <v>1</v>
      </c>
    </row>
    <row r="54" hidden="1">
      <c r="A54" s="42" t="s">
        <v>645</v>
      </c>
      <c r="B54" s="15">
        <v>52.0</v>
      </c>
      <c r="E54" s="156" t="str">
        <f>VLOOKUP(A54,'List of documents'!C:K,9,0)</f>
        <v>not included</v>
      </c>
      <c r="F54" s="157" t="str">
        <f>VLOOKUP(A54,'Annotation-old-Maria'!A:D,4,0)</f>
        <v/>
      </c>
      <c r="G54" s="14">
        <f t="shared" ref="G54:I54" si="73">IF(LOWER(D54)="included",1,0)</f>
        <v>0</v>
      </c>
      <c r="H54" s="14">
        <f t="shared" si="73"/>
        <v>0</v>
      </c>
      <c r="I54" s="14">
        <f t="shared" si="73"/>
        <v>0</v>
      </c>
    </row>
    <row r="55" hidden="1">
      <c r="A55" s="42" t="s">
        <v>648</v>
      </c>
      <c r="B55" s="15">
        <v>53.0</v>
      </c>
      <c r="E55" s="156" t="str">
        <f>VLOOKUP(A55,'List of documents'!C:K,9,0)</f>
        <v>not included</v>
      </c>
      <c r="F55" s="157" t="str">
        <f>VLOOKUP(A55,'Annotation-old-Maria'!A:D,4,0)</f>
        <v/>
      </c>
      <c r="G55" s="14">
        <f t="shared" ref="G55:I55" si="74">IF(LOWER(D55)="included",1,0)</f>
        <v>0</v>
      </c>
      <c r="H55" s="14">
        <f t="shared" si="74"/>
        <v>0</v>
      </c>
      <c r="I55" s="14">
        <f t="shared" si="74"/>
        <v>0</v>
      </c>
    </row>
    <row r="56" hidden="1">
      <c r="A56" s="40" t="s">
        <v>179</v>
      </c>
      <c r="B56" s="15">
        <v>54.0</v>
      </c>
      <c r="E56" s="156" t="str">
        <f>VLOOKUP(A56,'List of documents'!C:K,9,0)</f>
        <v>included</v>
      </c>
      <c r="F56" s="157" t="str">
        <f>VLOOKUP(A56,'Annotation-old-Maria'!A:D,4,0)</f>
        <v/>
      </c>
      <c r="G56" s="14">
        <f t="shared" ref="G56:I56" si="75">IF(LOWER(D56)="included",1,0)</f>
        <v>0</v>
      </c>
      <c r="H56" s="14">
        <f t="shared" si="75"/>
        <v>1</v>
      </c>
      <c r="I56" s="14">
        <f t="shared" si="75"/>
        <v>0</v>
      </c>
    </row>
    <row r="57">
      <c r="A57" s="52" t="s">
        <v>655</v>
      </c>
      <c r="B57" s="15">
        <v>55.0</v>
      </c>
      <c r="C57" s="15">
        <v>1.0</v>
      </c>
      <c r="D57" s="15" t="s">
        <v>89</v>
      </c>
      <c r="E57" s="156" t="str">
        <f>VLOOKUP(A57,'List of documents'!C:K,9,0)</f>
        <v>not included</v>
      </c>
      <c r="F57" s="157" t="str">
        <f>VLOOKUP(A57,'Annotation-old-Maria'!A:D,4,0)</f>
        <v>Not included</v>
      </c>
      <c r="G57" s="14">
        <f t="shared" ref="G57:I57" si="76">IF(LOWER(D57)="included",1,0)</f>
        <v>0</v>
      </c>
      <c r="H57" s="14">
        <f t="shared" si="76"/>
        <v>0</v>
      </c>
      <c r="I57" s="14">
        <f t="shared" si="76"/>
        <v>0</v>
      </c>
      <c r="J57" s="14">
        <f t="shared" ref="J57:J59" si="78">IF(G57=H57,1,0)</f>
        <v>1</v>
      </c>
      <c r="K57" s="14">
        <f t="shared" ref="K57:K59" si="79">IF(G57=I57,1,0)</f>
        <v>1</v>
      </c>
      <c r="L57" s="14">
        <f t="shared" ref="L57:L59" si="80">IF(H57=I57,1,0)</f>
        <v>1</v>
      </c>
      <c r="M57" s="14">
        <f t="shared" ref="M57:M59" si="81">sum(J57:L57)/3</f>
        <v>1</v>
      </c>
    </row>
    <row r="58">
      <c r="A58" s="40" t="s">
        <v>661</v>
      </c>
      <c r="B58" s="15">
        <v>56.0</v>
      </c>
      <c r="C58" s="15">
        <v>1.0</v>
      </c>
      <c r="D58" s="15" t="s">
        <v>89</v>
      </c>
      <c r="E58" s="156" t="str">
        <f>VLOOKUP(A58,'List of documents'!C:K,9,0)</f>
        <v>not included</v>
      </c>
      <c r="F58" s="157" t="str">
        <f>VLOOKUP(A58,'Annotation-old-Maria'!A:D,4,0)</f>
        <v>Not included</v>
      </c>
      <c r="G58" s="14">
        <f t="shared" ref="G58:I58" si="77">IF(LOWER(D58)="included",1,0)</f>
        <v>0</v>
      </c>
      <c r="H58" s="14">
        <f t="shared" si="77"/>
        <v>0</v>
      </c>
      <c r="I58" s="14">
        <f t="shared" si="77"/>
        <v>0</v>
      </c>
      <c r="J58" s="14">
        <f t="shared" si="78"/>
        <v>1</v>
      </c>
      <c r="K58" s="14">
        <f t="shared" si="79"/>
        <v>1</v>
      </c>
      <c r="L58" s="14">
        <f t="shared" si="80"/>
        <v>1</v>
      </c>
      <c r="M58" s="14">
        <f t="shared" si="81"/>
        <v>1</v>
      </c>
    </row>
    <row r="59">
      <c r="A59" s="42" t="s">
        <v>727</v>
      </c>
      <c r="B59" s="15">
        <v>57.0</v>
      </c>
      <c r="C59" s="15">
        <v>1.0</v>
      </c>
      <c r="D59" s="15" t="s">
        <v>50</v>
      </c>
      <c r="E59" s="156" t="str">
        <f>VLOOKUP(A59,'List of documents'!C:K,9,0)</f>
        <v>included</v>
      </c>
      <c r="F59" s="157" t="str">
        <f>VLOOKUP(A59,'Annotation-old-Maria'!A:D,4,0)</f>
        <v>Included</v>
      </c>
      <c r="G59" s="14">
        <f t="shared" ref="G59:I59" si="82">IF(LOWER(D59)="included",1,0)</f>
        <v>1</v>
      </c>
      <c r="H59" s="14">
        <f t="shared" si="82"/>
        <v>1</v>
      </c>
      <c r="I59" s="14">
        <f t="shared" si="82"/>
        <v>1</v>
      </c>
      <c r="J59" s="14">
        <f t="shared" si="78"/>
        <v>1</v>
      </c>
      <c r="K59" s="14">
        <f t="shared" si="79"/>
        <v>1</v>
      </c>
      <c r="L59" s="14">
        <f t="shared" si="80"/>
        <v>1</v>
      </c>
      <c r="M59" s="14">
        <f t="shared" si="81"/>
        <v>1</v>
      </c>
    </row>
    <row r="60" hidden="1">
      <c r="A60" s="42" t="s">
        <v>685</v>
      </c>
      <c r="B60" s="15">
        <v>58.0</v>
      </c>
      <c r="E60" s="156" t="str">
        <f>VLOOKUP(A60,'List of documents'!C:K,9,0)</f>
        <v>not included</v>
      </c>
      <c r="F60" s="157" t="str">
        <f>VLOOKUP(A60,'Annotation-old-Maria'!A:D,4,0)</f>
        <v/>
      </c>
      <c r="G60" s="14">
        <f t="shared" ref="G60:I60" si="83">IF(LOWER(D60)="included",1,0)</f>
        <v>0</v>
      </c>
      <c r="H60" s="14">
        <f t="shared" si="83"/>
        <v>0</v>
      </c>
      <c r="I60" s="14">
        <f t="shared" si="83"/>
        <v>0</v>
      </c>
    </row>
    <row r="61">
      <c r="A61" s="30" t="s">
        <v>485</v>
      </c>
      <c r="B61" s="15">
        <v>59.0</v>
      </c>
      <c r="C61" s="15">
        <v>1.0</v>
      </c>
      <c r="D61" s="15" t="s">
        <v>50</v>
      </c>
      <c r="E61" s="156" t="str">
        <f>VLOOKUP(A61,'List of documents'!C:K,9,0)</f>
        <v>included</v>
      </c>
      <c r="F61" s="157" t="str">
        <f>VLOOKUP(A61,'Annotation-old-Maria'!A:D,4,0)</f>
        <v>Included</v>
      </c>
      <c r="G61" s="14">
        <f t="shared" ref="G61:I61" si="84">IF(LOWER(D61)="included",1,0)</f>
        <v>1</v>
      </c>
      <c r="H61" s="14">
        <f t="shared" si="84"/>
        <v>1</v>
      </c>
      <c r="I61" s="14">
        <f t="shared" si="84"/>
        <v>1</v>
      </c>
      <c r="J61" s="14">
        <f t="shared" ref="J61:J63" si="86">IF(G61=H61,1,0)</f>
        <v>1</v>
      </c>
      <c r="K61" s="14">
        <f t="shared" ref="K61:K63" si="87">IF(G61=I61,1,0)</f>
        <v>1</v>
      </c>
      <c r="L61" s="14">
        <f t="shared" ref="L61:L63" si="88">IF(H61=I61,1,0)</f>
        <v>1</v>
      </c>
      <c r="M61" s="14">
        <f t="shared" ref="M61:M63" si="89">sum(J61:L61)/3</f>
        <v>1</v>
      </c>
    </row>
    <row r="62">
      <c r="A62" s="42" t="s">
        <v>707</v>
      </c>
      <c r="B62" s="15">
        <v>60.0</v>
      </c>
      <c r="C62" s="15">
        <v>1.0</v>
      </c>
      <c r="D62" s="15" t="s">
        <v>89</v>
      </c>
      <c r="E62" s="156" t="str">
        <f>VLOOKUP(A62,'List of documents'!C:K,9,0)</f>
        <v>not included</v>
      </c>
      <c r="F62" s="157" t="str">
        <f>VLOOKUP(A62,'Annotation-old-Maria'!A:D,4,0)</f>
        <v>Not included</v>
      </c>
      <c r="G62" s="14">
        <f t="shared" ref="G62:I62" si="85">IF(LOWER(D62)="included",1,0)</f>
        <v>0</v>
      </c>
      <c r="H62" s="14">
        <f t="shared" si="85"/>
        <v>0</v>
      </c>
      <c r="I62" s="14">
        <f t="shared" si="85"/>
        <v>0</v>
      </c>
      <c r="J62" s="14">
        <f t="shared" si="86"/>
        <v>1</v>
      </c>
      <c r="K62" s="14">
        <f t="shared" si="87"/>
        <v>1</v>
      </c>
      <c r="L62" s="14">
        <f t="shared" si="88"/>
        <v>1</v>
      </c>
      <c r="M62" s="14">
        <f t="shared" si="89"/>
        <v>1</v>
      </c>
    </row>
    <row r="63">
      <c r="A63" s="42" t="s">
        <v>166</v>
      </c>
      <c r="B63" s="15">
        <v>61.0</v>
      </c>
      <c r="C63" s="15">
        <v>1.0</v>
      </c>
      <c r="D63" s="15" t="s">
        <v>89</v>
      </c>
      <c r="E63" s="156" t="str">
        <f>VLOOKUP(A63,'List of documents'!C:K,9,0)</f>
        <v>included</v>
      </c>
      <c r="F63" s="157" t="str">
        <f>VLOOKUP(A63,'Annotation-old-Maria'!A:D,4,0)</f>
        <v>Included</v>
      </c>
      <c r="G63" s="14">
        <f t="shared" ref="G63:I63" si="90">IF(LOWER(D63)="included",1,0)</f>
        <v>0</v>
      </c>
      <c r="H63" s="14">
        <f t="shared" si="90"/>
        <v>1</v>
      </c>
      <c r="I63" s="14">
        <f t="shared" si="90"/>
        <v>1</v>
      </c>
      <c r="J63" s="14">
        <f t="shared" si="86"/>
        <v>0</v>
      </c>
      <c r="K63" s="14">
        <f t="shared" si="87"/>
        <v>0</v>
      </c>
      <c r="L63" s="14">
        <f t="shared" si="88"/>
        <v>1</v>
      </c>
      <c r="M63" s="14">
        <f t="shared" si="89"/>
        <v>0.3333333333</v>
      </c>
    </row>
    <row r="64" hidden="1">
      <c r="A64" s="42" t="s">
        <v>723</v>
      </c>
      <c r="B64" s="15">
        <v>62.0</v>
      </c>
      <c r="E64" s="156" t="str">
        <f>VLOOKUP(A64,'List of documents'!C:K,9,0)</f>
        <v>not included</v>
      </c>
      <c r="F64" s="157" t="str">
        <f>VLOOKUP(A64,'Annotation-old-Maria'!A:D,4,0)</f>
        <v/>
      </c>
      <c r="G64" s="14">
        <f t="shared" ref="G64:I64" si="91">IF(LOWER(D64)="included",1,0)</f>
        <v>0</v>
      </c>
      <c r="H64" s="14">
        <f t="shared" si="91"/>
        <v>0</v>
      </c>
      <c r="I64" s="14">
        <f t="shared" si="91"/>
        <v>0</v>
      </c>
    </row>
    <row r="65" hidden="1">
      <c r="A65" s="42" t="s">
        <v>2496</v>
      </c>
      <c r="B65" s="15">
        <v>63.0</v>
      </c>
      <c r="E65" s="156" t="str">
        <f>VLOOKUP(A65,'List of documents'!C:K,9,0)</f>
        <v>#N/A</v>
      </c>
      <c r="F65" s="157" t="str">
        <f>VLOOKUP(A65,'Annotation-old-Maria'!A:D,4,0)</f>
        <v/>
      </c>
      <c r="G65" s="14">
        <f t="shared" ref="G65:I65" si="92">IF(LOWER(D65)="included",1,0)</f>
        <v>0</v>
      </c>
      <c r="H65" s="14" t="str">
        <f t="shared" si="92"/>
        <v>#N/A</v>
      </c>
      <c r="I65" s="14">
        <f t="shared" si="92"/>
        <v>0</v>
      </c>
    </row>
    <row r="66" hidden="1">
      <c r="A66" s="42" t="s">
        <v>747</v>
      </c>
      <c r="B66" s="15">
        <v>64.0</v>
      </c>
      <c r="E66" s="156" t="str">
        <f>VLOOKUP(A66,'List of documents'!C:K,9,0)</f>
        <v>not included</v>
      </c>
      <c r="F66" s="157" t="str">
        <f>VLOOKUP(A66,'Annotation-old-Maria'!A:D,4,0)</f>
        <v/>
      </c>
      <c r="G66" s="14">
        <f t="shared" ref="G66:I66" si="93">IF(LOWER(D66)="included",1,0)</f>
        <v>0</v>
      </c>
      <c r="H66" s="14">
        <f t="shared" si="93"/>
        <v>0</v>
      </c>
      <c r="I66" s="14">
        <f t="shared" si="93"/>
        <v>0</v>
      </c>
    </row>
    <row r="67">
      <c r="A67" s="42" t="s">
        <v>750</v>
      </c>
      <c r="B67" s="15">
        <v>65.0</v>
      </c>
      <c r="C67" s="15">
        <v>1.0</v>
      </c>
      <c r="D67" s="15" t="s">
        <v>89</v>
      </c>
      <c r="E67" s="156" t="str">
        <f>VLOOKUP(A67,'List of documents'!C:K,9,0)</f>
        <v>not included</v>
      </c>
      <c r="F67" s="157" t="str">
        <f>VLOOKUP(A67,'Annotation-old-Maria'!A:D,4,0)</f>
        <v>Not included</v>
      </c>
      <c r="G67" s="14">
        <f t="shared" ref="G67:I67" si="94">IF(LOWER(D67)="included",1,0)</f>
        <v>0</v>
      </c>
      <c r="H67" s="14">
        <f t="shared" si="94"/>
        <v>0</v>
      </c>
      <c r="I67" s="14">
        <f t="shared" si="94"/>
        <v>0</v>
      </c>
      <c r="J67" s="14">
        <f>IF(G67=H67,1,0)</f>
        <v>1</v>
      </c>
      <c r="K67" s="14">
        <f>IF(G67=I67,1,0)</f>
        <v>1</v>
      </c>
      <c r="L67" s="14">
        <f>IF(H67=I67,1,0)</f>
        <v>1</v>
      </c>
      <c r="M67" s="14">
        <f>sum(J67:L67)/3</f>
        <v>1</v>
      </c>
    </row>
    <row r="68" hidden="1">
      <c r="A68" s="40" t="s">
        <v>816</v>
      </c>
      <c r="B68" s="15">
        <v>66.0</v>
      </c>
      <c r="E68" s="156" t="str">
        <f>VLOOKUP(A68,'List of documents'!C:K,9,0)</f>
        <v>not included</v>
      </c>
      <c r="F68" s="157" t="str">
        <f>VLOOKUP(A68,'Annotation-old-Maria'!A:D,4,0)</f>
        <v/>
      </c>
      <c r="G68" s="14">
        <f t="shared" ref="G68:I68" si="95">IF(LOWER(D68)="included",1,0)</f>
        <v>0</v>
      </c>
      <c r="H68" s="14">
        <f t="shared" si="95"/>
        <v>0</v>
      </c>
      <c r="I68" s="14">
        <f t="shared" si="95"/>
        <v>0</v>
      </c>
    </row>
    <row r="69" hidden="1">
      <c r="A69" s="30" t="s">
        <v>818</v>
      </c>
      <c r="B69" s="15">
        <v>67.0</v>
      </c>
      <c r="E69" s="156" t="str">
        <f>VLOOKUP(A69,'List of documents'!C:K,9,0)</f>
        <v>not included</v>
      </c>
      <c r="F69" s="157" t="str">
        <f>VLOOKUP(A69,'Annotation-old-Maria'!A:D,4,0)</f>
        <v/>
      </c>
      <c r="G69" s="14">
        <f t="shared" ref="G69:I69" si="96">IF(LOWER(D69)="included",1,0)</f>
        <v>0</v>
      </c>
      <c r="H69" s="14">
        <f t="shared" si="96"/>
        <v>0</v>
      </c>
      <c r="I69" s="14">
        <f t="shared" si="96"/>
        <v>0</v>
      </c>
    </row>
    <row r="70">
      <c r="A70" s="42" t="s">
        <v>1752</v>
      </c>
      <c r="B70" s="15">
        <v>68.0</v>
      </c>
      <c r="C70" s="15">
        <v>1.0</v>
      </c>
      <c r="D70" s="15" t="s">
        <v>50</v>
      </c>
      <c r="E70" s="156" t="str">
        <f>VLOOKUP(A70,'List of documents'!C:K,9,0)</f>
        <v>included</v>
      </c>
      <c r="F70" s="157" t="str">
        <f>VLOOKUP(A70,'Annotation-old-Maria'!A:D,4,0)</f>
        <v>Included</v>
      </c>
      <c r="G70" s="14">
        <f t="shared" ref="G70:I70" si="97">IF(LOWER(D70)="included",1,0)</f>
        <v>1</v>
      </c>
      <c r="H70" s="14">
        <f t="shared" si="97"/>
        <v>1</v>
      </c>
      <c r="I70" s="14">
        <f t="shared" si="97"/>
        <v>1</v>
      </c>
      <c r="J70" s="14">
        <f>IF(G70=H70,1,0)</f>
        <v>1</v>
      </c>
      <c r="K70" s="14">
        <f>IF(G70=I70,1,0)</f>
        <v>1</v>
      </c>
      <c r="L70" s="14">
        <f>IF(H70=I70,1,0)</f>
        <v>1</v>
      </c>
      <c r="M70" s="14">
        <f>sum(J70:L70)/3</f>
        <v>1</v>
      </c>
    </row>
    <row r="71" hidden="1">
      <c r="A71" s="34" t="s">
        <v>831</v>
      </c>
      <c r="B71" s="15">
        <v>69.0</v>
      </c>
      <c r="E71" s="156" t="str">
        <f>VLOOKUP(A71,'List of documents'!C:K,9,0)</f>
        <v>not included</v>
      </c>
      <c r="F71" s="157" t="str">
        <f>VLOOKUP(A71,'Annotation-old-Maria'!A:D,4,0)</f>
        <v/>
      </c>
      <c r="G71" s="14">
        <f t="shared" ref="G71:I71" si="98">IF(LOWER(D71)="included",1,0)</f>
        <v>0</v>
      </c>
      <c r="H71" s="14">
        <f t="shared" si="98"/>
        <v>0</v>
      </c>
      <c r="I71" s="14">
        <f t="shared" si="98"/>
        <v>0</v>
      </c>
    </row>
    <row r="72" hidden="1">
      <c r="A72" s="44" t="s">
        <v>833</v>
      </c>
      <c r="B72" s="15">
        <v>70.0</v>
      </c>
      <c r="E72" s="156" t="str">
        <f>VLOOKUP(A72,'List of documents'!C:K,9,0)</f>
        <v>not included</v>
      </c>
      <c r="F72" s="157" t="str">
        <f>VLOOKUP(A72,'Annotation-old-Maria'!A:D,4,0)</f>
        <v/>
      </c>
      <c r="G72" s="14">
        <f t="shared" ref="G72:I72" si="99">IF(LOWER(D72)="included",1,0)</f>
        <v>0</v>
      </c>
      <c r="H72" s="14">
        <f t="shared" si="99"/>
        <v>0</v>
      </c>
      <c r="I72" s="14">
        <f t="shared" si="99"/>
        <v>0</v>
      </c>
    </row>
    <row r="73" hidden="1">
      <c r="A73" s="42" t="s">
        <v>835</v>
      </c>
      <c r="B73" s="15">
        <v>71.0</v>
      </c>
      <c r="E73" s="156" t="str">
        <f>VLOOKUP(A73,'List of documents'!C:K,9,0)</f>
        <v>not included</v>
      </c>
      <c r="F73" s="157" t="str">
        <f>VLOOKUP(A73,'Annotation-old-Maria'!A:D,4,0)</f>
        <v/>
      </c>
      <c r="G73" s="14">
        <f t="shared" ref="G73:I73" si="100">IF(LOWER(D73)="included",1,0)</f>
        <v>0</v>
      </c>
      <c r="H73" s="14">
        <f t="shared" si="100"/>
        <v>0</v>
      </c>
      <c r="I73" s="14">
        <f t="shared" si="100"/>
        <v>0</v>
      </c>
    </row>
    <row r="74" hidden="1">
      <c r="A74" s="42" t="s">
        <v>837</v>
      </c>
      <c r="B74" s="15">
        <v>72.0</v>
      </c>
      <c r="E74" s="156" t="str">
        <f>VLOOKUP(A74,'List of documents'!C:K,9,0)</f>
        <v>not included</v>
      </c>
      <c r="F74" s="157" t="str">
        <f>VLOOKUP(A74,'Annotation-old-Maria'!A:D,4,0)</f>
        <v/>
      </c>
      <c r="G74" s="14">
        <f t="shared" ref="G74:I74" si="101">IF(LOWER(D74)="included",1,0)</f>
        <v>0</v>
      </c>
      <c r="H74" s="14">
        <f t="shared" si="101"/>
        <v>0</v>
      </c>
      <c r="I74" s="14">
        <f t="shared" si="101"/>
        <v>0</v>
      </c>
    </row>
    <row r="75" hidden="1">
      <c r="A75" s="42" t="s">
        <v>839</v>
      </c>
      <c r="B75" s="15">
        <v>73.0</v>
      </c>
      <c r="E75" s="156" t="str">
        <f>VLOOKUP(A75,'List of documents'!C:K,9,0)</f>
        <v>not included</v>
      </c>
      <c r="F75" s="157" t="str">
        <f>VLOOKUP(A75,'Annotation-old-Maria'!A:D,4,0)</f>
        <v/>
      </c>
      <c r="G75" s="14">
        <f t="shared" ref="G75:I75" si="102">IF(LOWER(D75)="included",1,0)</f>
        <v>0</v>
      </c>
      <c r="H75" s="14">
        <f t="shared" si="102"/>
        <v>0</v>
      </c>
      <c r="I75" s="14">
        <f t="shared" si="102"/>
        <v>0</v>
      </c>
    </row>
    <row r="76" hidden="1">
      <c r="A76" s="42" t="s">
        <v>463</v>
      </c>
      <c r="B76" s="15">
        <v>74.0</v>
      </c>
      <c r="E76" s="156" t="str">
        <f>VLOOKUP(A76,'List of documents'!C:K,9,0)</f>
        <v>included</v>
      </c>
      <c r="F76" s="157" t="str">
        <f>VLOOKUP(A76,'Annotation-old-Maria'!A:D,4,0)</f>
        <v/>
      </c>
      <c r="G76" s="14">
        <f t="shared" ref="G76:I76" si="103">IF(LOWER(D76)="included",1,0)</f>
        <v>0</v>
      </c>
      <c r="H76" s="14">
        <f t="shared" si="103"/>
        <v>1</v>
      </c>
      <c r="I76" s="14">
        <f t="shared" si="103"/>
        <v>0</v>
      </c>
    </row>
    <row r="77" hidden="1">
      <c r="A77" s="52" t="s">
        <v>873</v>
      </c>
      <c r="B77" s="15">
        <v>75.0</v>
      </c>
      <c r="E77" s="156" t="str">
        <f>VLOOKUP(A77,'List of documents'!C:K,9,0)</f>
        <v>not included</v>
      </c>
      <c r="F77" s="157" t="str">
        <f>VLOOKUP(A77,'Annotation-old-Maria'!A:D,4,0)</f>
        <v/>
      </c>
      <c r="G77" s="14">
        <f t="shared" ref="G77:I77" si="104">IF(LOWER(D77)="included",1,0)</f>
        <v>0</v>
      </c>
      <c r="H77" s="14">
        <f t="shared" si="104"/>
        <v>0</v>
      </c>
      <c r="I77" s="14">
        <f t="shared" si="104"/>
        <v>0</v>
      </c>
    </row>
    <row r="78" hidden="1">
      <c r="A78" s="44" t="s">
        <v>1135</v>
      </c>
      <c r="B78" s="15">
        <v>76.0</v>
      </c>
      <c r="E78" s="156" t="str">
        <f>VLOOKUP(A78,'List of documents'!C:K,9,0)</f>
        <v>included</v>
      </c>
      <c r="F78" s="157" t="str">
        <f>VLOOKUP(A78,'Annotation-old-Maria'!A:D,4,0)</f>
        <v/>
      </c>
      <c r="G78" s="14">
        <f t="shared" ref="G78:I78" si="105">IF(LOWER(D78)="included",1,0)</f>
        <v>0</v>
      </c>
      <c r="H78" s="14">
        <f t="shared" si="105"/>
        <v>1</v>
      </c>
      <c r="I78" s="14">
        <f t="shared" si="105"/>
        <v>0</v>
      </c>
    </row>
    <row r="79" hidden="1">
      <c r="A79" s="44" t="s">
        <v>2398</v>
      </c>
      <c r="B79" s="15">
        <v>77.0</v>
      </c>
      <c r="E79" s="156" t="str">
        <f>VLOOKUP(A79,'List of documents'!C:K,9,0)</f>
        <v>included</v>
      </c>
      <c r="F79" s="157" t="str">
        <f>VLOOKUP(A79,'Annotation-old-Maria'!A:D,4,0)</f>
        <v/>
      </c>
      <c r="G79" s="14">
        <f t="shared" ref="G79:I79" si="106">IF(LOWER(D79)="included",1,0)</f>
        <v>0</v>
      </c>
      <c r="H79" s="14">
        <f t="shared" si="106"/>
        <v>1</v>
      </c>
      <c r="I79" s="14">
        <f t="shared" si="106"/>
        <v>0</v>
      </c>
    </row>
    <row r="80" hidden="1">
      <c r="A80" s="40" t="s">
        <v>1031</v>
      </c>
      <c r="B80" s="15">
        <v>78.0</v>
      </c>
      <c r="E80" s="156" t="str">
        <f>VLOOKUP(A80,'List of documents'!C:K,9,0)</f>
        <v>included</v>
      </c>
      <c r="F80" s="157" t="str">
        <f>VLOOKUP(A80,'Annotation-old-Maria'!A:D,4,0)</f>
        <v/>
      </c>
      <c r="G80" s="14">
        <f t="shared" ref="G80:I80" si="107">IF(LOWER(D80)="included",1,0)</f>
        <v>0</v>
      </c>
      <c r="H80" s="14">
        <f t="shared" si="107"/>
        <v>1</v>
      </c>
      <c r="I80" s="14">
        <f t="shared" si="107"/>
        <v>0</v>
      </c>
    </row>
    <row r="81" hidden="1">
      <c r="A81" s="44" t="s">
        <v>273</v>
      </c>
      <c r="B81" s="15">
        <v>79.0</v>
      </c>
      <c r="E81" s="156" t="str">
        <f>VLOOKUP(A81,'List of documents'!C:K,9,0)</f>
        <v>included</v>
      </c>
      <c r="F81" s="157" t="str">
        <f>VLOOKUP(A81,'Annotation-old-Maria'!A:D,4,0)</f>
        <v/>
      </c>
      <c r="G81" s="14">
        <f t="shared" ref="G81:I81" si="108">IF(LOWER(D81)="included",1,0)</f>
        <v>0</v>
      </c>
      <c r="H81" s="14">
        <f t="shared" si="108"/>
        <v>1</v>
      </c>
      <c r="I81" s="14">
        <f t="shared" si="108"/>
        <v>0</v>
      </c>
    </row>
    <row r="82" hidden="1">
      <c r="A82" s="40" t="s">
        <v>1388</v>
      </c>
      <c r="B82" s="15">
        <v>80.0</v>
      </c>
      <c r="E82" s="156" t="str">
        <f>VLOOKUP(A82,'List of documents'!C:K,9,0)</f>
        <v>included</v>
      </c>
      <c r="F82" s="157" t="str">
        <f>VLOOKUP(A82,'Annotation-old-Maria'!A:D,4,0)</f>
        <v/>
      </c>
      <c r="G82" s="14">
        <f t="shared" ref="G82:I82" si="109">IF(LOWER(D82)="included",1,0)</f>
        <v>0</v>
      </c>
      <c r="H82" s="14">
        <f t="shared" si="109"/>
        <v>1</v>
      </c>
      <c r="I82" s="14">
        <f t="shared" si="109"/>
        <v>0</v>
      </c>
    </row>
    <row r="83" hidden="1">
      <c r="A83" s="44" t="s">
        <v>582</v>
      </c>
      <c r="B83" s="15">
        <v>81.0</v>
      </c>
      <c r="E83" s="156" t="str">
        <f>VLOOKUP(A83,'List of documents'!C:K,9,0)</f>
        <v>included</v>
      </c>
      <c r="F83" s="157" t="str">
        <f>VLOOKUP(A83,'Annotation-old-Maria'!A:D,4,0)</f>
        <v/>
      </c>
      <c r="G83" s="14">
        <f t="shared" ref="G83:I83" si="110">IF(LOWER(D83)="included",1,0)</f>
        <v>0</v>
      </c>
      <c r="H83" s="14">
        <f t="shared" si="110"/>
        <v>1</v>
      </c>
      <c r="I83" s="14">
        <f t="shared" si="110"/>
        <v>0</v>
      </c>
    </row>
    <row r="84" hidden="1">
      <c r="A84" s="52" t="s">
        <v>582</v>
      </c>
      <c r="B84" s="15">
        <v>82.0</v>
      </c>
      <c r="E84" s="156" t="str">
        <f>VLOOKUP(A84,'List of documents'!C:K,9,0)</f>
        <v>included</v>
      </c>
      <c r="F84" s="157" t="str">
        <f>VLOOKUP(A84,'Annotation-old-Maria'!A:D,4,0)</f>
        <v/>
      </c>
      <c r="G84" s="14">
        <f t="shared" ref="G84:I84" si="111">IF(LOWER(D84)="included",1,0)</f>
        <v>0</v>
      </c>
      <c r="H84" s="14">
        <f t="shared" si="111"/>
        <v>1</v>
      </c>
      <c r="I84" s="14">
        <f t="shared" si="111"/>
        <v>0</v>
      </c>
    </row>
    <row r="85">
      <c r="A85" s="52" t="s">
        <v>903</v>
      </c>
      <c r="B85" s="15">
        <v>83.0</v>
      </c>
      <c r="C85" s="15">
        <v>1.0</v>
      </c>
      <c r="D85" s="15" t="s">
        <v>50</v>
      </c>
      <c r="E85" s="156" t="str">
        <f>VLOOKUP(A85,'List of documents'!C:K,9,0)</f>
        <v>not included</v>
      </c>
      <c r="F85" s="157" t="str">
        <f>VLOOKUP(A85,'Annotation-old-Maria'!A:D,4,0)</f>
        <v>Not included</v>
      </c>
      <c r="G85" s="14">
        <f t="shared" ref="G85:I85" si="112">IF(LOWER(D85)="included",1,0)</f>
        <v>1</v>
      </c>
      <c r="H85" s="14">
        <f t="shared" si="112"/>
        <v>0</v>
      </c>
      <c r="I85" s="14">
        <f t="shared" si="112"/>
        <v>0</v>
      </c>
      <c r="J85" s="14">
        <f t="shared" ref="J85:J86" si="114">IF(G85=H85,1,0)</f>
        <v>0</v>
      </c>
      <c r="K85" s="14">
        <f t="shared" ref="K85:K86" si="115">IF(G85=I85,1,0)</f>
        <v>0</v>
      </c>
      <c r="L85" s="14">
        <f t="shared" ref="L85:L86" si="116">IF(H85=I85,1,0)</f>
        <v>1</v>
      </c>
      <c r="M85" s="14">
        <f t="shared" ref="M85:M86" si="117">sum(J85:L85)/3</f>
        <v>0.3333333333</v>
      </c>
    </row>
    <row r="86">
      <c r="A86" s="40" t="s">
        <v>1485</v>
      </c>
      <c r="B86" s="15">
        <v>84.0</v>
      </c>
      <c r="C86" s="15">
        <v>1.0</v>
      </c>
      <c r="D86" s="15" t="s">
        <v>50</v>
      </c>
      <c r="E86" s="156" t="str">
        <f>VLOOKUP(A86,'List of documents'!C:K,9,0)</f>
        <v>included</v>
      </c>
      <c r="F86" s="157" t="str">
        <f>VLOOKUP(A86,'Annotation-old-Maria'!A:D,4,0)</f>
        <v>Included</v>
      </c>
      <c r="G86" s="14">
        <f t="shared" ref="G86:I86" si="113">IF(LOWER(D86)="included",1,0)</f>
        <v>1</v>
      </c>
      <c r="H86" s="14">
        <f t="shared" si="113"/>
        <v>1</v>
      </c>
      <c r="I86" s="14">
        <f t="shared" si="113"/>
        <v>1</v>
      </c>
      <c r="J86" s="14">
        <f t="shared" si="114"/>
        <v>1</v>
      </c>
      <c r="K86" s="14">
        <f t="shared" si="115"/>
        <v>1</v>
      </c>
      <c r="L86" s="14">
        <f t="shared" si="116"/>
        <v>1</v>
      </c>
      <c r="M86" s="14">
        <f t="shared" si="117"/>
        <v>1</v>
      </c>
    </row>
    <row r="87" hidden="1">
      <c r="A87" s="44" t="s">
        <v>669</v>
      </c>
      <c r="B87" s="15">
        <v>85.0</v>
      </c>
      <c r="E87" s="156" t="str">
        <f>VLOOKUP(A87,'List of documents'!C:K,9,0)</f>
        <v>included</v>
      </c>
      <c r="F87" s="157" t="str">
        <f>VLOOKUP(A87,'Annotation-old-Maria'!A:D,4,0)</f>
        <v/>
      </c>
      <c r="G87" s="14">
        <f t="shared" ref="G87:I87" si="118">IF(LOWER(D87)="included",1,0)</f>
        <v>0</v>
      </c>
      <c r="H87" s="14">
        <f t="shared" si="118"/>
        <v>1</v>
      </c>
      <c r="I87" s="14">
        <f t="shared" si="118"/>
        <v>0</v>
      </c>
    </row>
    <row r="88" hidden="1">
      <c r="A88" s="52" t="s">
        <v>1826</v>
      </c>
      <c r="B88" s="15">
        <v>86.0</v>
      </c>
      <c r="E88" s="156" t="str">
        <f>VLOOKUP(A88,'List of documents'!C:K,9,0)</f>
        <v>included</v>
      </c>
      <c r="F88" s="157" t="str">
        <f>VLOOKUP(A88,'Annotation-old-Maria'!A:D,4,0)</f>
        <v/>
      </c>
      <c r="G88" s="14">
        <f t="shared" ref="G88:I88" si="119">IF(LOWER(D88)="included",1,0)</f>
        <v>0</v>
      </c>
      <c r="H88" s="14">
        <f t="shared" si="119"/>
        <v>1</v>
      </c>
      <c r="I88" s="14">
        <f t="shared" si="119"/>
        <v>0</v>
      </c>
    </row>
    <row r="89" hidden="1">
      <c r="A89" s="42" t="s">
        <v>921</v>
      </c>
      <c r="B89" s="15">
        <v>87.0</v>
      </c>
      <c r="E89" s="156" t="str">
        <f>VLOOKUP(A89,'List of documents'!C:K,9,0)</f>
        <v>not included</v>
      </c>
      <c r="F89" s="157" t="str">
        <f>VLOOKUP(A89,'Annotation-old-Maria'!A:D,4,0)</f>
        <v/>
      </c>
      <c r="G89" s="14">
        <f t="shared" ref="G89:I89" si="120">IF(LOWER(D89)="included",1,0)</f>
        <v>0</v>
      </c>
      <c r="H89" s="14">
        <f t="shared" si="120"/>
        <v>0</v>
      </c>
      <c r="I89" s="14">
        <f t="shared" si="120"/>
        <v>0</v>
      </c>
    </row>
    <row r="90">
      <c r="A90" s="42" t="s">
        <v>927</v>
      </c>
      <c r="B90" s="15">
        <v>88.0</v>
      </c>
      <c r="C90" s="15">
        <v>1.0</v>
      </c>
      <c r="D90" s="15" t="s">
        <v>89</v>
      </c>
      <c r="E90" s="156" t="str">
        <f>VLOOKUP(A90,'List of documents'!C:K,9,0)</f>
        <v>not included</v>
      </c>
      <c r="F90" s="157" t="str">
        <f>VLOOKUP(A90,'Annotation-old-Maria'!A:D,4,0)</f>
        <v>Not included</v>
      </c>
      <c r="G90" s="14">
        <f t="shared" ref="G90:I90" si="121">IF(LOWER(D90)="included",1,0)</f>
        <v>0</v>
      </c>
      <c r="H90" s="14">
        <f t="shared" si="121"/>
        <v>0</v>
      </c>
      <c r="I90" s="14">
        <f t="shared" si="121"/>
        <v>0</v>
      </c>
      <c r="J90" s="14">
        <f>IF(G90=H90,1,0)</f>
        <v>1</v>
      </c>
      <c r="K90" s="14">
        <f>IF(G90=I90,1,0)</f>
        <v>1</v>
      </c>
      <c r="L90" s="14">
        <f>IF(H90=I90,1,0)</f>
        <v>1</v>
      </c>
      <c r="M90" s="14">
        <f>sum(J90:L90)/3</f>
        <v>1</v>
      </c>
    </row>
    <row r="91" hidden="1">
      <c r="A91" s="42" t="s">
        <v>929</v>
      </c>
      <c r="B91" s="15">
        <v>89.0</v>
      </c>
      <c r="E91" s="156" t="str">
        <f>VLOOKUP(A91,'List of documents'!C:K,9,0)</f>
        <v>not included</v>
      </c>
      <c r="F91" s="157" t="str">
        <f>VLOOKUP(A91,'Annotation-old-Maria'!A:D,4,0)</f>
        <v/>
      </c>
      <c r="G91" s="14">
        <f t="shared" ref="G91:I91" si="122">IF(LOWER(D91)="included",1,0)</f>
        <v>0</v>
      </c>
      <c r="H91" s="14">
        <f t="shared" si="122"/>
        <v>0</v>
      </c>
      <c r="I91" s="14">
        <f t="shared" si="122"/>
        <v>0</v>
      </c>
    </row>
    <row r="92">
      <c r="A92" s="52" t="s">
        <v>1016</v>
      </c>
      <c r="B92" s="15">
        <v>90.0</v>
      </c>
      <c r="C92" s="15">
        <v>1.0</v>
      </c>
      <c r="D92" s="15" t="s">
        <v>50</v>
      </c>
      <c r="E92" s="156" t="str">
        <f>VLOOKUP(A92,'List of documents'!C:K,9,0)</f>
        <v>included</v>
      </c>
      <c r="F92" s="157" t="str">
        <f>VLOOKUP(A92,'Annotation-old-Maria'!A:D,4,0)</f>
        <v>Not included</v>
      </c>
      <c r="G92" s="14">
        <f t="shared" ref="G92:I92" si="123">IF(LOWER(D92)="included",1,0)</f>
        <v>1</v>
      </c>
      <c r="H92" s="14">
        <f t="shared" si="123"/>
        <v>1</v>
      </c>
      <c r="I92" s="14">
        <f t="shared" si="123"/>
        <v>0</v>
      </c>
      <c r="J92" s="14">
        <f>IF(G92=H92,1,0)</f>
        <v>1</v>
      </c>
      <c r="K92" s="14">
        <f>IF(G92=I92,1,0)</f>
        <v>0</v>
      </c>
      <c r="L92" s="14">
        <f>IF(H92=I92,1,0)</f>
        <v>0</v>
      </c>
      <c r="M92" s="14">
        <f>sum(J92:L92)/3</f>
        <v>0.3333333333</v>
      </c>
    </row>
    <row r="93" hidden="1">
      <c r="A93" s="52" t="s">
        <v>940</v>
      </c>
      <c r="B93" s="15">
        <v>91.0</v>
      </c>
      <c r="E93" s="156" t="str">
        <f>VLOOKUP(A93,'List of documents'!C:K,9,0)</f>
        <v>not included</v>
      </c>
      <c r="F93" s="157" t="str">
        <f>VLOOKUP(A93,'Annotation-old-Maria'!A:D,4,0)</f>
        <v/>
      </c>
      <c r="G93" s="14">
        <f t="shared" ref="G93:I93" si="124">IF(LOWER(D93)="included",1,0)</f>
        <v>0</v>
      </c>
      <c r="H93" s="14">
        <f t="shared" si="124"/>
        <v>0</v>
      </c>
      <c r="I93" s="14">
        <f t="shared" si="124"/>
        <v>0</v>
      </c>
    </row>
    <row r="94">
      <c r="A94" s="52" t="s">
        <v>1878</v>
      </c>
      <c r="B94" s="15">
        <v>92.0</v>
      </c>
      <c r="C94" s="15">
        <v>1.0</v>
      </c>
      <c r="D94" s="15" t="s">
        <v>50</v>
      </c>
      <c r="E94" s="156" t="str">
        <f>VLOOKUP(A94,'List of documents'!C:K,9,0)</f>
        <v>included</v>
      </c>
      <c r="F94" s="157" t="str">
        <f>VLOOKUP(A94,'Annotation-old-Maria'!A:D,4,0)</f>
        <v>Included</v>
      </c>
      <c r="G94" s="14">
        <f t="shared" ref="G94:I94" si="125">IF(LOWER(D94)="included",1,0)</f>
        <v>1</v>
      </c>
      <c r="H94" s="14">
        <f t="shared" si="125"/>
        <v>1</v>
      </c>
      <c r="I94" s="14">
        <f t="shared" si="125"/>
        <v>1</v>
      </c>
      <c r="J94" s="14">
        <f t="shared" ref="J94:J96" si="127">IF(G94=H94,1,0)</f>
        <v>1</v>
      </c>
      <c r="K94" s="14">
        <f t="shared" ref="K94:K96" si="128">IF(G94=I94,1,0)</f>
        <v>1</v>
      </c>
      <c r="L94" s="14">
        <f t="shared" ref="L94:L96" si="129">IF(H94=I94,1,0)</f>
        <v>1</v>
      </c>
      <c r="M94" s="14">
        <f t="shared" ref="M94:M96" si="130">sum(J94:L94)/3</f>
        <v>1</v>
      </c>
    </row>
    <row r="95">
      <c r="A95" s="52" t="s">
        <v>2222</v>
      </c>
      <c r="B95" s="15">
        <v>93.0</v>
      </c>
      <c r="C95" s="15">
        <v>1.0</v>
      </c>
      <c r="D95" s="15" t="s">
        <v>50</v>
      </c>
      <c r="E95" s="156" t="str">
        <f>VLOOKUP(A95,'List of documents'!C:K,9,0)</f>
        <v>included</v>
      </c>
      <c r="F95" s="157" t="str">
        <f>VLOOKUP(A95,'Annotation-old-Maria'!A:D,4,0)</f>
        <v>Included</v>
      </c>
      <c r="G95" s="14">
        <f t="shared" ref="G95:I95" si="126">IF(LOWER(D95)="included",1,0)</f>
        <v>1</v>
      </c>
      <c r="H95" s="14">
        <f t="shared" si="126"/>
        <v>1</v>
      </c>
      <c r="I95" s="14">
        <f t="shared" si="126"/>
        <v>1</v>
      </c>
      <c r="J95" s="14">
        <f t="shared" si="127"/>
        <v>1</v>
      </c>
      <c r="K95" s="14">
        <f t="shared" si="128"/>
        <v>1</v>
      </c>
      <c r="L95" s="14">
        <f t="shared" si="129"/>
        <v>1</v>
      </c>
      <c r="M95" s="14">
        <f t="shared" si="130"/>
        <v>1</v>
      </c>
    </row>
    <row r="96">
      <c r="A96" s="40" t="s">
        <v>554</v>
      </c>
      <c r="B96" s="15">
        <v>94.0</v>
      </c>
      <c r="C96" s="15">
        <v>1.0</v>
      </c>
      <c r="D96" s="15" t="s">
        <v>50</v>
      </c>
      <c r="E96" s="156" t="str">
        <f>VLOOKUP(A96,'List of documents'!C:K,9,0)</f>
        <v>included</v>
      </c>
      <c r="F96" s="157" t="str">
        <f>VLOOKUP(A96,'Annotation-old-Maria'!A:D,4,0)</f>
        <v>Included</v>
      </c>
      <c r="G96" s="14">
        <f t="shared" ref="G96:I96" si="131">IF(LOWER(D96)="included",1,0)</f>
        <v>1</v>
      </c>
      <c r="H96" s="14">
        <f t="shared" si="131"/>
        <v>1</v>
      </c>
      <c r="I96" s="14">
        <f t="shared" si="131"/>
        <v>1</v>
      </c>
      <c r="J96" s="14">
        <f t="shared" si="127"/>
        <v>1</v>
      </c>
      <c r="K96" s="14">
        <f t="shared" si="128"/>
        <v>1</v>
      </c>
      <c r="L96" s="14">
        <f t="shared" si="129"/>
        <v>1</v>
      </c>
      <c r="M96" s="14">
        <f t="shared" si="130"/>
        <v>1</v>
      </c>
    </row>
    <row r="97" hidden="1">
      <c r="A97" s="52" t="s">
        <v>1860</v>
      </c>
      <c r="B97" s="15">
        <v>95.0</v>
      </c>
      <c r="E97" s="156" t="str">
        <f>VLOOKUP(A97,'List of documents'!C:K,9,0)</f>
        <v>included</v>
      </c>
      <c r="F97" s="157" t="str">
        <f>VLOOKUP(A97,'Annotation-old-Maria'!A:D,4,0)</f>
        <v/>
      </c>
      <c r="G97" s="14">
        <f t="shared" ref="G97:I97" si="132">IF(LOWER(D97)="included",1,0)</f>
        <v>0</v>
      </c>
      <c r="H97" s="14">
        <f t="shared" si="132"/>
        <v>1</v>
      </c>
      <c r="I97" s="14">
        <f t="shared" si="132"/>
        <v>0</v>
      </c>
    </row>
    <row r="98" hidden="1">
      <c r="A98" s="52" t="s">
        <v>1758</v>
      </c>
      <c r="B98" s="15">
        <v>96.0</v>
      </c>
      <c r="E98" s="156" t="str">
        <f>VLOOKUP(A98,'List of documents'!C:K,9,0)</f>
        <v>included</v>
      </c>
      <c r="F98" s="157" t="str">
        <f>VLOOKUP(A98,'Annotation-old-Maria'!A:D,4,0)</f>
        <v/>
      </c>
      <c r="G98" s="14">
        <f t="shared" ref="G98:I98" si="133">IF(LOWER(D98)="included",1,0)</f>
        <v>0</v>
      </c>
      <c r="H98" s="14">
        <f t="shared" si="133"/>
        <v>1</v>
      </c>
      <c r="I98" s="14">
        <f t="shared" si="133"/>
        <v>0</v>
      </c>
    </row>
    <row r="99" hidden="1">
      <c r="A99" s="44" t="s">
        <v>2283</v>
      </c>
      <c r="B99" s="15">
        <v>97.0</v>
      </c>
      <c r="E99" s="156" t="str">
        <f>VLOOKUP(A99,'List of documents'!C:K,9,0)</f>
        <v>included</v>
      </c>
      <c r="F99" s="157" t="str">
        <f>VLOOKUP(A99,'Annotation-old-Maria'!A:D,4,0)</f>
        <v/>
      </c>
      <c r="G99" s="14">
        <f t="shared" ref="G99:I99" si="134">IF(LOWER(D99)="included",1,0)</f>
        <v>0</v>
      </c>
      <c r="H99" s="14">
        <f t="shared" si="134"/>
        <v>1</v>
      </c>
      <c r="I99" s="14">
        <f t="shared" si="134"/>
        <v>0</v>
      </c>
    </row>
    <row r="100" hidden="1">
      <c r="A100" s="44" t="s">
        <v>1367</v>
      </c>
      <c r="B100" s="15">
        <v>98.0</v>
      </c>
      <c r="E100" s="156" t="str">
        <f>VLOOKUP(A100,'List of documents'!C:K,9,0)</f>
        <v>included</v>
      </c>
      <c r="F100" s="157" t="str">
        <f>VLOOKUP(A100,'Annotation-old-Maria'!A:D,4,0)</f>
        <v/>
      </c>
      <c r="G100" s="14">
        <f t="shared" ref="G100:I100" si="135">IF(LOWER(D100)="included",1,0)</f>
        <v>0</v>
      </c>
      <c r="H100" s="14">
        <f t="shared" si="135"/>
        <v>1</v>
      </c>
      <c r="I100" s="14">
        <f t="shared" si="135"/>
        <v>0</v>
      </c>
    </row>
    <row r="101">
      <c r="A101" s="44" t="s">
        <v>1935</v>
      </c>
      <c r="B101" s="15">
        <v>99.0</v>
      </c>
      <c r="C101" s="15">
        <v>1.0</v>
      </c>
      <c r="D101" s="15" t="s">
        <v>50</v>
      </c>
      <c r="E101" s="156" t="str">
        <f>VLOOKUP(A101,'List of documents'!C:K,9,0)</f>
        <v>included</v>
      </c>
      <c r="F101" s="157" t="str">
        <f>VLOOKUP(A101,'Annotation-old-Maria'!A:D,4,0)</f>
        <v>Not included</v>
      </c>
      <c r="G101" s="14">
        <f t="shared" ref="G101:I101" si="136">IF(LOWER(D101)="included",1,0)</f>
        <v>1</v>
      </c>
      <c r="H101" s="14">
        <f t="shared" si="136"/>
        <v>1</v>
      </c>
      <c r="I101" s="14">
        <f t="shared" si="136"/>
        <v>0</v>
      </c>
      <c r="J101" s="14">
        <f>IF(G101=H101,1,0)</f>
        <v>1</v>
      </c>
      <c r="K101" s="14">
        <f>IF(G101=I101,1,0)</f>
        <v>0</v>
      </c>
      <c r="L101" s="14">
        <f>IF(H101=I101,1,0)</f>
        <v>0</v>
      </c>
      <c r="M101" s="14">
        <f>sum(J101:L101)/3</f>
        <v>0.3333333333</v>
      </c>
    </row>
    <row r="102" hidden="1">
      <c r="A102" s="52" t="s">
        <v>1835</v>
      </c>
      <c r="B102" s="15">
        <v>100.0</v>
      </c>
      <c r="E102" s="156" t="str">
        <f>VLOOKUP(A102,'List of documents'!C:K,9,0)</f>
        <v>included</v>
      </c>
      <c r="F102" s="157" t="str">
        <f>VLOOKUP(A102,'Annotation-old-Maria'!A:D,4,0)</f>
        <v/>
      </c>
      <c r="G102" s="14">
        <f t="shared" ref="G102:I102" si="137">IF(LOWER(D102)="included",1,0)</f>
        <v>0</v>
      </c>
      <c r="H102" s="14">
        <f t="shared" si="137"/>
        <v>1</v>
      </c>
      <c r="I102" s="14">
        <f t="shared" si="137"/>
        <v>0</v>
      </c>
    </row>
    <row r="103" hidden="1">
      <c r="A103" s="57" t="s">
        <v>978</v>
      </c>
      <c r="B103" s="15">
        <v>101.0</v>
      </c>
      <c r="E103" s="156" t="str">
        <f>VLOOKUP(A103,'List of documents'!C:K,9,0)</f>
        <v>not included</v>
      </c>
      <c r="F103" s="157" t="str">
        <f>VLOOKUP(A103,'Annotation-old-Maria'!A:D,4,0)</f>
        <v/>
      </c>
      <c r="G103" s="14">
        <f t="shared" ref="G103:I103" si="138">IF(LOWER(D103)="included",1,0)</f>
        <v>0</v>
      </c>
      <c r="H103" s="14">
        <f t="shared" si="138"/>
        <v>0</v>
      </c>
      <c r="I103" s="14">
        <f t="shared" si="138"/>
        <v>0</v>
      </c>
    </row>
    <row r="104" hidden="1">
      <c r="A104" s="72" t="s">
        <v>1468</v>
      </c>
      <c r="B104" s="15">
        <v>102.0</v>
      </c>
      <c r="E104" s="156" t="str">
        <f>VLOOKUP(A104,'List of documents'!C:K,9,0)</f>
        <v>included</v>
      </c>
      <c r="F104" s="157" t="str">
        <f>VLOOKUP(A104,'Annotation-old-Maria'!A:D,4,0)</f>
        <v/>
      </c>
      <c r="G104" s="14">
        <f t="shared" ref="G104:I104" si="139">IF(LOWER(D104)="included",1,0)</f>
        <v>0</v>
      </c>
      <c r="H104" s="14">
        <f t="shared" si="139"/>
        <v>1</v>
      </c>
      <c r="I104" s="14">
        <f t="shared" si="139"/>
        <v>0</v>
      </c>
    </row>
    <row r="105" hidden="1">
      <c r="A105" s="44" t="s">
        <v>2343</v>
      </c>
      <c r="B105" s="15">
        <v>103.0</v>
      </c>
      <c r="E105" s="156" t="str">
        <f>VLOOKUP(A105,'List of documents'!C:K,9,0)</f>
        <v>included</v>
      </c>
      <c r="F105" s="157" t="str">
        <f>VLOOKUP(A105,'Annotation-old-Maria'!A:D,4,0)</f>
        <v/>
      </c>
      <c r="G105" s="14">
        <f t="shared" ref="G105:I105" si="140">IF(LOWER(D105)="included",1,0)</f>
        <v>0</v>
      </c>
      <c r="H105" s="14">
        <f t="shared" si="140"/>
        <v>1</v>
      </c>
      <c r="I105" s="14">
        <f t="shared" si="140"/>
        <v>0</v>
      </c>
    </row>
    <row r="106">
      <c r="A106" s="40" t="s">
        <v>2497</v>
      </c>
      <c r="B106" s="15">
        <v>104.0</v>
      </c>
      <c r="C106" s="15">
        <v>1.0</v>
      </c>
      <c r="D106" s="15" t="s">
        <v>50</v>
      </c>
      <c r="E106" s="15" t="s">
        <v>50</v>
      </c>
      <c r="F106" s="157" t="str">
        <f>VLOOKUP(A106,'Annotation-old-Maria'!A:D,4,0)</f>
        <v>Included</v>
      </c>
      <c r="G106" s="14">
        <f t="shared" ref="G106:I106" si="141">IF(LOWER(D106)="included",1,0)</f>
        <v>1</v>
      </c>
      <c r="H106" s="14">
        <f t="shared" si="141"/>
        <v>1</v>
      </c>
      <c r="I106" s="14">
        <f t="shared" si="141"/>
        <v>1</v>
      </c>
      <c r="J106" s="14">
        <f>IF(G106=H106,1,0)</f>
        <v>1</v>
      </c>
      <c r="K106" s="14">
        <f>IF(G106=I106,1,0)</f>
        <v>1</v>
      </c>
      <c r="L106" s="14">
        <f>IF(H106=I106,1,0)</f>
        <v>1</v>
      </c>
      <c r="M106" s="14">
        <f>sum(J106:L106)/3</f>
        <v>1</v>
      </c>
    </row>
    <row r="107" hidden="1">
      <c r="A107" s="44" t="s">
        <v>1567</v>
      </c>
      <c r="B107" s="15">
        <v>105.0</v>
      </c>
      <c r="E107" s="156" t="str">
        <f>VLOOKUP(A107,'List of documents'!C:K,9,0)</f>
        <v>included</v>
      </c>
      <c r="F107" s="157" t="str">
        <f>VLOOKUP(A107,'Annotation-old-Maria'!A:D,4,0)</f>
        <v/>
      </c>
      <c r="G107" s="14">
        <f t="shared" ref="G107:I107" si="142">IF(LOWER(D107)="included",1,0)</f>
        <v>0</v>
      </c>
      <c r="H107" s="14">
        <f t="shared" si="142"/>
        <v>1</v>
      </c>
      <c r="I107" s="14">
        <f t="shared" si="142"/>
        <v>0</v>
      </c>
    </row>
    <row r="108" hidden="1">
      <c r="A108" s="42" t="s">
        <v>2498</v>
      </c>
      <c r="B108" s="15">
        <v>106.0</v>
      </c>
      <c r="E108" s="156" t="str">
        <f>VLOOKUP(A108,'List of documents'!C:K,9,0)</f>
        <v>#N/A</v>
      </c>
      <c r="F108" s="157" t="str">
        <f>VLOOKUP(A108,'Annotation-old-Maria'!A:D,4,0)</f>
        <v/>
      </c>
      <c r="G108" s="14">
        <f t="shared" ref="G108:I108" si="143">IF(LOWER(D108)="included",1,0)</f>
        <v>0</v>
      </c>
      <c r="H108" s="14" t="str">
        <f t="shared" si="143"/>
        <v>#N/A</v>
      </c>
      <c r="I108" s="14">
        <f t="shared" si="143"/>
        <v>0</v>
      </c>
    </row>
    <row r="109">
      <c r="A109" s="44" t="s">
        <v>1018</v>
      </c>
      <c r="B109" s="15">
        <v>107.0</v>
      </c>
      <c r="C109" s="15">
        <v>1.0</v>
      </c>
      <c r="D109" s="15" t="s">
        <v>50</v>
      </c>
      <c r="E109" s="156" t="str">
        <f>VLOOKUP(A109,'List of documents'!C:K,9,0)</f>
        <v>included</v>
      </c>
      <c r="F109" s="157" t="str">
        <f>VLOOKUP(A109,'Annotation-old-Maria'!A:D,4,0)</f>
        <v>Not included</v>
      </c>
      <c r="G109" s="14">
        <f t="shared" ref="G109:I109" si="144">IF(LOWER(D109)="included",1,0)</f>
        <v>1</v>
      </c>
      <c r="H109" s="14">
        <f t="shared" si="144"/>
        <v>1</v>
      </c>
      <c r="I109" s="14">
        <f t="shared" si="144"/>
        <v>0</v>
      </c>
      <c r="J109" s="14">
        <f>IF(G109=H109,1,0)</f>
        <v>1</v>
      </c>
      <c r="K109" s="14">
        <f>IF(G109=I109,1,0)</f>
        <v>0</v>
      </c>
      <c r="L109" s="14">
        <f>IF(H109=I109,1,0)</f>
        <v>0</v>
      </c>
      <c r="M109" s="14">
        <f>sum(J109:L109)/3</f>
        <v>0.3333333333</v>
      </c>
    </row>
    <row r="110" hidden="1">
      <c r="A110" s="52" t="s">
        <v>1000</v>
      </c>
      <c r="B110" s="15">
        <v>108.0</v>
      </c>
      <c r="E110" s="156" t="str">
        <f>VLOOKUP(A110,'List of documents'!C:K,9,0)</f>
        <v>not included</v>
      </c>
      <c r="F110" s="157" t="str">
        <f>VLOOKUP(A110,'Annotation-old-Maria'!A:D,4,0)</f>
        <v/>
      </c>
      <c r="G110" s="14">
        <f t="shared" ref="G110:I110" si="145">IF(LOWER(D110)="included",1,0)</f>
        <v>0</v>
      </c>
      <c r="H110" s="14">
        <f t="shared" si="145"/>
        <v>0</v>
      </c>
      <c r="I110" s="14">
        <f t="shared" si="145"/>
        <v>0</v>
      </c>
    </row>
    <row r="111">
      <c r="A111" s="44" t="s">
        <v>1579</v>
      </c>
      <c r="B111" s="15">
        <v>109.0</v>
      </c>
      <c r="C111" s="15">
        <v>1.0</v>
      </c>
      <c r="D111" s="15" t="s">
        <v>50</v>
      </c>
      <c r="E111" s="156" t="str">
        <f>VLOOKUP(A111,'List of documents'!C:K,9,0)</f>
        <v>included</v>
      </c>
      <c r="F111" s="157" t="str">
        <f>VLOOKUP(A111,'Annotation-old-Maria'!A:D,4,0)</f>
        <v>Included</v>
      </c>
      <c r="G111" s="14">
        <f t="shared" ref="G111:I111" si="146">IF(LOWER(D111)="included",1,0)</f>
        <v>1</v>
      </c>
      <c r="H111" s="14">
        <f t="shared" si="146"/>
        <v>1</v>
      </c>
      <c r="I111" s="14">
        <f t="shared" si="146"/>
        <v>1</v>
      </c>
      <c r="J111" s="14">
        <f>IF(G111=H111,1,0)</f>
        <v>1</v>
      </c>
      <c r="K111" s="14">
        <f>IF(G111=I111,1,0)</f>
        <v>1</v>
      </c>
      <c r="L111" s="14">
        <f>IF(H111=I111,1,0)</f>
        <v>1</v>
      </c>
      <c r="M111" s="14">
        <f>sum(J111:L111)/3</f>
        <v>1</v>
      </c>
    </row>
    <row r="112" hidden="1">
      <c r="A112" s="52" t="s">
        <v>1006</v>
      </c>
      <c r="B112" s="15">
        <v>110.0</v>
      </c>
      <c r="E112" s="156" t="str">
        <f>VLOOKUP(A112,'List of documents'!C:K,9,0)</f>
        <v>not included</v>
      </c>
      <c r="F112" s="157" t="str">
        <f>VLOOKUP(A112,'Annotation-old-Maria'!A:D,4,0)</f>
        <v/>
      </c>
      <c r="G112" s="14">
        <f t="shared" ref="G112:I112" si="147">IF(LOWER(D112)="included",1,0)</f>
        <v>0</v>
      </c>
      <c r="H112" s="14">
        <f t="shared" si="147"/>
        <v>0</v>
      </c>
      <c r="I112" s="14">
        <f t="shared" si="147"/>
        <v>0</v>
      </c>
    </row>
    <row r="113">
      <c r="A113" s="44" t="s">
        <v>1065</v>
      </c>
      <c r="B113" s="15">
        <v>111.0</v>
      </c>
      <c r="C113" s="15">
        <v>1.0</v>
      </c>
      <c r="D113" s="15" t="s">
        <v>50</v>
      </c>
      <c r="E113" s="156" t="str">
        <f>VLOOKUP(A113,'List of documents'!C:K,9,0)</f>
        <v>included</v>
      </c>
      <c r="F113" s="157" t="str">
        <f>VLOOKUP(A113,'Annotation-old-Maria'!A:D,4,0)</f>
        <v>Included</v>
      </c>
      <c r="G113" s="14">
        <f t="shared" ref="G113:I113" si="148">IF(LOWER(D113)="included",1,0)</f>
        <v>1</v>
      </c>
      <c r="H113" s="14">
        <f t="shared" si="148"/>
        <v>1</v>
      </c>
      <c r="I113" s="14">
        <f t="shared" si="148"/>
        <v>1</v>
      </c>
      <c r="J113" s="14">
        <f>IF(G113=H113,1,0)</f>
        <v>1</v>
      </c>
      <c r="K113" s="14">
        <f>IF(G113=I113,1,0)</f>
        <v>1</v>
      </c>
      <c r="L113" s="14">
        <f>IF(H113=I113,1,0)</f>
        <v>1</v>
      </c>
      <c r="M113" s="14">
        <f>sum(J113:L113)/3</f>
        <v>1</v>
      </c>
    </row>
    <row r="114" hidden="1">
      <c r="A114" s="42" t="s">
        <v>752</v>
      </c>
      <c r="B114" s="15">
        <v>112.0</v>
      </c>
      <c r="E114" s="156" t="str">
        <f>VLOOKUP(A114,'List of documents'!C:K,9,0)</f>
        <v>included</v>
      </c>
      <c r="F114" s="157" t="str">
        <f>VLOOKUP(A114,'Annotation-old-Maria'!A:D,4,0)</f>
        <v/>
      </c>
      <c r="G114" s="14">
        <f t="shared" ref="G114:I114" si="149">IF(LOWER(D114)="included",1,0)</f>
        <v>0</v>
      </c>
      <c r="H114" s="14">
        <f t="shared" si="149"/>
        <v>1</v>
      </c>
      <c r="I114" s="14">
        <f t="shared" si="149"/>
        <v>0</v>
      </c>
    </row>
    <row r="115" hidden="1">
      <c r="A115" s="42" t="s">
        <v>1022</v>
      </c>
      <c r="B115" s="15">
        <v>113.0</v>
      </c>
      <c r="E115" s="156" t="str">
        <f>VLOOKUP(A115,'List of documents'!C:K,9,0)</f>
        <v>Not included</v>
      </c>
      <c r="F115" s="157" t="str">
        <f>VLOOKUP(A115,'Annotation-old-Maria'!A:D,4,0)</f>
        <v/>
      </c>
      <c r="G115" s="14">
        <f t="shared" ref="G115:I115" si="150">IF(LOWER(D115)="included",1,0)</f>
        <v>0</v>
      </c>
      <c r="H115" s="14">
        <f t="shared" si="150"/>
        <v>0</v>
      </c>
      <c r="I115" s="14">
        <f t="shared" si="150"/>
        <v>0</v>
      </c>
    </row>
    <row r="116" hidden="1">
      <c r="A116" s="42" t="s">
        <v>1046</v>
      </c>
      <c r="B116" s="15">
        <v>114.0</v>
      </c>
      <c r="E116" s="156" t="str">
        <f>VLOOKUP(A116,'List of documents'!C:K,9,0)</f>
        <v>not included</v>
      </c>
      <c r="F116" s="157" t="str">
        <f>VLOOKUP(A116,'Annotation-old-Maria'!A:D,4,0)</f>
        <v/>
      </c>
      <c r="G116" s="14">
        <f t="shared" ref="G116:I116" si="151">IF(LOWER(D116)="included",1,0)</f>
        <v>0</v>
      </c>
      <c r="H116" s="14">
        <f t="shared" si="151"/>
        <v>0</v>
      </c>
      <c r="I116" s="14">
        <f t="shared" si="151"/>
        <v>0</v>
      </c>
    </row>
    <row r="117" hidden="1">
      <c r="A117" s="52" t="s">
        <v>2225</v>
      </c>
      <c r="B117" s="15">
        <v>115.0</v>
      </c>
      <c r="E117" s="156" t="str">
        <f>VLOOKUP(A117,'List of documents'!C:K,9,0)</f>
        <v>included</v>
      </c>
      <c r="F117" s="157" t="str">
        <f>VLOOKUP(A117,'Annotation-old-Maria'!A:D,4,0)</f>
        <v/>
      </c>
      <c r="G117" s="14">
        <f t="shared" ref="G117:I117" si="152">IF(LOWER(D117)="included",1,0)</f>
        <v>0</v>
      </c>
      <c r="H117" s="14">
        <f t="shared" si="152"/>
        <v>1</v>
      </c>
      <c r="I117" s="14">
        <f t="shared" si="152"/>
        <v>0</v>
      </c>
    </row>
    <row r="118" hidden="1">
      <c r="A118" s="72" t="s">
        <v>1072</v>
      </c>
      <c r="B118" s="15">
        <v>116.0</v>
      </c>
      <c r="E118" s="156" t="str">
        <f>VLOOKUP(A118,'List of documents'!C:K,9,0)</f>
        <v>not included</v>
      </c>
      <c r="F118" s="157" t="str">
        <f>VLOOKUP(A118,'Annotation-old-Maria'!A:D,4,0)</f>
        <v/>
      </c>
      <c r="G118" s="14">
        <f t="shared" ref="G118:I118" si="153">IF(LOWER(D118)="included",1,0)</f>
        <v>0</v>
      </c>
      <c r="H118" s="14">
        <f t="shared" si="153"/>
        <v>0</v>
      </c>
      <c r="I118" s="14">
        <f t="shared" si="153"/>
        <v>0</v>
      </c>
    </row>
    <row r="119">
      <c r="A119" s="74" t="s">
        <v>1080</v>
      </c>
      <c r="B119" s="15">
        <v>117.0</v>
      </c>
      <c r="C119" s="15">
        <v>1.0</v>
      </c>
      <c r="D119" s="15" t="s">
        <v>89</v>
      </c>
      <c r="E119" s="156" t="str">
        <f>VLOOKUP(A119,'List of documents'!C:K,9,0)</f>
        <v>not included</v>
      </c>
      <c r="F119" s="157" t="str">
        <f>VLOOKUP(A119,'Annotation-old-Maria'!A:D,4,0)</f>
        <v>Not included</v>
      </c>
      <c r="G119" s="14">
        <f t="shared" ref="G119:I119" si="154">IF(LOWER(D119)="included",1,0)</f>
        <v>0</v>
      </c>
      <c r="H119" s="14">
        <f t="shared" si="154"/>
        <v>0</v>
      </c>
      <c r="I119" s="14">
        <f t="shared" si="154"/>
        <v>0</v>
      </c>
      <c r="J119" s="14">
        <f t="shared" ref="J119:J122" si="156">IF(G119=H119,1,0)</f>
        <v>1</v>
      </c>
      <c r="K119" s="14">
        <f t="shared" ref="K119:K122" si="157">IF(G119=I119,1,0)</f>
        <v>1</v>
      </c>
      <c r="L119" s="14">
        <f t="shared" ref="L119:L122" si="158">IF(H119=I119,1,0)</f>
        <v>1</v>
      </c>
      <c r="M119" s="14">
        <f t="shared" ref="M119:M122" si="159">sum(J119:L119)/3</f>
        <v>1</v>
      </c>
    </row>
    <row r="120">
      <c r="A120" s="42" t="s">
        <v>1086</v>
      </c>
      <c r="B120" s="15">
        <v>118.0</v>
      </c>
      <c r="C120" s="15">
        <v>1.0</v>
      </c>
      <c r="D120" s="15" t="s">
        <v>89</v>
      </c>
      <c r="E120" s="156" t="str">
        <f>VLOOKUP(A120,'List of documents'!C:K,9,0)</f>
        <v>not included</v>
      </c>
      <c r="F120" s="157" t="str">
        <f>VLOOKUP(A120,'Annotation-old-Maria'!A:D,4,0)</f>
        <v>Not included</v>
      </c>
      <c r="G120" s="14">
        <f t="shared" ref="G120:I120" si="155">IF(LOWER(D120)="included",1,0)</f>
        <v>0</v>
      </c>
      <c r="H120" s="14">
        <f t="shared" si="155"/>
        <v>0</v>
      </c>
      <c r="I120" s="14">
        <f t="shared" si="155"/>
        <v>0</v>
      </c>
      <c r="J120" s="14">
        <f t="shared" si="156"/>
        <v>1</v>
      </c>
      <c r="K120" s="14">
        <f t="shared" si="157"/>
        <v>1</v>
      </c>
      <c r="L120" s="14">
        <f t="shared" si="158"/>
        <v>1</v>
      </c>
      <c r="M120" s="14">
        <f t="shared" si="159"/>
        <v>1</v>
      </c>
    </row>
    <row r="121">
      <c r="A121" s="44" t="s">
        <v>1091</v>
      </c>
      <c r="B121" s="15">
        <v>119.0</v>
      </c>
      <c r="C121" s="15">
        <v>1.0</v>
      </c>
      <c r="D121" s="15" t="s">
        <v>89</v>
      </c>
      <c r="E121" s="156" t="str">
        <f>VLOOKUP(A121,'List of documents'!C:K,9,0)</f>
        <v>not included</v>
      </c>
      <c r="F121" s="157" t="str">
        <f>VLOOKUP(A121,'Annotation-old-Maria'!A:D,4,0)</f>
        <v>Not included</v>
      </c>
      <c r="G121" s="14">
        <f t="shared" ref="G121:I121" si="160">IF(LOWER(D121)="included",1,0)</f>
        <v>0</v>
      </c>
      <c r="H121" s="14">
        <f t="shared" si="160"/>
        <v>0</v>
      </c>
      <c r="I121" s="14">
        <f t="shared" si="160"/>
        <v>0</v>
      </c>
      <c r="J121" s="14">
        <f t="shared" si="156"/>
        <v>1</v>
      </c>
      <c r="K121" s="14">
        <f t="shared" si="157"/>
        <v>1</v>
      </c>
      <c r="L121" s="14">
        <f t="shared" si="158"/>
        <v>1</v>
      </c>
      <c r="M121" s="14">
        <f t="shared" si="159"/>
        <v>1</v>
      </c>
    </row>
    <row r="122">
      <c r="A122" s="16" t="s">
        <v>2039</v>
      </c>
      <c r="B122" s="15">
        <v>120.0</v>
      </c>
      <c r="C122" s="15">
        <v>1.0</v>
      </c>
      <c r="D122" s="15" t="s">
        <v>50</v>
      </c>
      <c r="E122" s="156" t="str">
        <f>VLOOKUP(A122,'List of documents'!C:K,9,0)</f>
        <v>included</v>
      </c>
      <c r="F122" s="157" t="str">
        <f>VLOOKUP(A122,'Annotation-old-Maria'!A:D,4,0)</f>
        <v>Included</v>
      </c>
      <c r="G122" s="14">
        <f t="shared" ref="G122:I122" si="161">IF(LOWER(D122)="included",1,0)</f>
        <v>1</v>
      </c>
      <c r="H122" s="14">
        <f t="shared" si="161"/>
        <v>1</v>
      </c>
      <c r="I122" s="14">
        <f t="shared" si="161"/>
        <v>1</v>
      </c>
      <c r="J122" s="14">
        <f t="shared" si="156"/>
        <v>1</v>
      </c>
      <c r="K122" s="14">
        <f t="shared" si="157"/>
        <v>1</v>
      </c>
      <c r="L122" s="14">
        <f t="shared" si="158"/>
        <v>1</v>
      </c>
      <c r="M122" s="14">
        <f t="shared" si="159"/>
        <v>1</v>
      </c>
    </row>
    <row r="123" hidden="1">
      <c r="A123" s="42" t="s">
        <v>2499</v>
      </c>
      <c r="B123" s="15">
        <v>121.0</v>
      </c>
      <c r="E123" s="156" t="str">
        <f>VLOOKUP(A123,'List of documents'!C:K,9,0)</f>
        <v>#N/A</v>
      </c>
      <c r="F123" s="157" t="str">
        <f>VLOOKUP(A123,'Annotation-old-Maria'!A:D,4,0)</f>
        <v/>
      </c>
      <c r="G123" s="14">
        <f t="shared" ref="G123:I123" si="162">IF(LOWER(D123)="included",1,0)</f>
        <v>0</v>
      </c>
      <c r="H123" s="14" t="str">
        <f t="shared" si="162"/>
        <v>#N/A</v>
      </c>
      <c r="I123" s="14">
        <f t="shared" si="162"/>
        <v>0</v>
      </c>
    </row>
    <row r="124" hidden="1">
      <c r="A124" s="42" t="s">
        <v>1110</v>
      </c>
      <c r="B124" s="15">
        <v>122.0</v>
      </c>
      <c r="E124" s="156" t="str">
        <f>VLOOKUP(A124,'List of documents'!C:K,9,0)</f>
        <v>not included</v>
      </c>
      <c r="F124" s="157" t="str">
        <f>VLOOKUP(A124,'Annotation-old-Maria'!A:D,4,0)</f>
        <v/>
      </c>
      <c r="G124" s="14">
        <f t="shared" ref="G124:I124" si="163">IF(LOWER(D124)="included",1,0)</f>
        <v>0</v>
      </c>
      <c r="H124" s="14">
        <f t="shared" si="163"/>
        <v>0</v>
      </c>
      <c r="I124" s="14">
        <f t="shared" si="163"/>
        <v>0</v>
      </c>
    </row>
    <row r="125">
      <c r="A125" s="34" t="s">
        <v>294</v>
      </c>
      <c r="B125" s="15">
        <v>123.0</v>
      </c>
      <c r="C125" s="15">
        <v>1.0</v>
      </c>
      <c r="D125" s="15" t="s">
        <v>89</v>
      </c>
      <c r="E125" s="156" t="str">
        <f>VLOOKUP(A125,'List of documents'!C:K,9,0)</f>
        <v>not included</v>
      </c>
      <c r="F125" s="157" t="str">
        <f>VLOOKUP(A125,'Annotation-old-Maria'!A:D,4,0)</f>
        <v>Not included</v>
      </c>
      <c r="G125" s="14">
        <f t="shared" ref="G125:I125" si="164">IF(LOWER(D125)="included",1,0)</f>
        <v>0</v>
      </c>
      <c r="H125" s="14">
        <f t="shared" si="164"/>
        <v>0</v>
      </c>
      <c r="I125" s="14">
        <f t="shared" si="164"/>
        <v>0</v>
      </c>
      <c r="J125" s="14">
        <f>IF(G125=H125,1,0)</f>
        <v>1</v>
      </c>
      <c r="K125" s="14">
        <f>IF(G125=I125,1,0)</f>
        <v>1</v>
      </c>
      <c r="L125" s="14">
        <f>IF(H125=I125,1,0)</f>
        <v>1</v>
      </c>
      <c r="M125" s="14">
        <f>sum(J125:L125)/3</f>
        <v>1</v>
      </c>
    </row>
    <row r="126" hidden="1">
      <c r="A126" s="40" t="s">
        <v>1116</v>
      </c>
      <c r="B126" s="15">
        <v>124.0</v>
      </c>
      <c r="E126" s="156" t="str">
        <f>VLOOKUP(A126,'List of documents'!C:K,9,0)</f>
        <v>not included</v>
      </c>
      <c r="F126" s="157" t="str">
        <f>VLOOKUP(A126,'Annotation-old-Maria'!A:D,4,0)</f>
        <v/>
      </c>
      <c r="G126" s="14">
        <f t="shared" ref="G126:I126" si="165">IF(LOWER(D126)="included",1,0)</f>
        <v>0</v>
      </c>
      <c r="H126" s="14">
        <f t="shared" si="165"/>
        <v>0</v>
      </c>
      <c r="I126" s="14">
        <f t="shared" si="165"/>
        <v>0</v>
      </c>
    </row>
    <row r="127" hidden="1">
      <c r="A127" s="16" t="s">
        <v>1110</v>
      </c>
      <c r="B127" s="15">
        <v>125.0</v>
      </c>
      <c r="E127" s="156" t="str">
        <f>VLOOKUP(A127,'List of documents'!C:K,9,0)</f>
        <v>not included</v>
      </c>
      <c r="F127" s="157" t="str">
        <f>VLOOKUP(A127,'Annotation-old-Maria'!A:D,4,0)</f>
        <v/>
      </c>
      <c r="G127" s="14">
        <f t="shared" ref="G127:I127" si="166">IF(LOWER(D127)="included",1,0)</f>
        <v>0</v>
      </c>
      <c r="H127" s="14">
        <f t="shared" si="166"/>
        <v>0</v>
      </c>
      <c r="I127" s="14">
        <f t="shared" si="166"/>
        <v>0</v>
      </c>
    </row>
    <row r="128" hidden="1">
      <c r="A128" s="42" t="s">
        <v>1129</v>
      </c>
      <c r="B128" s="15">
        <v>126.0</v>
      </c>
      <c r="E128" s="156" t="str">
        <f>VLOOKUP(A128,'List of documents'!C:K,9,0)</f>
        <v>not included</v>
      </c>
      <c r="F128" s="157" t="str">
        <f>VLOOKUP(A128,'Annotation-old-Maria'!A:D,4,0)</f>
        <v/>
      </c>
      <c r="G128" s="14">
        <f t="shared" ref="G128:I128" si="167">IF(LOWER(D128)="included",1,0)</f>
        <v>0</v>
      </c>
      <c r="H128" s="14">
        <f t="shared" si="167"/>
        <v>0</v>
      </c>
      <c r="I128" s="14">
        <f t="shared" si="167"/>
        <v>0</v>
      </c>
    </row>
    <row r="129">
      <c r="A129" s="44" t="s">
        <v>1162</v>
      </c>
      <c r="B129" s="15">
        <v>127.0</v>
      </c>
      <c r="C129" s="15">
        <v>1.0</v>
      </c>
      <c r="D129" s="15" t="s">
        <v>50</v>
      </c>
      <c r="E129" s="156" t="str">
        <f>VLOOKUP(A129,'List of documents'!C:K,9,0)</f>
        <v>included</v>
      </c>
      <c r="F129" s="157" t="str">
        <f>VLOOKUP(A129,'Annotation-old-Maria'!A:D,4,0)</f>
        <v>Included</v>
      </c>
      <c r="G129" s="14">
        <f t="shared" ref="G129:I129" si="168">IF(LOWER(D129)="included",1,0)</f>
        <v>1</v>
      </c>
      <c r="H129" s="14">
        <f t="shared" si="168"/>
        <v>1</v>
      </c>
      <c r="I129" s="14">
        <f t="shared" si="168"/>
        <v>1</v>
      </c>
      <c r="J129" s="14">
        <f>IF(G129=H129,1,0)</f>
        <v>1</v>
      </c>
      <c r="K129" s="14">
        <f>IF(G129=I129,1,0)</f>
        <v>1</v>
      </c>
      <c r="L129" s="14">
        <f>IF(H129=I129,1,0)</f>
        <v>1</v>
      </c>
      <c r="M129" s="14">
        <f>sum(J129:L129)/3</f>
        <v>1</v>
      </c>
    </row>
    <row r="130" hidden="1">
      <c r="A130" s="40" t="s">
        <v>404</v>
      </c>
      <c r="B130" s="15">
        <v>128.0</v>
      </c>
      <c r="E130" s="156" t="str">
        <f>VLOOKUP(A130,'List of documents'!C:K,9,0)</f>
        <v>included</v>
      </c>
      <c r="F130" s="157" t="str">
        <f>VLOOKUP(A130,'Annotation-old-Maria'!A:D,4,0)</f>
        <v/>
      </c>
      <c r="G130" s="14">
        <f t="shared" ref="G130:I130" si="169">IF(LOWER(D130)="included",1,0)</f>
        <v>0</v>
      </c>
      <c r="H130" s="14">
        <f t="shared" si="169"/>
        <v>1</v>
      </c>
      <c r="I130" s="14">
        <f t="shared" si="169"/>
        <v>0</v>
      </c>
    </row>
    <row r="131" hidden="1">
      <c r="A131" s="44" t="s">
        <v>1819</v>
      </c>
      <c r="B131" s="15">
        <v>129.0</v>
      </c>
      <c r="E131" s="156" t="str">
        <f>VLOOKUP(A131,'List of documents'!C:K,9,0)</f>
        <v>included</v>
      </c>
      <c r="F131" s="157" t="str">
        <f>VLOOKUP(A131,'Annotation-old-Maria'!A:D,4,0)</f>
        <v/>
      </c>
      <c r="G131" s="14">
        <f t="shared" ref="G131:I131" si="170">IF(LOWER(D131)="included",1,0)</f>
        <v>0</v>
      </c>
      <c r="H131" s="14">
        <f t="shared" si="170"/>
        <v>1</v>
      </c>
      <c r="I131" s="14">
        <f t="shared" si="170"/>
        <v>0</v>
      </c>
    </row>
    <row r="132" hidden="1">
      <c r="A132" s="44" t="s">
        <v>184</v>
      </c>
      <c r="B132" s="15">
        <v>130.0</v>
      </c>
      <c r="E132" s="156" t="str">
        <f>VLOOKUP(A132,'List of documents'!C:K,9,0)</f>
        <v>included</v>
      </c>
      <c r="F132" s="157" t="str">
        <f>VLOOKUP(A132,'Annotation-old-Maria'!A:D,4,0)</f>
        <v/>
      </c>
      <c r="G132" s="14">
        <f t="shared" ref="G132:I132" si="171">IF(LOWER(D132)="included",1,0)</f>
        <v>0</v>
      </c>
      <c r="H132" s="14">
        <f t="shared" si="171"/>
        <v>1</v>
      </c>
      <c r="I132" s="14">
        <f t="shared" si="171"/>
        <v>0</v>
      </c>
    </row>
    <row r="133">
      <c r="A133" s="42" t="s">
        <v>1191</v>
      </c>
      <c r="B133" s="15">
        <v>131.0</v>
      </c>
      <c r="C133" s="15">
        <v>1.0</v>
      </c>
      <c r="D133" s="15" t="s">
        <v>89</v>
      </c>
      <c r="E133" s="156" t="str">
        <f>VLOOKUP(A133,'List of documents'!C:K,9,0)</f>
        <v>not included</v>
      </c>
      <c r="F133" s="157" t="str">
        <f>VLOOKUP(A133,'Annotation-old-Maria'!A:D,4,0)</f>
        <v>Not included</v>
      </c>
      <c r="G133" s="14">
        <f t="shared" ref="G133:I133" si="172">IF(LOWER(D133)="included",1,0)</f>
        <v>0</v>
      </c>
      <c r="H133" s="14">
        <f t="shared" si="172"/>
        <v>0</v>
      </c>
      <c r="I133" s="14">
        <f t="shared" si="172"/>
        <v>0</v>
      </c>
      <c r="J133" s="14">
        <f t="shared" ref="J133:J135" si="174">IF(G133=H133,1,0)</f>
        <v>1</v>
      </c>
      <c r="K133" s="14">
        <f t="shared" ref="K133:K135" si="175">IF(G133=I133,1,0)</f>
        <v>1</v>
      </c>
      <c r="L133" s="14">
        <f t="shared" ref="L133:L135" si="176">IF(H133=I133,1,0)</f>
        <v>1</v>
      </c>
      <c r="M133" s="14">
        <f t="shared" ref="M133:M135" si="177">sum(J133:L133)/3</f>
        <v>1</v>
      </c>
    </row>
    <row r="134">
      <c r="A134" s="42" t="s">
        <v>1213</v>
      </c>
      <c r="B134" s="15">
        <v>132.0</v>
      </c>
      <c r="C134" s="15">
        <v>1.0</v>
      </c>
      <c r="D134" s="15" t="s">
        <v>89</v>
      </c>
      <c r="E134" s="156" t="str">
        <f>VLOOKUP(A134,'List of documents'!C:K,9,0)</f>
        <v>included</v>
      </c>
      <c r="F134" s="157" t="str">
        <f>VLOOKUP(A134,'Annotation-old-Maria'!A:D,4,0)</f>
        <v>Not included</v>
      </c>
      <c r="G134" s="14">
        <f t="shared" ref="G134:I134" si="173">IF(LOWER(D134)="included",1,0)</f>
        <v>0</v>
      </c>
      <c r="H134" s="14">
        <f t="shared" si="173"/>
        <v>1</v>
      </c>
      <c r="I134" s="14">
        <f t="shared" si="173"/>
        <v>0</v>
      </c>
      <c r="J134" s="14">
        <f t="shared" si="174"/>
        <v>0</v>
      </c>
      <c r="K134" s="14">
        <f t="shared" si="175"/>
        <v>1</v>
      </c>
      <c r="L134" s="14">
        <f t="shared" si="176"/>
        <v>0</v>
      </c>
      <c r="M134" s="14">
        <f t="shared" si="177"/>
        <v>0.3333333333</v>
      </c>
    </row>
    <row r="135">
      <c r="A135" s="42" t="s">
        <v>1229</v>
      </c>
      <c r="B135" s="15">
        <v>133.0</v>
      </c>
      <c r="C135" s="15">
        <v>1.0</v>
      </c>
      <c r="D135" s="15" t="s">
        <v>89</v>
      </c>
      <c r="E135" s="156" t="str">
        <f>VLOOKUP(A135,'List of documents'!C:K,9,0)</f>
        <v>not included</v>
      </c>
      <c r="F135" s="157" t="str">
        <f>VLOOKUP(A135,'Annotation-old-Maria'!A:D,4,0)</f>
        <v>Not included</v>
      </c>
      <c r="G135" s="14">
        <f t="shared" ref="G135:I135" si="178">IF(LOWER(D135)="included",1,0)</f>
        <v>0</v>
      </c>
      <c r="H135" s="14">
        <f t="shared" si="178"/>
        <v>0</v>
      </c>
      <c r="I135" s="14">
        <f t="shared" si="178"/>
        <v>0</v>
      </c>
      <c r="J135" s="14">
        <f t="shared" si="174"/>
        <v>1</v>
      </c>
      <c r="K135" s="14">
        <f t="shared" si="175"/>
        <v>1</v>
      </c>
      <c r="L135" s="14">
        <f t="shared" si="176"/>
        <v>1</v>
      </c>
      <c r="M135" s="14">
        <f t="shared" si="177"/>
        <v>1</v>
      </c>
    </row>
    <row r="136" hidden="1">
      <c r="A136" s="42" t="s">
        <v>1233</v>
      </c>
      <c r="B136" s="15">
        <v>134.0</v>
      </c>
      <c r="E136" s="156" t="str">
        <f>VLOOKUP(A136,'List of documents'!C:K,9,0)</f>
        <v>not included</v>
      </c>
      <c r="F136" s="157" t="str">
        <f>VLOOKUP(A136,'Annotation-old-Maria'!A:D,4,0)</f>
        <v/>
      </c>
      <c r="G136" s="14">
        <f t="shared" ref="G136:I136" si="179">IF(LOWER(D136)="included",1,0)</f>
        <v>0</v>
      </c>
      <c r="H136" s="14">
        <f t="shared" si="179"/>
        <v>0</v>
      </c>
      <c r="I136" s="14">
        <f t="shared" si="179"/>
        <v>0</v>
      </c>
    </row>
    <row r="137" hidden="1">
      <c r="A137" s="42" t="s">
        <v>2105</v>
      </c>
      <c r="B137" s="15">
        <v>135.0</v>
      </c>
      <c r="E137" s="156" t="str">
        <f>VLOOKUP(A137,'List of documents'!C:K,9,0)</f>
        <v>included</v>
      </c>
      <c r="F137" s="157" t="str">
        <f>VLOOKUP(A137,'Annotation-old-Maria'!A:D,4,0)</f>
        <v/>
      </c>
      <c r="G137" s="14">
        <f t="shared" ref="G137:I137" si="180">IF(LOWER(D137)="included",1,0)</f>
        <v>0</v>
      </c>
      <c r="H137" s="14">
        <f t="shared" si="180"/>
        <v>1</v>
      </c>
      <c r="I137" s="14">
        <f t="shared" si="180"/>
        <v>0</v>
      </c>
    </row>
    <row r="138" hidden="1">
      <c r="A138" s="42" t="s">
        <v>1242</v>
      </c>
      <c r="B138" s="15">
        <v>136.0</v>
      </c>
      <c r="E138" s="156" t="str">
        <f>VLOOKUP(A138,'List of documents'!C:K,9,0)</f>
        <v>not included</v>
      </c>
      <c r="F138" s="157" t="str">
        <f>VLOOKUP(A138,'Annotation-old-Maria'!A:D,4,0)</f>
        <v/>
      </c>
      <c r="G138" s="14">
        <f t="shared" ref="G138:I138" si="181">IF(LOWER(D138)="included",1,0)</f>
        <v>0</v>
      </c>
      <c r="H138" s="14">
        <f t="shared" si="181"/>
        <v>0</v>
      </c>
      <c r="I138" s="14">
        <f t="shared" si="181"/>
        <v>0</v>
      </c>
    </row>
    <row r="139" hidden="1">
      <c r="A139" s="42" t="s">
        <v>1248</v>
      </c>
      <c r="B139" s="15">
        <v>137.0</v>
      </c>
      <c r="E139" s="156" t="str">
        <f>VLOOKUP(A139,'List of documents'!C:K,9,0)</f>
        <v>not included</v>
      </c>
      <c r="F139" s="157" t="str">
        <f>VLOOKUP(A139,'Annotation-old-Maria'!A:D,4,0)</f>
        <v/>
      </c>
      <c r="G139" s="14">
        <f t="shared" ref="G139:I139" si="182">IF(LOWER(D139)="included",1,0)</f>
        <v>0</v>
      </c>
      <c r="H139" s="14">
        <f t="shared" si="182"/>
        <v>0</v>
      </c>
      <c r="I139" s="14">
        <f t="shared" si="182"/>
        <v>0</v>
      </c>
    </row>
    <row r="140">
      <c r="A140" s="42" t="s">
        <v>1251</v>
      </c>
      <c r="B140" s="15">
        <v>138.0</v>
      </c>
      <c r="C140" s="15">
        <v>1.0</v>
      </c>
      <c r="D140" s="15" t="s">
        <v>89</v>
      </c>
      <c r="E140" s="156" t="str">
        <f>VLOOKUP(A140,'List of documents'!C:K,9,0)</f>
        <v>not included</v>
      </c>
      <c r="F140" s="157" t="str">
        <f>VLOOKUP(A140,'Annotation-old-Maria'!A:D,4,0)</f>
        <v>Not included</v>
      </c>
      <c r="G140" s="14">
        <f t="shared" ref="G140:I140" si="183">IF(LOWER(D140)="included",1,0)</f>
        <v>0</v>
      </c>
      <c r="H140" s="14">
        <f t="shared" si="183"/>
        <v>0</v>
      </c>
      <c r="I140" s="14">
        <f t="shared" si="183"/>
        <v>0</v>
      </c>
      <c r="J140" s="14">
        <f>IF(G140=H140,1,0)</f>
        <v>1</v>
      </c>
      <c r="K140" s="14">
        <f>IF(G140=I140,1,0)</f>
        <v>1</v>
      </c>
      <c r="L140" s="14">
        <f>IF(H140=I140,1,0)</f>
        <v>1</v>
      </c>
      <c r="M140" s="14">
        <f>sum(J140:L140)/3</f>
        <v>1</v>
      </c>
    </row>
    <row r="141" hidden="1">
      <c r="A141" s="42" t="s">
        <v>1254</v>
      </c>
      <c r="B141" s="15">
        <v>139.0</v>
      </c>
      <c r="E141" s="156" t="str">
        <f>VLOOKUP(A141,'List of documents'!C:K,9,0)</f>
        <v>not included</v>
      </c>
      <c r="F141" s="157" t="str">
        <f>VLOOKUP(A141,'Annotation-old-Maria'!A:D,4,0)</f>
        <v/>
      </c>
      <c r="G141" s="14">
        <f t="shared" ref="G141:I141" si="184">IF(LOWER(D141)="included",1,0)</f>
        <v>0</v>
      </c>
      <c r="H141" s="14">
        <f t="shared" si="184"/>
        <v>0</v>
      </c>
      <c r="I141" s="14">
        <f t="shared" si="184"/>
        <v>0</v>
      </c>
    </row>
    <row r="142" hidden="1">
      <c r="A142" s="42" t="s">
        <v>1258</v>
      </c>
      <c r="B142" s="15">
        <v>140.0</v>
      </c>
      <c r="E142" s="156" t="str">
        <f>VLOOKUP(A142,'List of documents'!C:K,9,0)</f>
        <v>not included</v>
      </c>
      <c r="F142" s="157" t="str">
        <f>VLOOKUP(A142,'Annotation-old-Maria'!A:D,4,0)</f>
        <v/>
      </c>
      <c r="G142" s="14">
        <f t="shared" ref="G142:I142" si="185">IF(LOWER(D142)="included",1,0)</f>
        <v>0</v>
      </c>
      <c r="H142" s="14">
        <f t="shared" si="185"/>
        <v>0</v>
      </c>
      <c r="I142" s="14">
        <f t="shared" si="185"/>
        <v>0</v>
      </c>
    </row>
    <row r="143">
      <c r="A143" s="42" t="s">
        <v>1261</v>
      </c>
      <c r="B143" s="15">
        <v>141.0</v>
      </c>
      <c r="C143" s="15">
        <v>1.0</v>
      </c>
      <c r="D143" s="15" t="s">
        <v>89</v>
      </c>
      <c r="E143" s="156" t="str">
        <f>VLOOKUP(A143,'List of documents'!C:K,9,0)</f>
        <v>not included</v>
      </c>
      <c r="F143" s="157" t="str">
        <f>VLOOKUP(A143,'Annotation-old-Maria'!A:D,4,0)</f>
        <v>Not included</v>
      </c>
      <c r="G143" s="14">
        <f t="shared" ref="G143:I143" si="186">IF(LOWER(D143)="included",1,0)</f>
        <v>0</v>
      </c>
      <c r="H143" s="14">
        <f t="shared" si="186"/>
        <v>0</v>
      </c>
      <c r="I143" s="14">
        <f t="shared" si="186"/>
        <v>0</v>
      </c>
      <c r="J143" s="14">
        <f>IF(G143=H143,1,0)</f>
        <v>1</v>
      </c>
      <c r="K143" s="14">
        <f>IF(G143=I143,1,0)</f>
        <v>1</v>
      </c>
      <c r="L143" s="14">
        <f>IF(H143=I143,1,0)</f>
        <v>1</v>
      </c>
      <c r="M143" s="14">
        <f>sum(J143:L143)/3</f>
        <v>1</v>
      </c>
    </row>
    <row r="144" hidden="1">
      <c r="A144" s="42" t="s">
        <v>1263</v>
      </c>
      <c r="B144" s="15">
        <v>142.0</v>
      </c>
      <c r="E144" s="156" t="str">
        <f>VLOOKUP(A144,'List of documents'!C:K,9,0)</f>
        <v>not included</v>
      </c>
      <c r="F144" s="157" t="str">
        <f>VLOOKUP(A144,'Annotation-old-Maria'!A:D,4,0)</f>
        <v/>
      </c>
      <c r="G144" s="14">
        <f t="shared" ref="G144:I144" si="187">IF(LOWER(D144)="included",1,0)</f>
        <v>0</v>
      </c>
      <c r="H144" s="14">
        <f t="shared" si="187"/>
        <v>0</v>
      </c>
      <c r="I144" s="14">
        <f t="shared" si="187"/>
        <v>0</v>
      </c>
    </row>
    <row r="145">
      <c r="A145" s="42" t="s">
        <v>1266</v>
      </c>
      <c r="B145" s="15">
        <v>143.0</v>
      </c>
      <c r="C145" s="15">
        <v>1.0</v>
      </c>
      <c r="D145" s="15" t="s">
        <v>89</v>
      </c>
      <c r="E145" s="156" t="str">
        <f>VLOOKUP(A145,'List of documents'!C:K,9,0)</f>
        <v>not included</v>
      </c>
      <c r="F145" s="157" t="str">
        <f>VLOOKUP(A145,'Annotation-old-Maria'!A:D,4,0)</f>
        <v>Not included</v>
      </c>
      <c r="G145" s="14">
        <f t="shared" ref="G145:I145" si="188">IF(LOWER(D145)="included",1,0)</f>
        <v>0</v>
      </c>
      <c r="H145" s="14">
        <f t="shared" si="188"/>
        <v>0</v>
      </c>
      <c r="I145" s="14">
        <f t="shared" si="188"/>
        <v>0</v>
      </c>
      <c r="J145" s="14">
        <f>IF(G145=H145,1,0)</f>
        <v>1</v>
      </c>
      <c r="K145" s="14">
        <f>IF(G145=I145,1,0)</f>
        <v>1</v>
      </c>
      <c r="L145" s="14">
        <f>IF(H145=I145,1,0)</f>
        <v>1</v>
      </c>
      <c r="M145" s="14">
        <f>sum(J145:L145)/3</f>
        <v>1</v>
      </c>
    </row>
    <row r="146" hidden="1">
      <c r="A146" s="44" t="s">
        <v>2385</v>
      </c>
      <c r="B146" s="15">
        <v>144.0</v>
      </c>
      <c r="E146" s="156" t="str">
        <f>VLOOKUP(A146,'List of documents'!C:K,9,0)</f>
        <v>included</v>
      </c>
      <c r="F146" s="157" t="str">
        <f>VLOOKUP(A146,'Annotation-old-Maria'!A:D,4,0)</f>
        <v/>
      </c>
      <c r="G146" s="14">
        <f t="shared" ref="G146:I146" si="189">IF(LOWER(D146)="included",1,0)</f>
        <v>0</v>
      </c>
      <c r="H146" s="14">
        <f t="shared" si="189"/>
        <v>1</v>
      </c>
      <c r="I146" s="14">
        <f t="shared" si="189"/>
        <v>0</v>
      </c>
    </row>
    <row r="147">
      <c r="A147" s="30" t="s">
        <v>1273</v>
      </c>
      <c r="B147" s="15">
        <v>145.0</v>
      </c>
      <c r="C147" s="15">
        <v>1.0</v>
      </c>
      <c r="D147" s="15" t="s">
        <v>89</v>
      </c>
      <c r="E147" s="156" t="str">
        <f>VLOOKUP(A147,'List of documents'!C:K,9,0)</f>
        <v>not included</v>
      </c>
      <c r="F147" s="157" t="str">
        <f>VLOOKUP(A147,'Annotation-old-Maria'!A:D,4,0)</f>
        <v>Not included</v>
      </c>
      <c r="G147" s="14">
        <f t="shared" ref="G147:I147" si="190">IF(LOWER(D147)="included",1,0)</f>
        <v>0</v>
      </c>
      <c r="H147" s="14">
        <f t="shared" si="190"/>
        <v>0</v>
      </c>
      <c r="I147" s="14">
        <f t="shared" si="190"/>
        <v>0</v>
      </c>
      <c r="J147" s="14">
        <f>IF(G147=H147,1,0)</f>
        <v>1</v>
      </c>
      <c r="K147" s="14">
        <f>IF(G147=I147,1,0)</f>
        <v>1</v>
      </c>
      <c r="L147" s="14">
        <f>IF(H147=I147,1,0)</f>
        <v>1</v>
      </c>
      <c r="M147" s="14">
        <f>sum(J147:L147)/3</f>
        <v>1</v>
      </c>
    </row>
    <row r="148" hidden="1">
      <c r="A148" s="42" t="s">
        <v>1276</v>
      </c>
      <c r="B148" s="15">
        <v>146.0</v>
      </c>
      <c r="E148" s="156" t="str">
        <f>VLOOKUP(A148,'List of documents'!C:K,9,0)</f>
        <v>not included</v>
      </c>
      <c r="F148" s="157" t="str">
        <f>VLOOKUP(A148,'Annotation-old-Maria'!A:D,4,0)</f>
        <v/>
      </c>
      <c r="G148" s="14">
        <f t="shared" ref="G148:I148" si="191">IF(LOWER(D148)="included",1,0)</f>
        <v>0</v>
      </c>
      <c r="H148" s="14">
        <f t="shared" si="191"/>
        <v>0</v>
      </c>
      <c r="I148" s="14">
        <f t="shared" si="191"/>
        <v>0</v>
      </c>
    </row>
    <row r="149" hidden="1">
      <c r="A149" s="30" t="s">
        <v>1279</v>
      </c>
      <c r="B149" s="15">
        <v>147.0</v>
      </c>
      <c r="E149" s="156" t="str">
        <f>VLOOKUP(A149,'List of documents'!C:K,9,0)</f>
        <v>not included</v>
      </c>
      <c r="F149" s="157" t="str">
        <f>VLOOKUP(A149,'Annotation-old-Maria'!A:D,4,0)</f>
        <v/>
      </c>
      <c r="G149" s="14">
        <f t="shared" ref="G149:I149" si="192">IF(LOWER(D149)="included",1,0)</f>
        <v>0</v>
      </c>
      <c r="H149" s="14">
        <f t="shared" si="192"/>
        <v>0</v>
      </c>
      <c r="I149" s="14">
        <f t="shared" si="192"/>
        <v>0</v>
      </c>
    </row>
    <row r="150" hidden="1">
      <c r="A150" s="16" t="s">
        <v>1291</v>
      </c>
      <c r="B150" s="15">
        <v>148.0</v>
      </c>
      <c r="E150" s="156" t="str">
        <f>VLOOKUP(A150,'List of documents'!C:K,9,0)</f>
        <v>not included</v>
      </c>
      <c r="F150" s="157" t="str">
        <f>VLOOKUP(A150,'Annotation-old-Maria'!A:D,4,0)</f>
        <v/>
      </c>
      <c r="G150" s="14">
        <f t="shared" ref="G150:I150" si="193">IF(LOWER(D150)="included",1,0)</f>
        <v>0</v>
      </c>
      <c r="H150" s="14">
        <f t="shared" si="193"/>
        <v>0</v>
      </c>
      <c r="I150" s="14">
        <f t="shared" si="193"/>
        <v>0</v>
      </c>
    </row>
    <row r="151" hidden="1">
      <c r="A151" s="57" t="s">
        <v>1294</v>
      </c>
      <c r="B151" s="15">
        <v>149.0</v>
      </c>
      <c r="E151" s="156" t="str">
        <f>VLOOKUP(A151,'List of documents'!C:K,9,0)</f>
        <v>not included</v>
      </c>
      <c r="F151" s="157" t="str">
        <f>VLOOKUP(A151,'Annotation-old-Maria'!A:D,4,0)</f>
        <v/>
      </c>
      <c r="G151" s="14">
        <f t="shared" ref="G151:I151" si="194">IF(LOWER(D151)="included",1,0)</f>
        <v>0</v>
      </c>
      <c r="H151" s="14">
        <f t="shared" si="194"/>
        <v>0</v>
      </c>
      <c r="I151" s="14">
        <f t="shared" si="194"/>
        <v>0</v>
      </c>
    </row>
    <row r="152" hidden="1">
      <c r="A152" s="34" t="s">
        <v>1313</v>
      </c>
      <c r="B152" s="15">
        <v>150.0</v>
      </c>
      <c r="E152" s="156" t="str">
        <f>VLOOKUP(A152,'List of documents'!C:K,9,0)</f>
        <v>not included</v>
      </c>
      <c r="F152" s="157" t="str">
        <f>VLOOKUP(A152,'Annotation-old-Maria'!A:D,4,0)</f>
        <v/>
      </c>
      <c r="G152" s="14">
        <f t="shared" ref="G152:I152" si="195">IF(LOWER(D152)="included",1,0)</f>
        <v>0</v>
      </c>
      <c r="H152" s="14">
        <f t="shared" si="195"/>
        <v>0</v>
      </c>
      <c r="I152" s="14">
        <f t="shared" si="195"/>
        <v>0</v>
      </c>
    </row>
    <row r="153">
      <c r="A153" s="42" t="s">
        <v>1315</v>
      </c>
      <c r="B153" s="15">
        <v>151.0</v>
      </c>
      <c r="C153" s="15">
        <v>1.0</v>
      </c>
      <c r="D153" s="15" t="s">
        <v>89</v>
      </c>
      <c r="E153" s="156" t="str">
        <f>VLOOKUP(A153,'List of documents'!C:K,9,0)</f>
        <v>not included</v>
      </c>
      <c r="F153" s="157" t="str">
        <f>VLOOKUP(A153,'Annotation-old-Maria'!A:D,4,0)</f>
        <v>Not included</v>
      </c>
      <c r="G153" s="14">
        <f t="shared" ref="G153:I153" si="196">IF(LOWER(D153)="included",1,0)</f>
        <v>0</v>
      </c>
      <c r="H153" s="14">
        <f t="shared" si="196"/>
        <v>0</v>
      </c>
      <c r="I153" s="14">
        <f t="shared" si="196"/>
        <v>0</v>
      </c>
      <c r="J153" s="14">
        <f>IF(G153=H153,1,0)</f>
        <v>1</v>
      </c>
      <c r="K153" s="14">
        <f>IF(G153=I153,1,0)</f>
        <v>1</v>
      </c>
      <c r="L153" s="14">
        <f>IF(H153=I153,1,0)</f>
        <v>1</v>
      </c>
      <c r="M153" s="14">
        <f>sum(J153:L153)/3</f>
        <v>1</v>
      </c>
    </row>
    <row r="154" hidden="1">
      <c r="A154" s="42" t="s">
        <v>1318</v>
      </c>
      <c r="B154" s="15">
        <v>152.0</v>
      </c>
      <c r="E154" s="156" t="str">
        <f>VLOOKUP(A154,'List of documents'!C:K,9,0)</f>
        <v>Not included</v>
      </c>
      <c r="F154" s="157" t="str">
        <f>VLOOKUP(A154,'Annotation-old-Maria'!A:D,4,0)</f>
        <v/>
      </c>
      <c r="G154" s="14">
        <f t="shared" ref="G154:I154" si="197">IF(LOWER(D154)="included",1,0)</f>
        <v>0</v>
      </c>
      <c r="H154" s="14">
        <f t="shared" si="197"/>
        <v>0</v>
      </c>
      <c r="I154" s="14">
        <f t="shared" si="197"/>
        <v>0</v>
      </c>
    </row>
    <row r="155" hidden="1">
      <c r="A155" s="44" t="s">
        <v>1334</v>
      </c>
      <c r="B155" s="15">
        <v>153.0</v>
      </c>
      <c r="E155" s="156" t="str">
        <f>VLOOKUP(A155,'List of documents'!C:K,9,0)</f>
        <v>not included</v>
      </c>
      <c r="F155" s="157" t="str">
        <f>VLOOKUP(A155,'Annotation-old-Maria'!A:D,4,0)</f>
        <v/>
      </c>
      <c r="G155" s="14">
        <f t="shared" ref="G155:I155" si="198">IF(LOWER(D155)="included",1,0)</f>
        <v>0</v>
      </c>
      <c r="H155" s="14">
        <f t="shared" si="198"/>
        <v>0</v>
      </c>
      <c r="I155" s="14">
        <f t="shared" si="198"/>
        <v>0</v>
      </c>
    </row>
    <row r="156" hidden="1">
      <c r="A156" s="42" t="s">
        <v>1349</v>
      </c>
      <c r="B156" s="15">
        <v>154.0</v>
      </c>
      <c r="E156" s="156" t="str">
        <f>VLOOKUP(A156,'List of documents'!C:K,9,0)</f>
        <v>not included</v>
      </c>
      <c r="F156" s="157" t="str">
        <f>VLOOKUP(A156,'Annotation-old-Maria'!A:D,4,0)</f>
        <v/>
      </c>
      <c r="G156" s="14">
        <f t="shared" ref="G156:I156" si="199">IF(LOWER(D156)="included",1,0)</f>
        <v>0</v>
      </c>
      <c r="H156" s="14">
        <f t="shared" si="199"/>
        <v>0</v>
      </c>
      <c r="I156" s="14">
        <f t="shared" si="199"/>
        <v>0</v>
      </c>
    </row>
    <row r="157">
      <c r="A157" s="52" t="s">
        <v>1785</v>
      </c>
      <c r="B157" s="15">
        <v>155.0</v>
      </c>
      <c r="C157" s="15">
        <v>1.0</v>
      </c>
      <c r="D157" s="15" t="s">
        <v>50</v>
      </c>
      <c r="E157" s="156" t="str">
        <f>VLOOKUP(A157,'List of documents'!C:K,9,0)</f>
        <v>included</v>
      </c>
      <c r="F157" s="157" t="str">
        <f>VLOOKUP(A157,'Annotation-old-Maria'!A:D,4,0)</f>
        <v>Included</v>
      </c>
      <c r="G157" s="14">
        <f t="shared" ref="G157:I157" si="200">IF(LOWER(D157)="included",1,0)</f>
        <v>1</v>
      </c>
      <c r="H157" s="14">
        <f t="shared" si="200"/>
        <v>1</v>
      </c>
      <c r="I157" s="14">
        <f t="shared" si="200"/>
        <v>1</v>
      </c>
      <c r="J157" s="14">
        <f>IF(G157=H157,1,0)</f>
        <v>1</v>
      </c>
      <c r="K157" s="14">
        <f>IF(G157=I157,1,0)</f>
        <v>1</v>
      </c>
      <c r="L157" s="14">
        <f>IF(H157=I157,1,0)</f>
        <v>1</v>
      </c>
      <c r="M157" s="14">
        <f>sum(J157:L157)/3</f>
        <v>1</v>
      </c>
    </row>
    <row r="158" hidden="1">
      <c r="A158" s="40" t="s">
        <v>1384</v>
      </c>
      <c r="B158" s="15">
        <v>156.0</v>
      </c>
      <c r="E158" s="156" t="str">
        <f>VLOOKUP(A158,'List of documents'!C:K,9,0)</f>
        <v>not included</v>
      </c>
      <c r="F158" s="157" t="str">
        <f>VLOOKUP(A158,'Annotation-old-Maria'!A:D,4,0)</f>
        <v/>
      </c>
      <c r="G158" s="14">
        <f t="shared" ref="G158:I158" si="201">IF(LOWER(D158)="included",1,0)</f>
        <v>0</v>
      </c>
      <c r="H158" s="14">
        <f t="shared" si="201"/>
        <v>0</v>
      </c>
      <c r="I158" s="14">
        <f t="shared" si="201"/>
        <v>0</v>
      </c>
    </row>
    <row r="159">
      <c r="A159" s="42" t="s">
        <v>1390</v>
      </c>
      <c r="B159" s="15">
        <v>157.0</v>
      </c>
      <c r="C159" s="15">
        <v>1.0</v>
      </c>
      <c r="D159" s="15" t="s">
        <v>89</v>
      </c>
      <c r="E159" s="156" t="str">
        <f>VLOOKUP(A159,'List of documents'!C:K,9,0)</f>
        <v>not included</v>
      </c>
      <c r="F159" s="157" t="str">
        <f>VLOOKUP(A159,'Annotation-old-Maria'!A:D,4,0)</f>
        <v>Not included</v>
      </c>
      <c r="G159" s="14">
        <f t="shared" ref="G159:I159" si="202">IF(LOWER(D159)="included",1,0)</f>
        <v>0</v>
      </c>
      <c r="H159" s="14">
        <f t="shared" si="202"/>
        <v>0</v>
      </c>
      <c r="I159" s="14">
        <f t="shared" si="202"/>
        <v>0</v>
      </c>
      <c r="J159" s="14">
        <f>IF(G159=H159,1,0)</f>
        <v>1</v>
      </c>
      <c r="K159" s="14">
        <f>IF(G159=I159,1,0)</f>
        <v>1</v>
      </c>
      <c r="L159" s="14">
        <f>IF(H159=I159,1,0)</f>
        <v>1</v>
      </c>
      <c r="M159" s="14">
        <f>sum(J159:L159)/3</f>
        <v>1</v>
      </c>
    </row>
    <row r="160" hidden="1">
      <c r="A160" s="34" t="s">
        <v>1814</v>
      </c>
      <c r="B160" s="15">
        <v>158.0</v>
      </c>
      <c r="E160" s="156" t="str">
        <f>VLOOKUP(A160,'List of documents'!C:K,9,0)</f>
        <v>included</v>
      </c>
      <c r="F160" s="157" t="str">
        <f>VLOOKUP(A160,'Annotation-old-Maria'!A:D,4,0)</f>
        <v/>
      </c>
      <c r="G160" s="14">
        <f t="shared" ref="G160:I160" si="203">IF(LOWER(D160)="included",1,0)</f>
        <v>0</v>
      </c>
      <c r="H160" s="14">
        <f t="shared" si="203"/>
        <v>1</v>
      </c>
      <c r="I160" s="14">
        <f t="shared" si="203"/>
        <v>0</v>
      </c>
    </row>
    <row r="161" hidden="1">
      <c r="A161" s="16" t="s">
        <v>954</v>
      </c>
      <c r="B161" s="15">
        <v>159.0</v>
      </c>
      <c r="E161" s="156" t="str">
        <f>VLOOKUP(A161,'List of documents'!C:K,9,0)</f>
        <v>included</v>
      </c>
      <c r="F161" s="157" t="str">
        <f>VLOOKUP(A161,'Annotation-old-Maria'!A:D,4,0)</f>
        <v/>
      </c>
      <c r="G161" s="14">
        <f t="shared" ref="G161:I161" si="204">IF(LOWER(D161)="included",1,0)</f>
        <v>0</v>
      </c>
      <c r="H161" s="14">
        <f t="shared" si="204"/>
        <v>1</v>
      </c>
      <c r="I161" s="14">
        <f t="shared" si="204"/>
        <v>0</v>
      </c>
    </row>
    <row r="162" hidden="1">
      <c r="A162" s="16" t="s">
        <v>1412</v>
      </c>
      <c r="B162" s="15">
        <v>160.0</v>
      </c>
      <c r="E162" s="156" t="str">
        <f>VLOOKUP(A162,'List of documents'!C:K,9,0)</f>
        <v>Not included</v>
      </c>
      <c r="F162" s="157" t="str">
        <f>VLOOKUP(A162,'Annotation-old-Maria'!A:D,4,0)</f>
        <v/>
      </c>
      <c r="G162" s="14">
        <f t="shared" ref="G162:I162" si="205">IF(LOWER(D162)="included",1,0)</f>
        <v>0</v>
      </c>
      <c r="H162" s="14">
        <f t="shared" si="205"/>
        <v>0</v>
      </c>
      <c r="I162" s="14">
        <f t="shared" si="205"/>
        <v>0</v>
      </c>
    </row>
    <row r="163" hidden="1">
      <c r="A163" s="52" t="s">
        <v>1426</v>
      </c>
      <c r="B163" s="15">
        <v>161.0</v>
      </c>
      <c r="E163" s="156" t="str">
        <f>VLOOKUP(A163,'List of documents'!C:K,9,0)</f>
        <v>not included</v>
      </c>
      <c r="F163" s="157" t="str">
        <f>VLOOKUP(A163,'Annotation-old-Maria'!A:D,4,0)</f>
        <v/>
      </c>
      <c r="G163" s="14">
        <f t="shared" ref="G163:I163" si="206">IF(LOWER(D163)="included",1,0)</f>
        <v>0</v>
      </c>
      <c r="H163" s="14">
        <f t="shared" si="206"/>
        <v>0</v>
      </c>
      <c r="I163" s="14">
        <f t="shared" si="206"/>
        <v>0</v>
      </c>
    </row>
    <row r="164" hidden="1">
      <c r="A164" s="42" t="s">
        <v>1430</v>
      </c>
      <c r="B164" s="15">
        <v>162.0</v>
      </c>
      <c r="E164" s="156" t="str">
        <f>VLOOKUP(A164,'List of documents'!C:K,9,0)</f>
        <v>not included</v>
      </c>
      <c r="F164" s="157" t="str">
        <f>VLOOKUP(A164,'Annotation-old-Maria'!A:D,4,0)</f>
        <v/>
      </c>
      <c r="G164" s="14">
        <f t="shared" ref="G164:I164" si="207">IF(LOWER(D164)="included",1,0)</f>
        <v>0</v>
      </c>
      <c r="H164" s="14">
        <f t="shared" si="207"/>
        <v>0</v>
      </c>
      <c r="I164" s="14">
        <f t="shared" si="207"/>
        <v>0</v>
      </c>
    </row>
    <row r="165" hidden="1">
      <c r="A165" s="34" t="s">
        <v>1441</v>
      </c>
      <c r="B165" s="15">
        <v>163.0</v>
      </c>
      <c r="E165" s="156" t="str">
        <f>VLOOKUP(A165,'List of documents'!C:K,9,0)</f>
        <v>not included</v>
      </c>
      <c r="F165" s="157" t="str">
        <f>VLOOKUP(A165,'Annotation-old-Maria'!A:D,4,0)</f>
        <v/>
      </c>
      <c r="G165" s="14">
        <f t="shared" ref="G165:I165" si="208">IF(LOWER(D165)="included",1,0)</f>
        <v>0</v>
      </c>
      <c r="H165" s="14">
        <f t="shared" si="208"/>
        <v>0</v>
      </c>
      <c r="I165" s="14">
        <f t="shared" si="208"/>
        <v>0</v>
      </c>
    </row>
    <row r="166" hidden="1">
      <c r="A166" s="42" t="s">
        <v>1456</v>
      </c>
      <c r="B166" s="15">
        <v>164.0</v>
      </c>
      <c r="E166" s="156" t="str">
        <f>VLOOKUP(A166,'List of documents'!C:K,9,0)</f>
        <v>not included</v>
      </c>
      <c r="F166" s="157" t="str">
        <f>VLOOKUP(A166,'Annotation-old-Maria'!A:D,4,0)</f>
        <v/>
      </c>
      <c r="G166" s="14">
        <f t="shared" ref="G166:I166" si="209">IF(LOWER(D166)="included",1,0)</f>
        <v>0</v>
      </c>
      <c r="H166" s="14">
        <f t="shared" si="209"/>
        <v>0</v>
      </c>
      <c r="I166" s="14">
        <f t="shared" si="209"/>
        <v>0</v>
      </c>
    </row>
    <row r="167" hidden="1">
      <c r="A167" s="30" t="s">
        <v>1459</v>
      </c>
      <c r="B167" s="15">
        <v>165.0</v>
      </c>
      <c r="E167" s="156" t="str">
        <f>VLOOKUP(A167,'List of documents'!C:K,9,0)</f>
        <v>not included</v>
      </c>
      <c r="F167" s="157" t="str">
        <f>VLOOKUP(A167,'Annotation-old-Maria'!A:D,4,0)</f>
        <v/>
      </c>
      <c r="G167" s="14">
        <f t="shared" ref="G167:I167" si="210">IF(LOWER(D167)="included",1,0)</f>
        <v>0</v>
      </c>
      <c r="H167" s="14">
        <f t="shared" si="210"/>
        <v>0</v>
      </c>
      <c r="I167" s="14">
        <f t="shared" si="210"/>
        <v>0</v>
      </c>
    </row>
    <row r="168">
      <c r="A168" s="175" t="s">
        <v>1206</v>
      </c>
      <c r="B168" s="15">
        <v>166.0</v>
      </c>
      <c r="C168" s="15">
        <v>1.0</v>
      </c>
      <c r="D168" s="15" t="s">
        <v>50</v>
      </c>
      <c r="E168" s="156" t="str">
        <f>VLOOKUP(A168,'List of documents'!C:K,9,0)</f>
        <v>included</v>
      </c>
      <c r="F168" s="157" t="str">
        <f>VLOOKUP(A168,'Annotation-old-Maria'!A:D,4,0)</f>
        <v>Included</v>
      </c>
      <c r="G168" s="14">
        <f t="shared" ref="G168:I168" si="211">IF(LOWER(D168)="included",1,0)</f>
        <v>1</v>
      </c>
      <c r="H168" s="14">
        <f t="shared" si="211"/>
        <v>1</v>
      </c>
      <c r="I168" s="14">
        <f t="shared" si="211"/>
        <v>1</v>
      </c>
      <c r="J168" s="14">
        <f>IF(G168=H168,1,0)</f>
        <v>1</v>
      </c>
      <c r="K168" s="14">
        <f>IF(G168=I168,1,0)</f>
        <v>1</v>
      </c>
      <c r="L168" s="14">
        <f>IF(H168=I168,1,0)</f>
        <v>1</v>
      </c>
      <c r="M168" s="14">
        <f>sum(J168:L168)/3</f>
        <v>1</v>
      </c>
    </row>
    <row r="169" hidden="1">
      <c r="A169" s="44" t="s">
        <v>1464</v>
      </c>
      <c r="B169" s="15">
        <v>167.0</v>
      </c>
      <c r="E169" s="156" t="str">
        <f>VLOOKUP(A169,'List of documents'!C:K,9,0)</f>
        <v>not included</v>
      </c>
      <c r="F169" s="157" t="str">
        <f>VLOOKUP(A169,'Annotation-old-Maria'!A:D,4,0)</f>
        <v/>
      </c>
      <c r="G169" s="14">
        <f t="shared" ref="G169:I169" si="212">IF(LOWER(D169)="included",1,0)</f>
        <v>0</v>
      </c>
      <c r="H169" s="14">
        <f t="shared" si="212"/>
        <v>0</v>
      </c>
      <c r="I169" s="14">
        <f t="shared" si="212"/>
        <v>0</v>
      </c>
    </row>
    <row r="170" hidden="1">
      <c r="A170" s="44" t="s">
        <v>1466</v>
      </c>
      <c r="B170" s="15">
        <v>168.0</v>
      </c>
      <c r="E170" s="156" t="str">
        <f>VLOOKUP(A170,'List of documents'!C:K,9,0)</f>
        <v>not included</v>
      </c>
      <c r="F170" s="157" t="str">
        <f>VLOOKUP(A170,'Annotation-old-Maria'!A:D,4,0)</f>
        <v/>
      </c>
      <c r="G170" s="14">
        <f t="shared" ref="G170:I170" si="213">IF(LOWER(D170)="included",1,0)</f>
        <v>0</v>
      </c>
      <c r="H170" s="14">
        <f t="shared" si="213"/>
        <v>0</v>
      </c>
      <c r="I170" s="14">
        <f t="shared" si="213"/>
        <v>0</v>
      </c>
    </row>
    <row r="171" hidden="1">
      <c r="A171" s="16" t="s">
        <v>1471</v>
      </c>
      <c r="B171" s="15">
        <v>169.0</v>
      </c>
      <c r="E171" s="156" t="str">
        <f>VLOOKUP(A171,'List of documents'!C:K,9,0)</f>
        <v>not included</v>
      </c>
      <c r="F171" s="157" t="str">
        <f>VLOOKUP(A171,'Annotation-old-Maria'!A:D,4,0)</f>
        <v/>
      </c>
      <c r="G171" s="14">
        <f t="shared" ref="G171:I171" si="214">IF(LOWER(D171)="included",1,0)</f>
        <v>0</v>
      </c>
      <c r="H171" s="14">
        <f t="shared" si="214"/>
        <v>0</v>
      </c>
      <c r="I171" s="14">
        <f t="shared" si="214"/>
        <v>0</v>
      </c>
    </row>
    <row r="172" hidden="1">
      <c r="A172" s="57" t="s">
        <v>1474</v>
      </c>
      <c r="B172" s="15">
        <v>170.0</v>
      </c>
      <c r="E172" s="156" t="str">
        <f>VLOOKUP(A172,'List of documents'!C:K,9,0)</f>
        <v>not included</v>
      </c>
      <c r="F172" s="157" t="str">
        <f>VLOOKUP(A172,'Annotation-old-Maria'!A:D,4,0)</f>
        <v/>
      </c>
      <c r="G172" s="14">
        <f t="shared" ref="G172:I172" si="215">IF(LOWER(D172)="included",1,0)</f>
        <v>0</v>
      </c>
      <c r="H172" s="14">
        <f t="shared" si="215"/>
        <v>0</v>
      </c>
      <c r="I172" s="14">
        <f t="shared" si="215"/>
        <v>0</v>
      </c>
    </row>
    <row r="173" hidden="1">
      <c r="A173" s="42" t="s">
        <v>1477</v>
      </c>
      <c r="B173" s="15">
        <v>171.0</v>
      </c>
      <c r="E173" s="156" t="str">
        <f>VLOOKUP(A173,'List of documents'!C:K,9,0)</f>
        <v>Not included</v>
      </c>
      <c r="F173" s="157" t="str">
        <f>VLOOKUP(A173,'Annotation-old-Maria'!A:D,4,0)</f>
        <v/>
      </c>
      <c r="G173" s="14">
        <f t="shared" ref="G173:I173" si="216">IF(LOWER(D173)="included",1,0)</f>
        <v>0</v>
      </c>
      <c r="H173" s="14">
        <f t="shared" si="216"/>
        <v>0</v>
      </c>
      <c r="I173" s="14">
        <f t="shared" si="216"/>
        <v>0</v>
      </c>
    </row>
    <row r="174" hidden="1">
      <c r="A174" s="51" t="s">
        <v>523</v>
      </c>
      <c r="B174" s="15">
        <v>172.0</v>
      </c>
      <c r="E174" s="156" t="str">
        <f>VLOOKUP(A174,'List of documents'!C:K,9,0)</f>
        <v>included</v>
      </c>
      <c r="F174" s="157" t="str">
        <f>VLOOKUP(A174,'Annotation-old-Maria'!A:D,4,0)</f>
        <v/>
      </c>
      <c r="G174" s="14">
        <f t="shared" ref="G174:I174" si="217">IF(LOWER(D174)="included",1,0)</f>
        <v>0</v>
      </c>
      <c r="H174" s="14">
        <f t="shared" si="217"/>
        <v>1</v>
      </c>
      <c r="I174" s="14">
        <f t="shared" si="217"/>
        <v>0</v>
      </c>
    </row>
    <row r="175" hidden="1">
      <c r="A175" s="42" t="s">
        <v>1488</v>
      </c>
      <c r="B175" s="15">
        <v>173.0</v>
      </c>
      <c r="E175" s="156" t="str">
        <f>VLOOKUP(A175,'List of documents'!C:K,9,0)</f>
        <v>not included</v>
      </c>
      <c r="F175" s="157" t="str">
        <f>VLOOKUP(A175,'Annotation-old-Maria'!A:D,4,0)</f>
        <v/>
      </c>
      <c r="G175" s="14">
        <f t="shared" ref="G175:I175" si="218">IF(LOWER(D175)="included",1,0)</f>
        <v>0</v>
      </c>
      <c r="H175" s="14">
        <f t="shared" si="218"/>
        <v>0</v>
      </c>
      <c r="I175" s="14">
        <f t="shared" si="218"/>
        <v>0</v>
      </c>
    </row>
    <row r="176" hidden="1">
      <c r="A176" s="13" t="s">
        <v>1842</v>
      </c>
      <c r="B176" s="15">
        <v>174.0</v>
      </c>
      <c r="E176" s="156" t="str">
        <f>VLOOKUP(A176,'List of documents'!C:K,9,0)</f>
        <v>included</v>
      </c>
      <c r="F176" s="157" t="str">
        <f>VLOOKUP(A176,'Annotation-old-Maria'!A:D,4,0)</f>
        <v/>
      </c>
      <c r="G176" s="14">
        <f t="shared" ref="G176:I176" si="219">IF(LOWER(D176)="included",1,0)</f>
        <v>0</v>
      </c>
      <c r="H176" s="14">
        <f t="shared" si="219"/>
        <v>1</v>
      </c>
      <c r="I176" s="14">
        <f t="shared" si="219"/>
        <v>0</v>
      </c>
    </row>
    <row r="177" hidden="1">
      <c r="A177" s="51" t="s">
        <v>1522</v>
      </c>
      <c r="B177" s="15">
        <v>175.0</v>
      </c>
      <c r="E177" s="156" t="str">
        <f>VLOOKUP(A177,'List of documents'!C:K,9,0)</f>
        <v>not included</v>
      </c>
      <c r="F177" s="157" t="str">
        <f>VLOOKUP(A177,'Annotation-old-Maria'!A:D,4,0)</f>
        <v/>
      </c>
      <c r="G177" s="14">
        <f t="shared" ref="G177:I177" si="220">IF(LOWER(D177)="included",1,0)</f>
        <v>0</v>
      </c>
      <c r="H177" s="14">
        <f t="shared" si="220"/>
        <v>0</v>
      </c>
      <c r="I177" s="14">
        <f t="shared" si="220"/>
        <v>0</v>
      </c>
    </row>
    <row r="178" hidden="1">
      <c r="A178" s="42" t="s">
        <v>1525</v>
      </c>
      <c r="B178" s="15">
        <v>176.0</v>
      </c>
      <c r="E178" s="156" t="str">
        <f>VLOOKUP(A178,'List of documents'!C:K,9,0)</f>
        <v>not included</v>
      </c>
      <c r="F178" s="157" t="str">
        <f>VLOOKUP(A178,'Annotation-old-Maria'!A:D,4,0)</f>
        <v/>
      </c>
      <c r="G178" s="14">
        <f t="shared" ref="G178:I178" si="221">IF(LOWER(D178)="included",1,0)</f>
        <v>0</v>
      </c>
      <c r="H178" s="14">
        <f t="shared" si="221"/>
        <v>0</v>
      </c>
      <c r="I178" s="14">
        <f t="shared" si="221"/>
        <v>0</v>
      </c>
    </row>
    <row r="179" hidden="1">
      <c r="A179" s="42" t="s">
        <v>1545</v>
      </c>
      <c r="B179" s="15">
        <v>177.0</v>
      </c>
      <c r="E179" s="156" t="str">
        <f>VLOOKUP(A179,'List of documents'!C:K,9,0)</f>
        <v>not included</v>
      </c>
      <c r="F179" s="157" t="str">
        <f>VLOOKUP(A179,'Annotation-old-Maria'!A:D,4,0)</f>
        <v/>
      </c>
      <c r="G179" s="14">
        <f t="shared" ref="G179:I179" si="222">IF(LOWER(D179)="included",1,0)</f>
        <v>0</v>
      </c>
      <c r="H179" s="14">
        <f t="shared" si="222"/>
        <v>0</v>
      </c>
      <c r="I179" s="14">
        <f t="shared" si="222"/>
        <v>0</v>
      </c>
    </row>
    <row r="180">
      <c r="A180" s="42" t="s">
        <v>1547</v>
      </c>
      <c r="B180" s="15">
        <v>178.0</v>
      </c>
      <c r="C180" s="15">
        <v>1.0</v>
      </c>
      <c r="D180" s="15" t="s">
        <v>89</v>
      </c>
      <c r="E180" s="156" t="str">
        <f>VLOOKUP(A180,'List of documents'!C:K,9,0)</f>
        <v>not included</v>
      </c>
      <c r="F180" s="157" t="str">
        <f>VLOOKUP(A180,'Annotation-old-Maria'!A:D,4,0)</f>
        <v>Included</v>
      </c>
      <c r="G180" s="14">
        <f t="shared" ref="G180:I180" si="223">IF(LOWER(D180)="included",1,0)</f>
        <v>0</v>
      </c>
      <c r="H180" s="14">
        <f t="shared" si="223"/>
        <v>0</v>
      </c>
      <c r="I180" s="14">
        <f t="shared" si="223"/>
        <v>1</v>
      </c>
      <c r="J180" s="14">
        <f>IF(G180=H180,1,0)</f>
        <v>1</v>
      </c>
      <c r="K180" s="14">
        <f>IF(G180=I180,1,0)</f>
        <v>0</v>
      </c>
      <c r="L180" s="14">
        <f>IF(H180=I180,1,0)</f>
        <v>0</v>
      </c>
      <c r="M180" s="14">
        <f>sum(J180:L180)/3</f>
        <v>0.3333333333</v>
      </c>
    </row>
    <row r="181" hidden="1">
      <c r="A181" s="42" t="s">
        <v>1298</v>
      </c>
      <c r="B181" s="15">
        <v>179.0</v>
      </c>
      <c r="E181" s="156" t="str">
        <f>VLOOKUP(A181,'List of documents'!C:K,9,0)</f>
        <v>included</v>
      </c>
      <c r="F181" s="157" t="str">
        <f>VLOOKUP(A181,'Annotation-old-Maria'!A:D,4,0)</f>
        <v/>
      </c>
      <c r="G181" s="14">
        <f t="shared" ref="G181:I181" si="224">IF(LOWER(D181)="included",1,0)</f>
        <v>0</v>
      </c>
      <c r="H181" s="14">
        <f t="shared" si="224"/>
        <v>1</v>
      </c>
      <c r="I181" s="14">
        <f t="shared" si="224"/>
        <v>0</v>
      </c>
    </row>
    <row r="182" hidden="1">
      <c r="A182" s="42" t="s">
        <v>1560</v>
      </c>
      <c r="B182" s="15">
        <v>180.0</v>
      </c>
      <c r="E182" s="156" t="str">
        <f>VLOOKUP(A182,'List of documents'!C:K,9,0)</f>
        <v>Not included</v>
      </c>
      <c r="F182" s="157" t="str">
        <f>VLOOKUP(A182,'Annotation-old-Maria'!A:D,4,0)</f>
        <v/>
      </c>
      <c r="G182" s="14">
        <f t="shared" ref="G182:I182" si="225">IF(LOWER(D182)="included",1,0)</f>
        <v>0</v>
      </c>
      <c r="H182" s="14">
        <f t="shared" si="225"/>
        <v>0</v>
      </c>
      <c r="I182" s="14">
        <f t="shared" si="225"/>
        <v>0</v>
      </c>
    </row>
    <row r="183">
      <c r="A183" s="42" t="s">
        <v>2324</v>
      </c>
      <c r="B183" s="15">
        <v>181.0</v>
      </c>
      <c r="C183" s="15">
        <v>1.0</v>
      </c>
      <c r="D183" s="15" t="s">
        <v>50</v>
      </c>
      <c r="E183" s="156" t="str">
        <f>VLOOKUP(A183,'List of documents'!C:K,9,0)</f>
        <v>included</v>
      </c>
      <c r="F183" s="157" t="str">
        <f>VLOOKUP(A183,'Annotation-old-Maria'!A:D,4,0)</f>
        <v>Included</v>
      </c>
      <c r="G183" s="14">
        <f t="shared" ref="G183:I183" si="226">IF(LOWER(D183)="included",1,0)</f>
        <v>1</v>
      </c>
      <c r="H183" s="14">
        <f t="shared" si="226"/>
        <v>1</v>
      </c>
      <c r="I183" s="14">
        <f t="shared" si="226"/>
        <v>1</v>
      </c>
      <c r="J183" s="14">
        <f>IF(G183=H183,1,0)</f>
        <v>1</v>
      </c>
      <c r="K183" s="14">
        <f>IF(G183=I183,1,0)</f>
        <v>1</v>
      </c>
      <c r="L183" s="14">
        <f>IF(H183=I183,1,0)</f>
        <v>1</v>
      </c>
      <c r="M183" s="14">
        <f>sum(J183:L183)/3</f>
        <v>1</v>
      </c>
    </row>
    <row r="184" hidden="1">
      <c r="A184" s="42" t="s">
        <v>1565</v>
      </c>
      <c r="B184" s="15">
        <v>182.0</v>
      </c>
      <c r="E184" s="156" t="str">
        <f>VLOOKUP(A184,'List of documents'!C:K,9,0)</f>
        <v>not included</v>
      </c>
      <c r="F184" s="157" t="str">
        <f>VLOOKUP(A184,'Annotation-old-Maria'!A:D,4,0)</f>
        <v/>
      </c>
      <c r="G184" s="14">
        <f t="shared" ref="G184:I184" si="227">IF(LOWER(D184)="included",1,0)</f>
        <v>0</v>
      </c>
      <c r="H184" s="14">
        <f t="shared" si="227"/>
        <v>0</v>
      </c>
      <c r="I184" s="14">
        <f t="shared" si="227"/>
        <v>0</v>
      </c>
    </row>
    <row r="185" hidden="1">
      <c r="A185" s="42" t="s">
        <v>1570</v>
      </c>
      <c r="B185" s="15">
        <v>183.0</v>
      </c>
      <c r="E185" s="156" t="str">
        <f>VLOOKUP(A185,'List of documents'!C:K,9,0)</f>
        <v>not included</v>
      </c>
      <c r="F185" s="157" t="str">
        <f>VLOOKUP(A185,'Annotation-old-Maria'!A:D,4,0)</f>
        <v/>
      </c>
      <c r="G185" s="14">
        <f t="shared" ref="G185:I185" si="228">IF(LOWER(D185)="included",1,0)</f>
        <v>0</v>
      </c>
      <c r="H185" s="14">
        <f t="shared" si="228"/>
        <v>0</v>
      </c>
      <c r="I185" s="14">
        <f t="shared" si="228"/>
        <v>0</v>
      </c>
    </row>
    <row r="186" hidden="1">
      <c r="A186" s="42" t="s">
        <v>1574</v>
      </c>
      <c r="B186" s="15">
        <v>184.0</v>
      </c>
      <c r="E186" s="156" t="str">
        <f>VLOOKUP(A186,'List of documents'!C:K,9,0)</f>
        <v>Not included</v>
      </c>
      <c r="F186" s="157" t="str">
        <f>VLOOKUP(A186,'Annotation-old-Maria'!A:D,4,0)</f>
        <v/>
      </c>
      <c r="G186" s="14">
        <f t="shared" ref="G186:I186" si="229">IF(LOWER(D186)="included",1,0)</f>
        <v>0</v>
      </c>
      <c r="H186" s="14">
        <f t="shared" si="229"/>
        <v>0</v>
      </c>
      <c r="I186" s="14">
        <f t="shared" si="229"/>
        <v>0</v>
      </c>
    </row>
    <row r="187">
      <c r="A187" s="42" t="s">
        <v>1577</v>
      </c>
      <c r="B187" s="15">
        <v>185.0</v>
      </c>
      <c r="C187" s="15">
        <v>1.0</v>
      </c>
      <c r="D187" s="15" t="s">
        <v>89</v>
      </c>
      <c r="E187" s="156" t="str">
        <f>VLOOKUP(A187,'List of documents'!C:K,9,0)</f>
        <v>not included</v>
      </c>
      <c r="F187" s="157" t="str">
        <f>VLOOKUP(A187,'Annotation-old-Maria'!A:D,4,0)</f>
        <v>Not included</v>
      </c>
      <c r="G187" s="14">
        <f t="shared" ref="G187:I187" si="230">IF(LOWER(D187)="included",1,0)</f>
        <v>0</v>
      </c>
      <c r="H187" s="14">
        <f t="shared" si="230"/>
        <v>0</v>
      </c>
      <c r="I187" s="14">
        <f t="shared" si="230"/>
        <v>0</v>
      </c>
      <c r="J187" s="14">
        <f>IF(G187=H187,1,0)</f>
        <v>1</v>
      </c>
      <c r="K187" s="14">
        <f>IF(G187=I187,1,0)</f>
        <v>1</v>
      </c>
      <c r="L187" s="14">
        <f>IF(H187=I187,1,0)</f>
        <v>1</v>
      </c>
      <c r="M187" s="14">
        <f>sum(J187:L187)/3</f>
        <v>1</v>
      </c>
    </row>
    <row r="188" hidden="1">
      <c r="A188" s="42" t="s">
        <v>1582</v>
      </c>
      <c r="B188" s="15">
        <v>186.0</v>
      </c>
      <c r="E188" s="156" t="str">
        <f>VLOOKUP(A188,'List of documents'!C:K,9,0)</f>
        <v>not included</v>
      </c>
      <c r="F188" s="157" t="str">
        <f>VLOOKUP(A188,'Annotation-old-Maria'!A:D,4,0)</f>
        <v/>
      </c>
      <c r="G188" s="14">
        <f t="shared" ref="G188:I188" si="231">IF(LOWER(D188)="included",1,0)</f>
        <v>0</v>
      </c>
      <c r="H188" s="14">
        <f t="shared" si="231"/>
        <v>0</v>
      </c>
      <c r="I188" s="14">
        <f t="shared" si="231"/>
        <v>0</v>
      </c>
    </row>
    <row r="189">
      <c r="A189" s="42" t="s">
        <v>355</v>
      </c>
      <c r="B189" s="15">
        <v>187.0</v>
      </c>
      <c r="C189" s="15">
        <v>1.0</v>
      </c>
      <c r="D189" s="15" t="s">
        <v>50</v>
      </c>
      <c r="E189" s="156" t="str">
        <f>VLOOKUP(A189,'List of documents'!C:K,9,0)</f>
        <v>included</v>
      </c>
      <c r="F189" s="157" t="str">
        <f>VLOOKUP(A189,'Annotation-old-Maria'!A:D,4,0)</f>
        <v>Included</v>
      </c>
      <c r="G189" s="14">
        <f t="shared" ref="G189:I189" si="232">IF(LOWER(D189)="included",1,0)</f>
        <v>1</v>
      </c>
      <c r="H189" s="14">
        <f t="shared" si="232"/>
        <v>1</v>
      </c>
      <c r="I189" s="14">
        <f t="shared" si="232"/>
        <v>1</v>
      </c>
      <c r="J189" s="14">
        <f t="shared" ref="J189:J193" si="234">IF(G189=H189,1,0)</f>
        <v>1</v>
      </c>
      <c r="K189" s="14">
        <f t="shared" ref="K189:K193" si="235">IF(G189=I189,1,0)</f>
        <v>1</v>
      </c>
      <c r="L189" s="14">
        <f t="shared" ref="L189:L193" si="236">IF(H189=I189,1,0)</f>
        <v>1</v>
      </c>
      <c r="M189" s="14">
        <f t="shared" ref="M189:M193" si="237">sum(J189:L189)/3</f>
        <v>1</v>
      </c>
    </row>
    <row r="190">
      <c r="A190" s="30" t="s">
        <v>1217</v>
      </c>
      <c r="B190" s="15">
        <v>188.0</v>
      </c>
      <c r="C190" s="15">
        <v>1.0</v>
      </c>
      <c r="D190" s="15" t="s">
        <v>50</v>
      </c>
      <c r="E190" s="156" t="str">
        <f>VLOOKUP(A190,'List of documents'!C:K,9,0)</f>
        <v>included</v>
      </c>
      <c r="F190" s="157" t="str">
        <f>VLOOKUP(A190,'Annotation-old-Maria'!A:D,4,0)</f>
        <v>Included</v>
      </c>
      <c r="G190" s="14">
        <f t="shared" ref="G190:I190" si="233">IF(LOWER(D190)="included",1,0)</f>
        <v>1</v>
      </c>
      <c r="H190" s="14">
        <f t="shared" si="233"/>
        <v>1</v>
      </c>
      <c r="I190" s="14">
        <f t="shared" si="233"/>
        <v>1</v>
      </c>
      <c r="J190" s="14">
        <f t="shared" si="234"/>
        <v>1</v>
      </c>
      <c r="K190" s="14">
        <f t="shared" si="235"/>
        <v>1</v>
      </c>
      <c r="L190" s="14">
        <f t="shared" si="236"/>
        <v>1</v>
      </c>
      <c r="M190" s="14">
        <f t="shared" si="237"/>
        <v>1</v>
      </c>
    </row>
    <row r="191">
      <c r="A191" s="44" t="s">
        <v>1608</v>
      </c>
      <c r="B191" s="15">
        <v>189.0</v>
      </c>
      <c r="C191" s="15">
        <v>1.0</v>
      </c>
      <c r="D191" s="15" t="s">
        <v>50</v>
      </c>
      <c r="E191" s="156" t="str">
        <f>VLOOKUP(A191,'List of documents'!C:K,9,0)</f>
        <v>not included</v>
      </c>
      <c r="F191" s="157" t="str">
        <f>VLOOKUP(A191,'Annotation-old-Maria'!A:D,4,0)</f>
        <v>Included</v>
      </c>
      <c r="G191" s="14">
        <f t="shared" ref="G191:I191" si="238">IF(LOWER(D191)="included",1,0)</f>
        <v>1</v>
      </c>
      <c r="H191" s="14">
        <f t="shared" si="238"/>
        <v>0</v>
      </c>
      <c r="I191" s="14">
        <f t="shared" si="238"/>
        <v>1</v>
      </c>
      <c r="J191" s="14">
        <f t="shared" si="234"/>
        <v>0</v>
      </c>
      <c r="K191" s="14">
        <f t="shared" si="235"/>
        <v>1</v>
      </c>
      <c r="L191" s="14">
        <f t="shared" si="236"/>
        <v>0</v>
      </c>
      <c r="M191" s="14">
        <f t="shared" si="237"/>
        <v>0.3333333333</v>
      </c>
    </row>
    <row r="192">
      <c r="A192" s="52" t="s">
        <v>1610</v>
      </c>
      <c r="B192" s="15">
        <v>190.0</v>
      </c>
      <c r="C192" s="15">
        <v>1.0</v>
      </c>
      <c r="D192" s="15" t="s">
        <v>50</v>
      </c>
      <c r="E192" s="156" t="str">
        <f>VLOOKUP(A192,'List of documents'!C:K,9,0)</f>
        <v>not included</v>
      </c>
      <c r="F192" s="157" t="str">
        <f>VLOOKUP(A192,'Annotation-old-Maria'!A:D,4,0)</f>
        <v>Included</v>
      </c>
      <c r="G192" s="14">
        <f t="shared" ref="G192:I192" si="239">IF(LOWER(D192)="included",1,0)</f>
        <v>1</v>
      </c>
      <c r="H192" s="14">
        <f t="shared" si="239"/>
        <v>0</v>
      </c>
      <c r="I192" s="14">
        <f t="shared" si="239"/>
        <v>1</v>
      </c>
      <c r="J192" s="14">
        <f t="shared" si="234"/>
        <v>0</v>
      </c>
      <c r="K192" s="14">
        <f t="shared" si="235"/>
        <v>1</v>
      </c>
      <c r="L192" s="14">
        <f t="shared" si="236"/>
        <v>0</v>
      </c>
      <c r="M192" s="14">
        <f t="shared" si="237"/>
        <v>0.3333333333</v>
      </c>
    </row>
    <row r="193">
      <c r="A193" s="16" t="s">
        <v>1616</v>
      </c>
      <c r="B193" s="15">
        <v>191.0</v>
      </c>
      <c r="C193" s="15">
        <v>1.0</v>
      </c>
      <c r="D193" s="15" t="s">
        <v>89</v>
      </c>
      <c r="E193" s="156" t="str">
        <f>VLOOKUP(A193,'List of documents'!C:K,9,0)</f>
        <v>not included</v>
      </c>
      <c r="F193" s="157" t="str">
        <f>VLOOKUP(A193,'Annotation-old-Maria'!A:D,4,0)</f>
        <v>Not included</v>
      </c>
      <c r="G193" s="14">
        <f t="shared" ref="G193:I193" si="240">IF(LOWER(D193)="included",1,0)</f>
        <v>0</v>
      </c>
      <c r="H193" s="14">
        <f t="shared" si="240"/>
        <v>0</v>
      </c>
      <c r="I193" s="14">
        <f t="shared" si="240"/>
        <v>0</v>
      </c>
      <c r="J193" s="14">
        <f t="shared" si="234"/>
        <v>1</v>
      </c>
      <c r="K193" s="14">
        <f t="shared" si="235"/>
        <v>1</v>
      </c>
      <c r="L193" s="14">
        <f t="shared" si="236"/>
        <v>1</v>
      </c>
      <c r="M193" s="14">
        <f t="shared" si="237"/>
        <v>1</v>
      </c>
    </row>
    <row r="194" hidden="1">
      <c r="A194" s="42" t="s">
        <v>795</v>
      </c>
      <c r="B194" s="15">
        <v>192.0</v>
      </c>
      <c r="E194" s="156" t="str">
        <f>VLOOKUP(A194,'List of documents'!C:K,9,0)</f>
        <v>included</v>
      </c>
      <c r="F194" s="157" t="str">
        <f>VLOOKUP(A194,'Annotation-old-Maria'!A:D,4,0)</f>
        <v/>
      </c>
      <c r="G194" s="14">
        <f t="shared" ref="G194:I194" si="241">IF(LOWER(D194)="included",1,0)</f>
        <v>0</v>
      </c>
      <c r="H194" s="14">
        <f t="shared" si="241"/>
        <v>1</v>
      </c>
      <c r="I194" s="14">
        <f t="shared" si="241"/>
        <v>0</v>
      </c>
    </row>
    <row r="195" hidden="1">
      <c r="A195" s="42" t="s">
        <v>2166</v>
      </c>
      <c r="B195" s="15">
        <v>193.0</v>
      </c>
      <c r="E195" s="156" t="str">
        <f>VLOOKUP(A195,'List of documents'!C:K,9,0)</f>
        <v>included</v>
      </c>
      <c r="F195" s="157" t="str">
        <f>VLOOKUP(A195,'Annotation-old-Maria'!A:D,4,0)</f>
        <v/>
      </c>
      <c r="G195" s="14">
        <f t="shared" ref="G195:I195" si="242">IF(LOWER(D195)="included",1,0)</f>
        <v>0</v>
      </c>
      <c r="H195" s="14">
        <f t="shared" si="242"/>
        <v>1</v>
      </c>
      <c r="I195" s="14">
        <f t="shared" si="242"/>
        <v>0</v>
      </c>
    </row>
    <row r="196" hidden="1">
      <c r="A196" s="44" t="s">
        <v>1662</v>
      </c>
      <c r="B196" s="15">
        <v>194.0</v>
      </c>
      <c r="E196" s="156" t="str">
        <f>VLOOKUP(A196,'List of documents'!C:K,9,0)</f>
        <v>not included</v>
      </c>
      <c r="F196" s="157" t="str">
        <f>VLOOKUP(A196,'Annotation-old-Maria'!A:D,4,0)</f>
        <v/>
      </c>
      <c r="G196" s="14">
        <f t="shared" ref="G196:I196" si="243">IF(LOWER(D196)="included",1,0)</f>
        <v>0</v>
      </c>
      <c r="H196" s="14">
        <f t="shared" si="243"/>
        <v>0</v>
      </c>
      <c r="I196" s="14">
        <f t="shared" si="243"/>
        <v>0</v>
      </c>
    </row>
    <row r="197" hidden="1">
      <c r="A197" s="42" t="s">
        <v>1415</v>
      </c>
      <c r="B197" s="15">
        <v>195.0</v>
      </c>
      <c r="E197" s="156" t="str">
        <f>VLOOKUP(A197,'List of documents'!C:K,9,0)</f>
        <v>included</v>
      </c>
      <c r="F197" s="157" t="str">
        <f>VLOOKUP(A197,'Annotation-old-Maria'!A:D,4,0)</f>
        <v/>
      </c>
      <c r="G197" s="14">
        <f t="shared" ref="G197:I197" si="244">IF(LOWER(D197)="included",1,0)</f>
        <v>0</v>
      </c>
      <c r="H197" s="14">
        <f t="shared" si="244"/>
        <v>1</v>
      </c>
      <c r="I197" s="14">
        <f t="shared" si="244"/>
        <v>0</v>
      </c>
    </row>
    <row r="198">
      <c r="A198" s="42" t="s">
        <v>2073</v>
      </c>
      <c r="B198" s="15">
        <v>196.0</v>
      </c>
      <c r="C198" s="15">
        <v>1.0</v>
      </c>
      <c r="D198" s="15" t="s">
        <v>50</v>
      </c>
      <c r="E198" s="156" t="str">
        <f>VLOOKUP(A198,'List of documents'!C:K,9,0)</f>
        <v>included</v>
      </c>
      <c r="F198" s="157" t="str">
        <f>VLOOKUP(A198,'Annotation-old-Maria'!A:D,4,0)</f>
        <v>Included</v>
      </c>
      <c r="G198" s="14">
        <f t="shared" ref="G198:I198" si="245">IF(LOWER(D198)="included",1,0)</f>
        <v>1</v>
      </c>
      <c r="H198" s="14">
        <f t="shared" si="245"/>
        <v>1</v>
      </c>
      <c r="I198" s="14">
        <f t="shared" si="245"/>
        <v>1</v>
      </c>
      <c r="J198" s="14">
        <f t="shared" ref="J198:J199" si="247">IF(G198=H198,1,0)</f>
        <v>1</v>
      </c>
      <c r="K198" s="14">
        <f t="shared" ref="K198:K199" si="248">IF(G198=I198,1,0)</f>
        <v>1</v>
      </c>
      <c r="L198" s="14">
        <f t="shared" ref="L198:L199" si="249">IF(H198=I198,1,0)</f>
        <v>1</v>
      </c>
      <c r="M198" s="14">
        <f t="shared" ref="M198:M199" si="250">sum(J198:L198)/3</f>
        <v>1</v>
      </c>
    </row>
    <row r="199">
      <c r="A199" s="42" t="s">
        <v>1688</v>
      </c>
      <c r="B199" s="15">
        <v>197.0</v>
      </c>
      <c r="C199" s="15">
        <v>1.0</v>
      </c>
      <c r="D199" s="15" t="s">
        <v>89</v>
      </c>
      <c r="E199" s="156" t="str">
        <f>VLOOKUP(A199,'List of documents'!C:K,9,0)</f>
        <v>not included</v>
      </c>
      <c r="F199" s="157" t="str">
        <f>VLOOKUP(A199,'Annotation-old-Maria'!A:D,4,0)</f>
        <v>Not included</v>
      </c>
      <c r="G199" s="14">
        <f t="shared" ref="G199:I199" si="246">IF(LOWER(D199)="included",1,0)</f>
        <v>0</v>
      </c>
      <c r="H199" s="14">
        <f t="shared" si="246"/>
        <v>0</v>
      </c>
      <c r="I199" s="14">
        <f t="shared" si="246"/>
        <v>0</v>
      </c>
      <c r="J199" s="14">
        <f t="shared" si="247"/>
        <v>1</v>
      </c>
      <c r="K199" s="14">
        <f t="shared" si="248"/>
        <v>1</v>
      </c>
      <c r="L199" s="14">
        <f t="shared" si="249"/>
        <v>1</v>
      </c>
      <c r="M199" s="14">
        <f t="shared" si="250"/>
        <v>1</v>
      </c>
    </row>
    <row r="200" hidden="1">
      <c r="A200" s="16" t="s">
        <v>1139</v>
      </c>
      <c r="B200" s="15">
        <v>198.0</v>
      </c>
      <c r="E200" s="156" t="str">
        <f>VLOOKUP(A200,'List of documents'!C:K,9,0)</f>
        <v>included</v>
      </c>
      <c r="F200" s="157" t="str">
        <f>VLOOKUP(A200,'Annotation-old-Maria'!A:D,4,0)</f>
        <v/>
      </c>
      <c r="G200" s="14">
        <f t="shared" ref="G200:I200" si="251">IF(LOWER(D200)="included",1,0)</f>
        <v>0</v>
      </c>
      <c r="H200" s="14">
        <f t="shared" si="251"/>
        <v>1</v>
      </c>
      <c r="I200" s="14">
        <f t="shared" si="251"/>
        <v>0</v>
      </c>
    </row>
    <row r="201">
      <c r="A201" s="42" t="s">
        <v>1697</v>
      </c>
      <c r="B201" s="15">
        <v>199.0</v>
      </c>
      <c r="C201" s="15">
        <v>1.0</v>
      </c>
      <c r="D201" s="15" t="s">
        <v>89</v>
      </c>
      <c r="E201" s="156" t="str">
        <f>VLOOKUP(A201,'List of documents'!C:K,9,0)</f>
        <v>not included</v>
      </c>
      <c r="F201" s="157" t="str">
        <f>VLOOKUP(A201,'Annotation-old-Maria'!A:D,4,0)</f>
        <v>Not included</v>
      </c>
      <c r="G201" s="14">
        <f t="shared" ref="G201:I201" si="252">IF(LOWER(D201)="included",1,0)</f>
        <v>0</v>
      </c>
      <c r="H201" s="14">
        <f t="shared" si="252"/>
        <v>0</v>
      </c>
      <c r="I201" s="14">
        <f t="shared" si="252"/>
        <v>0</v>
      </c>
      <c r="J201" s="14">
        <f>IF(G201=H201,1,0)</f>
        <v>1</v>
      </c>
      <c r="K201" s="14">
        <f>IF(G201=I201,1,0)</f>
        <v>1</v>
      </c>
      <c r="L201" s="14">
        <f>IF(H201=I201,1,0)</f>
        <v>1</v>
      </c>
      <c r="M201" s="14">
        <f>sum(J201:L201)/3</f>
        <v>1</v>
      </c>
    </row>
    <row r="202" hidden="1">
      <c r="A202" s="85" t="s">
        <v>1710</v>
      </c>
      <c r="B202" s="15">
        <v>200.0</v>
      </c>
      <c r="E202" s="156" t="str">
        <f>VLOOKUP(A202,'List of documents'!C:K,9,0)</f>
        <v>not included</v>
      </c>
      <c r="F202" s="157" t="str">
        <f>VLOOKUP(A202,'Annotation-old-Maria'!A:D,4,0)</f>
        <v/>
      </c>
      <c r="G202" s="14">
        <f t="shared" ref="G202:I202" si="253">IF(LOWER(D202)="included",1,0)</f>
        <v>0</v>
      </c>
      <c r="H202" s="14">
        <f t="shared" si="253"/>
        <v>0</v>
      </c>
      <c r="I202" s="14">
        <f t="shared" si="253"/>
        <v>0</v>
      </c>
    </row>
    <row r="203" hidden="1">
      <c r="A203" s="57" t="s">
        <v>1717</v>
      </c>
      <c r="B203" s="15">
        <v>201.0</v>
      </c>
      <c r="E203" s="156" t="str">
        <f>VLOOKUP(A203,'List of documents'!C:K,9,0)</f>
        <v>not included</v>
      </c>
      <c r="F203" s="157" t="str">
        <f>VLOOKUP(A203,'Annotation-old-Maria'!A:D,4,0)</f>
        <v/>
      </c>
      <c r="G203" s="14">
        <f t="shared" ref="G203:I203" si="254">IF(LOWER(D203)="included",1,0)</f>
        <v>0</v>
      </c>
      <c r="H203" s="14">
        <f t="shared" si="254"/>
        <v>0</v>
      </c>
      <c r="I203" s="14">
        <f t="shared" si="254"/>
        <v>0</v>
      </c>
    </row>
    <row r="204" hidden="1">
      <c r="A204" s="40" t="s">
        <v>1744</v>
      </c>
      <c r="B204" s="15">
        <v>202.0</v>
      </c>
      <c r="E204" s="156" t="str">
        <f>VLOOKUP(A204,'List of documents'!C:K,9,0)</f>
        <v>not included</v>
      </c>
      <c r="F204" s="157" t="str">
        <f>VLOOKUP(A204,'Annotation-old-Maria'!A:D,4,0)</f>
        <v/>
      </c>
      <c r="G204" s="14">
        <f t="shared" ref="G204:I204" si="255">IF(LOWER(D204)="included",1,0)</f>
        <v>0</v>
      </c>
      <c r="H204" s="14">
        <f t="shared" si="255"/>
        <v>0</v>
      </c>
      <c r="I204" s="14">
        <f t="shared" si="255"/>
        <v>0</v>
      </c>
    </row>
    <row r="205">
      <c r="A205" s="52" t="s">
        <v>1747</v>
      </c>
      <c r="B205" s="15">
        <v>203.0</v>
      </c>
      <c r="C205" s="15">
        <v>1.0</v>
      </c>
      <c r="D205" s="15" t="s">
        <v>50</v>
      </c>
      <c r="E205" s="156" t="str">
        <f>VLOOKUP(A205,'List of documents'!C:K,9,0)</f>
        <v>not included</v>
      </c>
      <c r="F205" s="157" t="str">
        <f>VLOOKUP(A205,'Annotation-old-Maria'!A:D,4,0)</f>
        <v>Not included</v>
      </c>
      <c r="G205" s="14">
        <f t="shared" ref="G205:I205" si="256">IF(LOWER(D205)="included",1,0)</f>
        <v>1</v>
      </c>
      <c r="H205" s="14">
        <f t="shared" si="256"/>
        <v>0</v>
      </c>
      <c r="I205" s="14">
        <f t="shared" si="256"/>
        <v>0</v>
      </c>
      <c r="J205" s="14">
        <f>IF(G205=H205,1,0)</f>
        <v>0</v>
      </c>
      <c r="K205" s="14">
        <f>IF(G205=I205,1,0)</f>
        <v>0</v>
      </c>
      <c r="L205" s="14">
        <f>IF(H205=I205,1,0)</f>
        <v>1</v>
      </c>
      <c r="M205" s="14">
        <f>sum(J205:L205)/3</f>
        <v>0.3333333333</v>
      </c>
    </row>
    <row r="206" hidden="1">
      <c r="A206" s="52" t="s">
        <v>1749</v>
      </c>
      <c r="B206" s="15">
        <v>204.0</v>
      </c>
      <c r="E206" s="156" t="str">
        <f>VLOOKUP(A206,'List of documents'!C:K,9,0)</f>
        <v>not included</v>
      </c>
      <c r="F206" s="157" t="str">
        <f>VLOOKUP(A206,'Annotation-old-Maria'!A:D,4,0)</f>
        <v/>
      </c>
      <c r="G206" s="14">
        <f t="shared" ref="G206:I206" si="257">IF(LOWER(D206)="included",1,0)</f>
        <v>0</v>
      </c>
      <c r="H206" s="14">
        <f t="shared" si="257"/>
        <v>0</v>
      </c>
      <c r="I206" s="14">
        <f t="shared" si="257"/>
        <v>0</v>
      </c>
    </row>
    <row r="207" hidden="1">
      <c r="A207" s="16" t="s">
        <v>1803</v>
      </c>
      <c r="B207" s="15">
        <v>205.0</v>
      </c>
      <c r="E207" s="156" t="str">
        <f>VLOOKUP(A207,'List of documents'!C:K,9,0)</f>
        <v>included</v>
      </c>
      <c r="F207" s="157" t="str">
        <f>VLOOKUP(A207,'Annotation-old-Maria'!A:D,4,0)</f>
        <v/>
      </c>
      <c r="G207" s="14">
        <f t="shared" ref="G207:I207" si="258">IF(LOWER(D207)="included",1,0)</f>
        <v>0</v>
      </c>
      <c r="H207" s="14">
        <f t="shared" si="258"/>
        <v>1</v>
      </c>
      <c r="I207" s="14">
        <f t="shared" si="258"/>
        <v>0</v>
      </c>
    </row>
    <row r="208" hidden="1">
      <c r="A208" s="40" t="s">
        <v>2218</v>
      </c>
      <c r="B208" s="15">
        <v>206.0</v>
      </c>
      <c r="E208" s="156" t="str">
        <f>VLOOKUP(A208,'List of documents'!C:K,9,0)</f>
        <v>included</v>
      </c>
      <c r="F208" s="157" t="str">
        <f>VLOOKUP(A208,'Annotation-old-Maria'!A:D,4,0)</f>
        <v/>
      </c>
      <c r="G208" s="14">
        <f t="shared" ref="G208:I208" si="259">IF(LOWER(D208)="included",1,0)</f>
        <v>0</v>
      </c>
      <c r="H208" s="14">
        <f t="shared" si="259"/>
        <v>1</v>
      </c>
      <c r="I208" s="14">
        <f t="shared" si="259"/>
        <v>0</v>
      </c>
    </row>
    <row r="209" hidden="1">
      <c r="A209" s="40" t="s">
        <v>2299</v>
      </c>
      <c r="B209" s="15">
        <v>207.0</v>
      </c>
      <c r="E209" s="156" t="str">
        <f>VLOOKUP(A209,'List of documents'!C:K,9,0)</f>
        <v>not included</v>
      </c>
      <c r="F209" s="157" t="str">
        <f>VLOOKUP(A209,'Annotation-old-Maria'!A:D,4,0)</f>
        <v/>
      </c>
      <c r="G209" s="14">
        <f t="shared" ref="G209:I209" si="260">IF(LOWER(D209)="included",1,0)</f>
        <v>0</v>
      </c>
      <c r="H209" s="14">
        <f t="shared" si="260"/>
        <v>0</v>
      </c>
      <c r="I209" s="14">
        <f t="shared" si="260"/>
        <v>0</v>
      </c>
    </row>
  </sheetData>
  <autoFilter ref="$A$1:$W$209">
    <filterColumn colId="2">
      <filters>
        <filter val="1"/>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location=":~:text=Declaration%20signed%20at%20Digital%20Day%20on%2010th%20April%202018.&amp;text=This%20Declaration%20builds%20on%20the,of%20a%20Digital%20Single%20Market"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location="set-the-standard"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location="33"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s>
  <drawing r:id="rId20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1" max="1" width="52.86"/>
  </cols>
  <sheetData>
    <row r="1">
      <c r="A1" s="4" t="s">
        <v>2</v>
      </c>
      <c r="B1" s="15" t="s">
        <v>2485</v>
      </c>
      <c r="C1" s="15" t="s">
        <v>2486</v>
      </c>
      <c r="D1" s="15" t="s">
        <v>10</v>
      </c>
    </row>
    <row r="2" hidden="1">
      <c r="A2" s="34" t="s">
        <v>2500</v>
      </c>
      <c r="B2" s="15">
        <v>0.0</v>
      </c>
    </row>
    <row r="3">
      <c r="A3" s="13" t="s">
        <v>2306</v>
      </c>
      <c r="B3" s="15">
        <v>1.0</v>
      </c>
      <c r="C3" s="15">
        <v>1.0</v>
      </c>
      <c r="D3" s="15" t="s">
        <v>58</v>
      </c>
    </row>
    <row r="4">
      <c r="A4" s="16" t="s">
        <v>1370</v>
      </c>
      <c r="B4" s="15">
        <v>2.0</v>
      </c>
      <c r="C4" s="15">
        <v>1.0</v>
      </c>
      <c r="D4" s="15" t="s">
        <v>58</v>
      </c>
    </row>
    <row r="5" hidden="1">
      <c r="A5" s="162" t="s">
        <v>605</v>
      </c>
      <c r="B5" s="15">
        <v>3.0</v>
      </c>
    </row>
    <row r="6" hidden="1">
      <c r="A6" s="52" t="s">
        <v>224</v>
      </c>
      <c r="B6" s="15">
        <v>4.0</v>
      </c>
    </row>
    <row r="7">
      <c r="A7" s="40" t="s">
        <v>118</v>
      </c>
      <c r="B7" s="15">
        <v>5.0</v>
      </c>
      <c r="C7" s="15">
        <v>1.0</v>
      </c>
      <c r="D7" s="15" t="s">
        <v>58</v>
      </c>
    </row>
    <row r="8" hidden="1">
      <c r="A8" s="52" t="s">
        <v>1124</v>
      </c>
      <c r="B8" s="15">
        <v>6.0</v>
      </c>
    </row>
    <row r="9" hidden="1">
      <c r="A9" s="42" t="s">
        <v>127</v>
      </c>
      <c r="B9" s="15">
        <v>7.0</v>
      </c>
    </row>
    <row r="10">
      <c r="A10" s="34" t="s">
        <v>131</v>
      </c>
      <c r="B10" s="15">
        <v>8.0</v>
      </c>
      <c r="C10" s="15">
        <v>1.0</v>
      </c>
      <c r="D10" s="15" t="s">
        <v>31</v>
      </c>
    </row>
    <row r="11" hidden="1">
      <c r="A11" s="13" t="s">
        <v>907</v>
      </c>
      <c r="B11" s="15">
        <v>9.0</v>
      </c>
    </row>
    <row r="12">
      <c r="A12" s="16" t="s">
        <v>910</v>
      </c>
      <c r="B12" s="15">
        <v>10.0</v>
      </c>
      <c r="C12" s="15">
        <v>1.0</v>
      </c>
      <c r="D12" s="15" t="s">
        <v>31</v>
      </c>
    </row>
    <row r="13" hidden="1">
      <c r="A13" s="13" t="s">
        <v>2053</v>
      </c>
      <c r="B13" s="15">
        <v>11.0</v>
      </c>
    </row>
    <row r="14">
      <c r="A14" s="30" t="s">
        <v>162</v>
      </c>
      <c r="B14" s="15">
        <v>12.0</v>
      </c>
      <c r="C14" s="15">
        <v>1.0</v>
      </c>
      <c r="D14" s="15" t="s">
        <v>58</v>
      </c>
    </row>
    <row r="15" hidden="1">
      <c r="A15" s="80" t="s">
        <v>627</v>
      </c>
      <c r="B15" s="15">
        <v>13.0</v>
      </c>
    </row>
    <row r="16" hidden="1">
      <c r="A16" s="51" t="s">
        <v>170</v>
      </c>
      <c r="B16" s="15">
        <v>14.0</v>
      </c>
    </row>
    <row r="17" hidden="1">
      <c r="A17" s="51" t="s">
        <v>2382</v>
      </c>
      <c r="B17" s="15">
        <v>15.0</v>
      </c>
    </row>
    <row r="18">
      <c r="A18" s="51" t="s">
        <v>1009</v>
      </c>
      <c r="B18" s="15">
        <v>16.0</v>
      </c>
      <c r="C18" s="15">
        <v>1.0</v>
      </c>
      <c r="D18" s="15" t="s">
        <v>58</v>
      </c>
    </row>
    <row r="19">
      <c r="A19" s="51" t="s">
        <v>415</v>
      </c>
      <c r="B19" s="15">
        <v>17.0</v>
      </c>
      <c r="C19" s="15">
        <v>1.0</v>
      </c>
      <c r="D19" s="15" t="s">
        <v>58</v>
      </c>
    </row>
    <row r="20" hidden="1">
      <c r="A20" s="51" t="s">
        <v>2493</v>
      </c>
      <c r="B20" s="15">
        <v>18.0</v>
      </c>
    </row>
    <row r="21">
      <c r="A21" s="57" t="s">
        <v>2091</v>
      </c>
      <c r="B21" s="15">
        <v>19.0</v>
      </c>
      <c r="C21" s="15">
        <v>1.0</v>
      </c>
      <c r="D21" s="15" t="s">
        <v>58</v>
      </c>
    </row>
    <row r="22" hidden="1">
      <c r="A22" s="42" t="s">
        <v>829</v>
      </c>
      <c r="B22" s="15">
        <v>20.0</v>
      </c>
    </row>
    <row r="23">
      <c r="A23" s="51" t="s">
        <v>1900</v>
      </c>
      <c r="B23" s="15">
        <v>21.0</v>
      </c>
      <c r="C23" s="15">
        <v>1.0</v>
      </c>
      <c r="D23" s="15" t="s">
        <v>58</v>
      </c>
    </row>
    <row r="24">
      <c r="A24" s="81" t="s">
        <v>495</v>
      </c>
      <c r="B24" s="15">
        <v>22.0</v>
      </c>
      <c r="C24" s="15">
        <v>1.0</v>
      </c>
      <c r="D24" s="15" t="s">
        <v>58</v>
      </c>
    </row>
    <row r="25">
      <c r="A25" s="44" t="s">
        <v>195</v>
      </c>
      <c r="B25" s="15">
        <v>23.0</v>
      </c>
      <c r="C25" s="15">
        <v>1.0</v>
      </c>
      <c r="D25" s="15" t="s">
        <v>31</v>
      </c>
    </row>
    <row r="26" hidden="1">
      <c r="A26" s="46" t="s">
        <v>199</v>
      </c>
      <c r="B26" s="15">
        <v>24.0</v>
      </c>
    </row>
    <row r="27">
      <c r="A27" s="40" t="s">
        <v>1677</v>
      </c>
      <c r="B27" s="15">
        <v>25.0</v>
      </c>
      <c r="C27" s="15">
        <v>1.0</v>
      </c>
      <c r="D27" s="15" t="s">
        <v>31</v>
      </c>
    </row>
    <row r="28" hidden="1">
      <c r="A28" s="162" t="s">
        <v>2067</v>
      </c>
      <c r="B28" s="15">
        <v>26.0</v>
      </c>
    </row>
    <row r="29" hidden="1">
      <c r="A29" s="48" t="s">
        <v>215</v>
      </c>
      <c r="B29" s="15">
        <v>27.0</v>
      </c>
    </row>
    <row r="30" hidden="1">
      <c r="A30" s="171" t="s">
        <v>2009</v>
      </c>
      <c r="B30" s="15">
        <v>28.0</v>
      </c>
    </row>
    <row r="31">
      <c r="A31" s="42" t="s">
        <v>222</v>
      </c>
      <c r="B31" s="15">
        <v>29.0</v>
      </c>
      <c r="C31" s="15">
        <v>1.0</v>
      </c>
      <c r="D31" s="15" t="s">
        <v>58</v>
      </c>
    </row>
    <row r="32">
      <c r="A32" s="51" t="s">
        <v>422</v>
      </c>
      <c r="B32" s="15">
        <v>30.0</v>
      </c>
      <c r="C32" s="15">
        <v>1.0</v>
      </c>
      <c r="D32" s="15" t="s">
        <v>58</v>
      </c>
    </row>
    <row r="33">
      <c r="A33" s="16" t="s">
        <v>2495</v>
      </c>
      <c r="B33" s="15">
        <v>31.0</v>
      </c>
      <c r="C33" s="15">
        <v>1.0</v>
      </c>
      <c r="D33" s="15" t="s">
        <v>58</v>
      </c>
    </row>
    <row r="34" hidden="1">
      <c r="A34" s="16" t="s">
        <v>710</v>
      </c>
      <c r="B34" s="15">
        <v>32.0</v>
      </c>
    </row>
    <row r="35" hidden="1">
      <c r="A35" s="44" t="s">
        <v>1601</v>
      </c>
      <c r="B35" s="15">
        <v>33.0</v>
      </c>
    </row>
    <row r="36" hidden="1">
      <c r="A36" s="52" t="s">
        <v>2208</v>
      </c>
      <c r="B36" s="15">
        <v>34.0</v>
      </c>
    </row>
    <row r="37" hidden="1">
      <c r="A37" s="40" t="s">
        <v>2155</v>
      </c>
      <c r="B37" s="15">
        <v>35.0</v>
      </c>
    </row>
    <row r="38" hidden="1">
      <c r="A38" s="44" t="s">
        <v>1337</v>
      </c>
      <c r="B38" s="15">
        <v>36.0</v>
      </c>
    </row>
    <row r="39" hidden="1">
      <c r="A39" s="40" t="s">
        <v>1062</v>
      </c>
      <c r="B39" s="15">
        <v>37.0</v>
      </c>
    </row>
    <row r="40" hidden="1">
      <c r="A40" s="44" t="s">
        <v>674</v>
      </c>
      <c r="B40" s="15">
        <v>38.0</v>
      </c>
    </row>
    <row r="41" hidden="1">
      <c r="A41" s="44" t="s">
        <v>585</v>
      </c>
      <c r="B41" s="15">
        <v>39.0</v>
      </c>
    </row>
    <row r="42" hidden="1">
      <c r="A42" s="42" t="s">
        <v>588</v>
      </c>
      <c r="B42" s="15">
        <v>40.0</v>
      </c>
    </row>
    <row r="43">
      <c r="A43" s="40" t="s">
        <v>595</v>
      </c>
      <c r="B43" s="15">
        <v>41.0</v>
      </c>
      <c r="C43" s="15">
        <v>1.0</v>
      </c>
      <c r="D43" s="15" t="s">
        <v>31</v>
      </c>
    </row>
    <row r="44" hidden="1">
      <c r="A44" s="44" t="s">
        <v>597</v>
      </c>
      <c r="B44" s="15">
        <v>42.0</v>
      </c>
    </row>
    <row r="45">
      <c r="A45" s="44" t="s">
        <v>600</v>
      </c>
      <c r="B45" s="15">
        <v>43.0</v>
      </c>
      <c r="C45" s="15">
        <v>1.0</v>
      </c>
      <c r="D45" s="15" t="s">
        <v>58</v>
      </c>
    </row>
    <row r="46">
      <c r="A46" s="44" t="s">
        <v>228</v>
      </c>
      <c r="B46" s="15">
        <v>44.0</v>
      </c>
      <c r="C46" s="15">
        <v>1.0</v>
      </c>
      <c r="D46" s="15" t="s">
        <v>58</v>
      </c>
    </row>
    <row r="47" hidden="1">
      <c r="A47" s="40" t="s">
        <v>2250</v>
      </c>
      <c r="B47" s="15">
        <v>45.0</v>
      </c>
    </row>
    <row r="48" hidden="1">
      <c r="A48" s="44" t="s">
        <v>2093</v>
      </c>
      <c r="B48" s="15">
        <v>46.0</v>
      </c>
    </row>
    <row r="49" hidden="1">
      <c r="A49" s="40" t="s">
        <v>2390</v>
      </c>
      <c r="B49" s="15">
        <v>47.0</v>
      </c>
    </row>
    <row r="50">
      <c r="A50" s="40" t="s">
        <v>1050</v>
      </c>
      <c r="B50" s="15">
        <v>48.0</v>
      </c>
      <c r="C50" s="15">
        <v>1.0</v>
      </c>
      <c r="D50" s="15" t="s">
        <v>58</v>
      </c>
    </row>
    <row r="51" hidden="1">
      <c r="A51" s="40" t="s">
        <v>1918</v>
      </c>
      <c r="B51" s="15">
        <v>49.0</v>
      </c>
    </row>
    <row r="52" hidden="1">
      <c r="A52" s="42" t="s">
        <v>527</v>
      </c>
      <c r="B52" s="15">
        <v>50.0</v>
      </c>
    </row>
    <row r="53">
      <c r="A53" s="42" t="s">
        <v>637</v>
      </c>
      <c r="B53" s="15">
        <v>51.0</v>
      </c>
      <c r="C53" s="15">
        <v>1.0</v>
      </c>
      <c r="D53" s="15" t="s">
        <v>31</v>
      </c>
    </row>
    <row r="54" hidden="1">
      <c r="A54" s="42" t="s">
        <v>645</v>
      </c>
      <c r="B54" s="15">
        <v>52.0</v>
      </c>
    </row>
    <row r="55" hidden="1">
      <c r="A55" s="42" t="s">
        <v>648</v>
      </c>
      <c r="B55" s="15">
        <v>53.0</v>
      </c>
    </row>
    <row r="56" hidden="1">
      <c r="A56" s="40" t="s">
        <v>179</v>
      </c>
      <c r="B56" s="15">
        <v>54.0</v>
      </c>
    </row>
    <row r="57">
      <c r="A57" s="52" t="s">
        <v>655</v>
      </c>
      <c r="B57" s="15">
        <v>55.0</v>
      </c>
      <c r="C57" s="15">
        <v>1.0</v>
      </c>
      <c r="D57" s="15" t="s">
        <v>31</v>
      </c>
    </row>
    <row r="58">
      <c r="A58" s="40" t="s">
        <v>661</v>
      </c>
      <c r="B58" s="15">
        <v>56.0</v>
      </c>
      <c r="C58" s="15">
        <v>1.0</v>
      </c>
      <c r="D58" s="15" t="s">
        <v>31</v>
      </c>
    </row>
    <row r="59">
      <c r="A59" s="42" t="s">
        <v>727</v>
      </c>
      <c r="B59" s="15">
        <v>57.0</v>
      </c>
      <c r="C59" s="15">
        <v>1.0</v>
      </c>
      <c r="D59" s="15" t="s">
        <v>58</v>
      </c>
    </row>
    <row r="60" hidden="1">
      <c r="A60" s="42" t="s">
        <v>685</v>
      </c>
      <c r="B60" s="15">
        <v>58.0</v>
      </c>
    </row>
    <row r="61">
      <c r="A61" s="30" t="s">
        <v>485</v>
      </c>
      <c r="B61" s="15">
        <v>59.0</v>
      </c>
      <c r="C61" s="15">
        <v>1.0</v>
      </c>
      <c r="D61" s="15" t="s">
        <v>58</v>
      </c>
    </row>
    <row r="62">
      <c r="A62" s="42" t="s">
        <v>707</v>
      </c>
      <c r="B62" s="15">
        <v>60.0</v>
      </c>
      <c r="C62" s="15">
        <v>1.0</v>
      </c>
      <c r="D62" s="15" t="s">
        <v>31</v>
      </c>
    </row>
    <row r="63">
      <c r="A63" s="42" t="s">
        <v>166</v>
      </c>
      <c r="B63" s="15">
        <v>61.0</v>
      </c>
      <c r="C63" s="15">
        <v>1.0</v>
      </c>
      <c r="D63" s="15" t="s">
        <v>58</v>
      </c>
    </row>
    <row r="64" hidden="1">
      <c r="A64" s="42" t="s">
        <v>723</v>
      </c>
      <c r="B64" s="15">
        <v>62.0</v>
      </c>
    </row>
    <row r="65" hidden="1">
      <c r="A65" s="42" t="s">
        <v>2496</v>
      </c>
      <c r="B65" s="15">
        <v>63.0</v>
      </c>
    </row>
    <row r="66" hidden="1">
      <c r="A66" s="42" t="s">
        <v>747</v>
      </c>
      <c r="B66" s="15">
        <v>64.0</v>
      </c>
    </row>
    <row r="67">
      <c r="A67" s="42" t="s">
        <v>750</v>
      </c>
      <c r="B67" s="15">
        <v>65.0</v>
      </c>
      <c r="C67" s="15">
        <v>1.0</v>
      </c>
      <c r="D67" s="15" t="s">
        <v>31</v>
      </c>
    </row>
    <row r="68" hidden="1">
      <c r="A68" s="40" t="s">
        <v>816</v>
      </c>
      <c r="B68" s="15">
        <v>66.0</v>
      </c>
    </row>
    <row r="69" hidden="1">
      <c r="A69" s="30" t="s">
        <v>818</v>
      </c>
      <c r="B69" s="15">
        <v>67.0</v>
      </c>
    </row>
    <row r="70">
      <c r="A70" s="42" t="s">
        <v>1752</v>
      </c>
      <c r="B70" s="15">
        <v>68.0</v>
      </c>
      <c r="C70" s="15">
        <v>1.0</v>
      </c>
      <c r="D70" s="15" t="s">
        <v>58</v>
      </c>
    </row>
    <row r="71" hidden="1">
      <c r="A71" s="34" t="s">
        <v>831</v>
      </c>
      <c r="B71" s="15">
        <v>69.0</v>
      </c>
    </row>
    <row r="72" hidden="1">
      <c r="A72" s="44" t="s">
        <v>833</v>
      </c>
      <c r="B72" s="15">
        <v>70.0</v>
      </c>
    </row>
    <row r="73" hidden="1">
      <c r="A73" s="42" t="s">
        <v>835</v>
      </c>
      <c r="B73" s="15">
        <v>71.0</v>
      </c>
    </row>
    <row r="74" hidden="1">
      <c r="A74" s="42" t="s">
        <v>837</v>
      </c>
      <c r="B74" s="15">
        <v>72.0</v>
      </c>
    </row>
    <row r="75" hidden="1">
      <c r="A75" s="42" t="s">
        <v>839</v>
      </c>
      <c r="B75" s="15">
        <v>73.0</v>
      </c>
    </row>
    <row r="76" hidden="1">
      <c r="A76" s="42" t="s">
        <v>463</v>
      </c>
      <c r="B76" s="15">
        <v>74.0</v>
      </c>
    </row>
    <row r="77" hidden="1">
      <c r="A77" s="52" t="s">
        <v>873</v>
      </c>
      <c r="B77" s="15">
        <v>75.0</v>
      </c>
    </row>
    <row r="78" hidden="1">
      <c r="A78" s="44" t="s">
        <v>1135</v>
      </c>
      <c r="B78" s="15">
        <v>76.0</v>
      </c>
    </row>
    <row r="79" hidden="1">
      <c r="A79" s="44" t="s">
        <v>2398</v>
      </c>
      <c r="B79" s="15">
        <v>77.0</v>
      </c>
    </row>
    <row r="80" hidden="1">
      <c r="A80" s="40" t="s">
        <v>1031</v>
      </c>
      <c r="B80" s="15">
        <v>78.0</v>
      </c>
    </row>
    <row r="81" hidden="1">
      <c r="A81" s="44" t="s">
        <v>273</v>
      </c>
      <c r="B81" s="15">
        <v>79.0</v>
      </c>
    </row>
    <row r="82" hidden="1">
      <c r="A82" s="40" t="s">
        <v>1388</v>
      </c>
      <c r="B82" s="15">
        <v>80.0</v>
      </c>
    </row>
    <row r="83" hidden="1">
      <c r="A83" s="44" t="s">
        <v>582</v>
      </c>
      <c r="B83" s="15">
        <v>81.0</v>
      </c>
    </row>
    <row r="84" hidden="1">
      <c r="A84" s="52" t="s">
        <v>582</v>
      </c>
      <c r="B84" s="15">
        <v>82.0</v>
      </c>
    </row>
    <row r="85">
      <c r="A85" s="52" t="s">
        <v>903</v>
      </c>
      <c r="B85" s="15">
        <v>83.0</v>
      </c>
      <c r="C85" s="15">
        <v>1.0</v>
      </c>
      <c r="D85" s="15" t="s">
        <v>31</v>
      </c>
    </row>
    <row r="86">
      <c r="A86" s="40" t="s">
        <v>1485</v>
      </c>
      <c r="B86" s="15">
        <v>84.0</v>
      </c>
      <c r="C86" s="15">
        <v>1.0</v>
      </c>
      <c r="D86" s="15" t="s">
        <v>58</v>
      </c>
    </row>
    <row r="87" hidden="1">
      <c r="A87" s="44" t="s">
        <v>669</v>
      </c>
      <c r="B87" s="15">
        <v>85.0</v>
      </c>
    </row>
    <row r="88" hidden="1">
      <c r="A88" s="52" t="s">
        <v>1826</v>
      </c>
      <c r="B88" s="15">
        <v>86.0</v>
      </c>
    </row>
    <row r="89" hidden="1">
      <c r="A89" s="42" t="s">
        <v>921</v>
      </c>
      <c r="B89" s="15">
        <v>87.0</v>
      </c>
    </row>
    <row r="90">
      <c r="A90" s="34" t="s">
        <v>927</v>
      </c>
      <c r="B90" s="15">
        <v>88.0</v>
      </c>
      <c r="C90" s="15">
        <v>1.0</v>
      </c>
      <c r="D90" s="15" t="s">
        <v>31</v>
      </c>
    </row>
    <row r="91" hidden="1">
      <c r="A91" s="42" t="s">
        <v>929</v>
      </c>
      <c r="B91" s="15">
        <v>89.0</v>
      </c>
    </row>
    <row r="92">
      <c r="A92" s="52" t="s">
        <v>1016</v>
      </c>
      <c r="B92" s="15">
        <v>90.0</v>
      </c>
      <c r="C92" s="15">
        <v>1.0</v>
      </c>
      <c r="D92" s="15" t="s">
        <v>31</v>
      </c>
    </row>
    <row r="93" hidden="1">
      <c r="A93" s="52" t="s">
        <v>940</v>
      </c>
      <c r="B93" s="15">
        <v>91.0</v>
      </c>
    </row>
    <row r="94">
      <c r="A94" s="52" t="s">
        <v>1878</v>
      </c>
      <c r="B94" s="15">
        <v>92.0</v>
      </c>
      <c r="C94" s="15">
        <v>1.0</v>
      </c>
      <c r="D94" s="15" t="s">
        <v>58</v>
      </c>
    </row>
    <row r="95">
      <c r="A95" s="52" t="s">
        <v>2222</v>
      </c>
      <c r="B95" s="15">
        <v>93.0</v>
      </c>
      <c r="C95" s="15">
        <v>1.0</v>
      </c>
      <c r="D95" s="15" t="s">
        <v>58</v>
      </c>
    </row>
    <row r="96">
      <c r="A96" s="40" t="s">
        <v>554</v>
      </c>
      <c r="B96" s="15">
        <v>94.0</v>
      </c>
      <c r="C96" s="15">
        <v>1.0</v>
      </c>
      <c r="D96" s="15" t="s">
        <v>58</v>
      </c>
    </row>
    <row r="97" hidden="1">
      <c r="A97" s="52" t="s">
        <v>1860</v>
      </c>
      <c r="B97" s="15">
        <v>95.0</v>
      </c>
    </row>
    <row r="98" hidden="1">
      <c r="A98" s="52" t="s">
        <v>1758</v>
      </c>
      <c r="B98" s="15">
        <v>96.0</v>
      </c>
    </row>
    <row r="99" hidden="1">
      <c r="A99" s="44" t="s">
        <v>2283</v>
      </c>
      <c r="B99" s="15">
        <v>97.0</v>
      </c>
    </row>
    <row r="100" hidden="1">
      <c r="A100" s="44" t="s">
        <v>1367</v>
      </c>
      <c r="B100" s="15">
        <v>98.0</v>
      </c>
    </row>
    <row r="101">
      <c r="A101" s="44" t="s">
        <v>1935</v>
      </c>
      <c r="B101" s="15">
        <v>99.0</v>
      </c>
      <c r="C101" s="15">
        <v>1.0</v>
      </c>
      <c r="D101" s="15" t="s">
        <v>31</v>
      </c>
    </row>
    <row r="102" hidden="1">
      <c r="A102" s="52" t="s">
        <v>1835</v>
      </c>
      <c r="B102" s="15">
        <v>100.0</v>
      </c>
    </row>
    <row r="103" hidden="1">
      <c r="A103" s="57" t="s">
        <v>978</v>
      </c>
      <c r="B103" s="15">
        <v>101.0</v>
      </c>
    </row>
    <row r="104" hidden="1">
      <c r="A104" s="72" t="s">
        <v>1468</v>
      </c>
      <c r="B104" s="15">
        <v>102.0</v>
      </c>
    </row>
    <row r="105" hidden="1">
      <c r="A105" s="44" t="s">
        <v>2343</v>
      </c>
      <c r="B105" s="15">
        <v>103.0</v>
      </c>
    </row>
    <row r="106">
      <c r="A106" s="40" t="s">
        <v>2497</v>
      </c>
      <c r="B106" s="15">
        <v>104.0</v>
      </c>
      <c r="C106" s="15">
        <v>1.0</v>
      </c>
      <c r="D106" s="15" t="s">
        <v>58</v>
      </c>
    </row>
    <row r="107" hidden="1">
      <c r="A107" s="44" t="s">
        <v>1567</v>
      </c>
      <c r="B107" s="15">
        <v>105.0</v>
      </c>
    </row>
    <row r="108" hidden="1">
      <c r="A108" s="42" t="s">
        <v>2498</v>
      </c>
      <c r="B108" s="15">
        <v>106.0</v>
      </c>
    </row>
    <row r="109">
      <c r="A109" s="44" t="s">
        <v>1018</v>
      </c>
      <c r="B109" s="15">
        <v>107.0</v>
      </c>
      <c r="C109" s="15">
        <v>1.0</v>
      </c>
      <c r="D109" s="15" t="s">
        <v>31</v>
      </c>
    </row>
    <row r="110" hidden="1">
      <c r="A110" s="52" t="s">
        <v>1000</v>
      </c>
      <c r="B110" s="15">
        <v>108.0</v>
      </c>
    </row>
    <row r="111">
      <c r="A111" s="44" t="s">
        <v>1579</v>
      </c>
      <c r="B111" s="15">
        <v>109.0</v>
      </c>
      <c r="C111" s="15">
        <v>1.0</v>
      </c>
      <c r="D111" s="15" t="s">
        <v>58</v>
      </c>
    </row>
    <row r="112" hidden="1">
      <c r="A112" s="52" t="s">
        <v>1006</v>
      </c>
      <c r="B112" s="15">
        <v>110.0</v>
      </c>
    </row>
    <row r="113">
      <c r="A113" s="44" t="s">
        <v>1065</v>
      </c>
      <c r="B113" s="15">
        <v>111.0</v>
      </c>
      <c r="C113" s="15">
        <v>1.0</v>
      </c>
      <c r="D113" s="15" t="s">
        <v>58</v>
      </c>
    </row>
    <row r="114" hidden="1">
      <c r="A114" s="42" t="s">
        <v>752</v>
      </c>
      <c r="B114" s="15">
        <v>112.0</v>
      </c>
    </row>
    <row r="115" hidden="1">
      <c r="A115" s="42" t="s">
        <v>1022</v>
      </c>
      <c r="B115" s="15">
        <v>113.0</v>
      </c>
    </row>
    <row r="116" hidden="1">
      <c r="A116" s="42" t="s">
        <v>1046</v>
      </c>
      <c r="B116" s="15">
        <v>114.0</v>
      </c>
    </row>
    <row r="117" hidden="1">
      <c r="A117" s="52" t="s">
        <v>2225</v>
      </c>
      <c r="B117" s="15">
        <v>115.0</v>
      </c>
    </row>
    <row r="118" hidden="1">
      <c r="A118" s="72" t="s">
        <v>1072</v>
      </c>
      <c r="B118" s="15">
        <v>116.0</v>
      </c>
    </row>
    <row r="119">
      <c r="A119" s="74" t="s">
        <v>1080</v>
      </c>
      <c r="B119" s="15">
        <v>117.0</v>
      </c>
      <c r="C119" s="15">
        <v>1.0</v>
      </c>
      <c r="D119" s="15" t="s">
        <v>31</v>
      </c>
    </row>
    <row r="120">
      <c r="A120" s="42" t="s">
        <v>1086</v>
      </c>
      <c r="B120" s="15">
        <v>118.0</v>
      </c>
      <c r="C120" s="15">
        <v>1.0</v>
      </c>
      <c r="D120" s="15" t="s">
        <v>31</v>
      </c>
    </row>
    <row r="121">
      <c r="A121" s="44" t="s">
        <v>1091</v>
      </c>
      <c r="B121" s="15">
        <v>119.0</v>
      </c>
      <c r="C121" s="15">
        <v>1.0</v>
      </c>
      <c r="D121" s="15" t="s">
        <v>31</v>
      </c>
    </row>
    <row r="122">
      <c r="A122" s="16" t="s">
        <v>2039</v>
      </c>
      <c r="B122" s="15">
        <v>120.0</v>
      </c>
      <c r="C122" s="15">
        <v>1.0</v>
      </c>
      <c r="D122" s="15" t="s">
        <v>58</v>
      </c>
    </row>
    <row r="123" hidden="1">
      <c r="A123" s="42" t="s">
        <v>2499</v>
      </c>
      <c r="B123" s="15">
        <v>121.0</v>
      </c>
    </row>
    <row r="124" hidden="1">
      <c r="A124" s="42" t="s">
        <v>1110</v>
      </c>
      <c r="B124" s="15">
        <v>122.0</v>
      </c>
    </row>
    <row r="125">
      <c r="A125" s="34" t="s">
        <v>294</v>
      </c>
      <c r="B125" s="15">
        <v>123.0</v>
      </c>
      <c r="C125" s="15">
        <v>1.0</v>
      </c>
      <c r="D125" s="15" t="s">
        <v>31</v>
      </c>
    </row>
    <row r="126" hidden="1">
      <c r="A126" s="40" t="s">
        <v>1116</v>
      </c>
      <c r="B126" s="15">
        <v>124.0</v>
      </c>
    </row>
    <row r="127" hidden="1">
      <c r="A127" s="16" t="s">
        <v>1110</v>
      </c>
      <c r="B127" s="15">
        <v>125.0</v>
      </c>
    </row>
    <row r="128" hidden="1">
      <c r="A128" s="42" t="s">
        <v>1129</v>
      </c>
      <c r="B128" s="15">
        <v>126.0</v>
      </c>
    </row>
    <row r="129">
      <c r="A129" s="44" t="s">
        <v>1162</v>
      </c>
      <c r="B129" s="15">
        <v>127.0</v>
      </c>
      <c r="C129" s="15">
        <v>1.0</v>
      </c>
      <c r="D129" s="15" t="s">
        <v>58</v>
      </c>
    </row>
    <row r="130" hidden="1">
      <c r="A130" s="40" t="s">
        <v>404</v>
      </c>
      <c r="B130" s="15">
        <v>128.0</v>
      </c>
    </row>
    <row r="131" hidden="1">
      <c r="A131" s="44" t="s">
        <v>1819</v>
      </c>
      <c r="B131" s="15">
        <v>129.0</v>
      </c>
    </row>
    <row r="132" hidden="1">
      <c r="A132" s="44" t="s">
        <v>184</v>
      </c>
      <c r="B132" s="15">
        <v>130.0</v>
      </c>
    </row>
    <row r="133">
      <c r="A133" s="42" t="s">
        <v>1191</v>
      </c>
      <c r="B133" s="15">
        <v>131.0</v>
      </c>
      <c r="C133" s="15">
        <v>1.0</v>
      </c>
      <c r="D133" s="15" t="s">
        <v>31</v>
      </c>
    </row>
    <row r="134">
      <c r="A134" s="42" t="s">
        <v>1213</v>
      </c>
      <c r="B134" s="15">
        <v>132.0</v>
      </c>
      <c r="C134" s="15">
        <v>1.0</v>
      </c>
      <c r="D134" s="15" t="s">
        <v>31</v>
      </c>
    </row>
    <row r="135">
      <c r="A135" s="42" t="s">
        <v>1229</v>
      </c>
      <c r="B135" s="15">
        <v>133.0</v>
      </c>
      <c r="C135" s="15">
        <v>1.0</v>
      </c>
      <c r="D135" s="15" t="s">
        <v>31</v>
      </c>
    </row>
    <row r="136" hidden="1">
      <c r="A136" s="42" t="s">
        <v>1233</v>
      </c>
      <c r="B136" s="15">
        <v>134.0</v>
      </c>
    </row>
    <row r="137" hidden="1">
      <c r="A137" s="42" t="s">
        <v>2105</v>
      </c>
      <c r="B137" s="15">
        <v>135.0</v>
      </c>
    </row>
    <row r="138" hidden="1">
      <c r="A138" s="42" t="s">
        <v>1242</v>
      </c>
      <c r="B138" s="15">
        <v>136.0</v>
      </c>
    </row>
    <row r="139" hidden="1">
      <c r="A139" s="42" t="s">
        <v>1248</v>
      </c>
      <c r="B139" s="15">
        <v>137.0</v>
      </c>
    </row>
    <row r="140">
      <c r="A140" s="42" t="s">
        <v>1251</v>
      </c>
      <c r="B140" s="15">
        <v>138.0</v>
      </c>
      <c r="C140" s="15">
        <v>1.0</v>
      </c>
      <c r="D140" s="15" t="s">
        <v>31</v>
      </c>
    </row>
    <row r="141" hidden="1">
      <c r="A141" s="42" t="s">
        <v>1254</v>
      </c>
      <c r="B141" s="15">
        <v>139.0</v>
      </c>
    </row>
    <row r="142" hidden="1">
      <c r="A142" s="42" t="s">
        <v>1258</v>
      </c>
      <c r="B142" s="15">
        <v>140.0</v>
      </c>
    </row>
    <row r="143">
      <c r="A143" s="42" t="s">
        <v>1261</v>
      </c>
      <c r="B143" s="15">
        <v>141.0</v>
      </c>
      <c r="C143" s="15">
        <v>1.0</v>
      </c>
      <c r="D143" s="15" t="s">
        <v>31</v>
      </c>
    </row>
    <row r="144" hidden="1">
      <c r="A144" s="42" t="s">
        <v>1263</v>
      </c>
      <c r="B144" s="15">
        <v>142.0</v>
      </c>
    </row>
    <row r="145">
      <c r="A145" s="42" t="s">
        <v>1266</v>
      </c>
      <c r="B145" s="15">
        <v>143.0</v>
      </c>
      <c r="C145" s="15">
        <v>1.0</v>
      </c>
      <c r="D145" s="15" t="s">
        <v>31</v>
      </c>
    </row>
    <row r="146" hidden="1">
      <c r="A146" s="44" t="s">
        <v>2385</v>
      </c>
      <c r="B146" s="15">
        <v>144.0</v>
      </c>
    </row>
    <row r="147">
      <c r="A147" s="30" t="s">
        <v>1273</v>
      </c>
      <c r="B147" s="15">
        <v>145.0</v>
      </c>
      <c r="C147" s="15">
        <v>1.0</v>
      </c>
      <c r="D147" s="15" t="s">
        <v>31</v>
      </c>
    </row>
    <row r="148" hidden="1">
      <c r="A148" s="42" t="s">
        <v>1276</v>
      </c>
      <c r="B148" s="15">
        <v>146.0</v>
      </c>
    </row>
    <row r="149" hidden="1">
      <c r="A149" s="30" t="s">
        <v>1279</v>
      </c>
      <c r="B149" s="15">
        <v>147.0</v>
      </c>
    </row>
    <row r="150" hidden="1">
      <c r="A150" s="16" t="s">
        <v>1291</v>
      </c>
      <c r="B150" s="15">
        <v>148.0</v>
      </c>
    </row>
    <row r="151" hidden="1">
      <c r="A151" s="57" t="s">
        <v>1294</v>
      </c>
      <c r="B151" s="15">
        <v>149.0</v>
      </c>
    </row>
    <row r="152" hidden="1">
      <c r="A152" s="34" t="s">
        <v>1313</v>
      </c>
      <c r="B152" s="15">
        <v>150.0</v>
      </c>
    </row>
    <row r="153">
      <c r="A153" s="42" t="s">
        <v>1315</v>
      </c>
      <c r="B153" s="15">
        <v>151.0</v>
      </c>
      <c r="C153" s="15">
        <v>1.0</v>
      </c>
      <c r="D153" s="15" t="s">
        <v>31</v>
      </c>
    </row>
    <row r="154" hidden="1">
      <c r="A154" s="42" t="s">
        <v>1318</v>
      </c>
      <c r="B154" s="15">
        <v>152.0</v>
      </c>
    </row>
    <row r="155" hidden="1">
      <c r="A155" s="44" t="s">
        <v>1334</v>
      </c>
      <c r="B155" s="15">
        <v>153.0</v>
      </c>
    </row>
    <row r="156" hidden="1">
      <c r="A156" s="42" t="s">
        <v>1349</v>
      </c>
      <c r="B156" s="15">
        <v>154.0</v>
      </c>
    </row>
    <row r="157">
      <c r="A157" s="52" t="s">
        <v>1785</v>
      </c>
      <c r="B157" s="15">
        <v>155.0</v>
      </c>
      <c r="C157" s="15">
        <v>1.0</v>
      </c>
      <c r="D157" s="15" t="s">
        <v>58</v>
      </c>
    </row>
    <row r="158" hidden="1">
      <c r="A158" s="40" t="s">
        <v>1384</v>
      </c>
      <c r="B158" s="15">
        <v>156.0</v>
      </c>
    </row>
    <row r="159">
      <c r="A159" s="42" t="s">
        <v>1390</v>
      </c>
      <c r="B159" s="15">
        <v>157.0</v>
      </c>
      <c r="C159" s="15">
        <v>1.0</v>
      </c>
      <c r="D159" s="15" t="s">
        <v>31</v>
      </c>
    </row>
    <row r="160" hidden="1">
      <c r="A160" s="34" t="s">
        <v>1814</v>
      </c>
      <c r="B160" s="15">
        <v>158.0</v>
      </c>
    </row>
    <row r="161" hidden="1">
      <c r="A161" s="16" t="s">
        <v>954</v>
      </c>
      <c r="B161" s="15">
        <v>159.0</v>
      </c>
    </row>
    <row r="162" hidden="1">
      <c r="A162" s="16" t="s">
        <v>1412</v>
      </c>
      <c r="B162" s="15">
        <v>160.0</v>
      </c>
    </row>
    <row r="163" hidden="1">
      <c r="A163" s="52" t="s">
        <v>1426</v>
      </c>
      <c r="B163" s="15">
        <v>161.0</v>
      </c>
    </row>
    <row r="164" hidden="1">
      <c r="A164" s="42" t="s">
        <v>1430</v>
      </c>
      <c r="B164" s="15">
        <v>162.0</v>
      </c>
    </row>
    <row r="165" hidden="1">
      <c r="A165" s="34" t="s">
        <v>1441</v>
      </c>
      <c r="B165" s="15">
        <v>163.0</v>
      </c>
    </row>
    <row r="166" hidden="1">
      <c r="A166" s="42" t="s">
        <v>1456</v>
      </c>
      <c r="B166" s="15">
        <v>164.0</v>
      </c>
    </row>
    <row r="167" hidden="1">
      <c r="A167" s="30" t="s">
        <v>1459</v>
      </c>
      <c r="B167" s="15">
        <v>165.0</v>
      </c>
    </row>
    <row r="168">
      <c r="A168" s="175" t="s">
        <v>1206</v>
      </c>
      <c r="B168" s="15">
        <v>166.0</v>
      </c>
      <c r="C168" s="15">
        <v>1.0</v>
      </c>
      <c r="D168" s="15" t="s">
        <v>58</v>
      </c>
    </row>
    <row r="169" hidden="1">
      <c r="A169" s="44" t="s">
        <v>1464</v>
      </c>
      <c r="B169" s="15">
        <v>167.0</v>
      </c>
    </row>
    <row r="170" hidden="1">
      <c r="A170" s="44" t="s">
        <v>1466</v>
      </c>
      <c r="B170" s="15">
        <v>168.0</v>
      </c>
    </row>
    <row r="171" hidden="1">
      <c r="A171" s="16" t="s">
        <v>1471</v>
      </c>
      <c r="B171" s="15">
        <v>169.0</v>
      </c>
    </row>
    <row r="172" hidden="1">
      <c r="A172" s="57" t="s">
        <v>1474</v>
      </c>
      <c r="B172" s="15">
        <v>170.0</v>
      </c>
    </row>
    <row r="173" hidden="1">
      <c r="A173" s="42" t="s">
        <v>1477</v>
      </c>
      <c r="B173" s="15">
        <v>171.0</v>
      </c>
    </row>
    <row r="174" hidden="1">
      <c r="A174" s="51" t="s">
        <v>523</v>
      </c>
      <c r="B174" s="15">
        <v>172.0</v>
      </c>
    </row>
    <row r="175" hidden="1">
      <c r="A175" s="42" t="s">
        <v>1488</v>
      </c>
      <c r="B175" s="15">
        <v>173.0</v>
      </c>
    </row>
    <row r="176" hidden="1">
      <c r="A176" s="13" t="s">
        <v>1842</v>
      </c>
      <c r="B176" s="15">
        <v>174.0</v>
      </c>
    </row>
    <row r="177" hidden="1">
      <c r="A177" s="51" t="s">
        <v>1522</v>
      </c>
      <c r="B177" s="15">
        <v>175.0</v>
      </c>
    </row>
    <row r="178" hidden="1">
      <c r="A178" s="42" t="s">
        <v>1525</v>
      </c>
      <c r="B178" s="15">
        <v>176.0</v>
      </c>
    </row>
    <row r="179" hidden="1">
      <c r="A179" s="42" t="s">
        <v>1545</v>
      </c>
      <c r="B179" s="15">
        <v>177.0</v>
      </c>
    </row>
    <row r="180">
      <c r="A180" s="42" t="s">
        <v>1547</v>
      </c>
      <c r="B180" s="15">
        <v>178.0</v>
      </c>
      <c r="C180" s="15">
        <v>1.0</v>
      </c>
      <c r="D180" s="15" t="s">
        <v>58</v>
      </c>
    </row>
    <row r="181" hidden="1">
      <c r="A181" s="42" t="s">
        <v>1298</v>
      </c>
      <c r="B181" s="15">
        <v>179.0</v>
      </c>
    </row>
    <row r="182" hidden="1">
      <c r="A182" s="42" t="s">
        <v>1560</v>
      </c>
      <c r="B182" s="15">
        <v>180.0</v>
      </c>
    </row>
    <row r="183">
      <c r="A183" s="42" t="s">
        <v>2324</v>
      </c>
      <c r="B183" s="15">
        <v>181.0</v>
      </c>
      <c r="C183" s="15">
        <v>1.0</v>
      </c>
      <c r="D183" s="15" t="s">
        <v>58</v>
      </c>
    </row>
    <row r="184" hidden="1">
      <c r="A184" s="42" t="s">
        <v>1565</v>
      </c>
      <c r="B184" s="15">
        <v>182.0</v>
      </c>
    </row>
    <row r="185" hidden="1">
      <c r="A185" s="42" t="s">
        <v>1570</v>
      </c>
      <c r="B185" s="15">
        <v>183.0</v>
      </c>
    </row>
    <row r="186" hidden="1">
      <c r="A186" s="42" t="s">
        <v>1574</v>
      </c>
      <c r="B186" s="15">
        <v>184.0</v>
      </c>
    </row>
    <row r="187">
      <c r="A187" s="42" t="s">
        <v>1577</v>
      </c>
      <c r="B187" s="15">
        <v>185.0</v>
      </c>
      <c r="C187" s="15">
        <v>1.0</v>
      </c>
      <c r="D187" s="15" t="s">
        <v>31</v>
      </c>
    </row>
    <row r="188" hidden="1">
      <c r="A188" s="42" t="s">
        <v>1582</v>
      </c>
      <c r="B188" s="15">
        <v>186.0</v>
      </c>
    </row>
    <row r="189">
      <c r="A189" s="42" t="s">
        <v>355</v>
      </c>
      <c r="B189" s="15">
        <v>187.0</v>
      </c>
      <c r="C189" s="15">
        <v>1.0</v>
      </c>
      <c r="D189" s="15" t="s">
        <v>58</v>
      </c>
    </row>
    <row r="190">
      <c r="A190" s="30" t="s">
        <v>1217</v>
      </c>
      <c r="B190" s="15">
        <v>188.0</v>
      </c>
      <c r="C190" s="15">
        <v>1.0</v>
      </c>
      <c r="D190" s="15" t="s">
        <v>58</v>
      </c>
    </row>
    <row r="191">
      <c r="A191" s="44" t="s">
        <v>1608</v>
      </c>
      <c r="B191" s="15">
        <v>189.0</v>
      </c>
      <c r="C191" s="15">
        <v>1.0</v>
      </c>
      <c r="D191" s="15" t="s">
        <v>58</v>
      </c>
    </row>
    <row r="192">
      <c r="A192" s="52" t="s">
        <v>1610</v>
      </c>
      <c r="B192" s="15">
        <v>190.0</v>
      </c>
      <c r="C192" s="15">
        <v>1.0</v>
      </c>
      <c r="D192" s="15" t="s">
        <v>58</v>
      </c>
    </row>
    <row r="193">
      <c r="A193" s="16" t="s">
        <v>1616</v>
      </c>
      <c r="B193" s="15">
        <v>191.0</v>
      </c>
      <c r="C193" s="15">
        <v>1.0</v>
      </c>
      <c r="D193" s="15" t="s">
        <v>31</v>
      </c>
    </row>
    <row r="194" hidden="1">
      <c r="A194" s="42" t="s">
        <v>795</v>
      </c>
      <c r="B194" s="15">
        <v>192.0</v>
      </c>
    </row>
    <row r="195" hidden="1">
      <c r="A195" s="42" t="s">
        <v>2166</v>
      </c>
      <c r="B195" s="15">
        <v>193.0</v>
      </c>
    </row>
    <row r="196" hidden="1">
      <c r="A196" s="44" t="s">
        <v>1662</v>
      </c>
      <c r="B196" s="15">
        <v>194.0</v>
      </c>
    </row>
    <row r="197" hidden="1">
      <c r="A197" s="42" t="s">
        <v>1415</v>
      </c>
      <c r="B197" s="15">
        <v>195.0</v>
      </c>
    </row>
    <row r="198">
      <c r="A198" s="42" t="s">
        <v>2073</v>
      </c>
      <c r="B198" s="15">
        <v>196.0</v>
      </c>
      <c r="C198" s="15">
        <v>1.0</v>
      </c>
      <c r="D198" s="15" t="s">
        <v>58</v>
      </c>
    </row>
    <row r="199">
      <c r="A199" s="42" t="s">
        <v>1688</v>
      </c>
      <c r="B199" s="15">
        <v>197.0</v>
      </c>
      <c r="C199" s="15">
        <v>1.0</v>
      </c>
      <c r="D199" s="15" t="s">
        <v>31</v>
      </c>
    </row>
    <row r="200" hidden="1">
      <c r="A200" s="16" t="s">
        <v>1139</v>
      </c>
      <c r="B200" s="15">
        <v>198.0</v>
      </c>
    </row>
    <row r="201">
      <c r="A201" s="42" t="s">
        <v>1697</v>
      </c>
      <c r="B201" s="15">
        <v>199.0</v>
      </c>
      <c r="C201" s="15">
        <v>1.0</v>
      </c>
      <c r="D201" s="15" t="s">
        <v>31</v>
      </c>
    </row>
    <row r="202" hidden="1">
      <c r="A202" s="85" t="s">
        <v>1710</v>
      </c>
      <c r="B202" s="15">
        <v>200.0</v>
      </c>
    </row>
    <row r="203" hidden="1">
      <c r="A203" s="57" t="s">
        <v>1717</v>
      </c>
      <c r="B203" s="15">
        <v>201.0</v>
      </c>
    </row>
    <row r="204" hidden="1">
      <c r="A204" s="40" t="s">
        <v>1744</v>
      </c>
      <c r="B204" s="15">
        <v>202.0</v>
      </c>
    </row>
    <row r="205">
      <c r="A205" s="52" t="s">
        <v>1747</v>
      </c>
      <c r="B205" s="15">
        <v>203.0</v>
      </c>
      <c r="C205" s="15">
        <v>1.0</v>
      </c>
      <c r="D205" s="15" t="s">
        <v>31</v>
      </c>
    </row>
    <row r="206" hidden="1">
      <c r="A206" s="52" t="s">
        <v>1749</v>
      </c>
      <c r="B206" s="15">
        <v>204.0</v>
      </c>
    </row>
    <row r="207" hidden="1">
      <c r="A207" s="16" t="s">
        <v>1803</v>
      </c>
      <c r="B207" s="15">
        <v>205.0</v>
      </c>
    </row>
    <row r="208" hidden="1">
      <c r="A208" s="40" t="s">
        <v>2218</v>
      </c>
      <c r="B208" s="15">
        <v>206.0</v>
      </c>
    </row>
    <row r="209" hidden="1">
      <c r="A209" s="40" t="s">
        <v>2299</v>
      </c>
      <c r="B209" s="15">
        <v>207.0</v>
      </c>
    </row>
    <row r="210" hidden="1"/>
  </sheetData>
  <autoFilter ref="$A$1:$Z$210">
    <filterColumn colId="2">
      <filters>
        <filter val="1"/>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location=":~:text=Declaration%20signed%20at%20Digital%20Day%20on%2010th%20April%202018.&amp;text=This%20Declaration%20builds%20on%20the,of%20a%20Digital%20Single%20Market"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location="set-the-standard"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location="33"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s>
  <drawing r:id="rId20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2022-11-25T16:59:14Z</dcterms:created>
</cp:coreProperties>
</file>